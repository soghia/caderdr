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k\"/>
    </mc:Choice>
  </mc:AlternateContent>
  <xr:revisionPtr revIDLastSave="0" documentId="13_ncr:1_{91C046C0-91EE-440B-BF7B-5660E31B1A37}" xr6:coauthVersionLast="47" xr6:coauthVersionMax="47" xr10:uidLastSave="{00000000-0000-0000-0000-000000000000}"/>
  <workbookProtection workbookAlgorithmName="SHA-512" workbookHashValue="+Wu1hJcmtdRu+ELDLG/2agrYF33E4vei1UAkhcQ03sjFDhQqX3vJBwRTr08WuGNTJXN3bZCgbDBecUhgACFcYA==" workbookSaltValue="iaBQIho0b1t6tueTJiNoJg==" workbookSpinCount="100000" lockStructure="1"/>
  <bookViews>
    <workbookView xWindow="-120" yWindow="-120" windowWidth="29040" windowHeight="15840" xr2:uid="{00000000-000D-0000-FFFF-FFFF00000000}"/>
  </bookViews>
  <sheets>
    <sheet name="DADOS" sheetId="1" r:id="rId1"/>
    <sheet name="BAT" sheetId="2" r:id="rId2"/>
    <sheet name="PROG" sheetId="3" r:id="rId3"/>
  </sheets>
  <externalReferences>
    <externalReference r:id="rId4"/>
    <externalReference r:id="rId5"/>
    <externalReference r:id="rId6"/>
    <externalReference r:id="rId7"/>
  </externalReferences>
  <definedNames>
    <definedName name="A">[1]MUNICIPIOS!$A:$C</definedName>
    <definedName name="DADOS">OFFSET(#REF!,0,0,COUNTA(#REF!),COUNTA(#REF!))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DADOS!$U$1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 iterateDelta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9" i="1" l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16" i="1"/>
  <c r="AA17" i="1"/>
  <c r="AA18" i="1"/>
  <c r="AA15" i="1"/>
  <c r="E5" i="1"/>
  <c r="G3" i="1"/>
  <c r="Q12" i="1"/>
  <c r="AE15" i="1"/>
  <c r="V15" i="1"/>
  <c r="AF15" i="1" s="1"/>
  <c r="AJ14" i="1"/>
  <c r="V17" i="1"/>
  <c r="X17" i="1"/>
  <c r="Y17" i="1"/>
  <c r="AC17" i="1"/>
  <c r="AD17" i="1"/>
  <c r="AE17" i="1"/>
  <c r="V18" i="1"/>
  <c r="X18" i="1"/>
  <c r="Y18" i="1"/>
  <c r="AC18" i="1"/>
  <c r="AD18" i="1"/>
  <c r="AE18" i="1"/>
  <c r="V19" i="1"/>
  <c r="X19" i="1"/>
  <c r="Y19" i="1"/>
  <c r="AC19" i="1"/>
  <c r="AD19" i="1"/>
  <c r="AE19" i="1"/>
  <c r="V20" i="1"/>
  <c r="X20" i="1"/>
  <c r="Y20" i="1"/>
  <c r="AC20" i="1"/>
  <c r="AD20" i="1"/>
  <c r="AE20" i="1"/>
  <c r="V21" i="1"/>
  <c r="X21" i="1"/>
  <c r="Y21" i="1"/>
  <c r="AC21" i="1"/>
  <c r="AD21" i="1"/>
  <c r="AE21" i="1"/>
  <c r="V22" i="1"/>
  <c r="X22" i="1"/>
  <c r="Y22" i="1"/>
  <c r="AC22" i="1"/>
  <c r="AD22" i="1"/>
  <c r="AE22" i="1"/>
  <c r="V23" i="1"/>
  <c r="X23" i="1"/>
  <c r="Y23" i="1"/>
  <c r="AC23" i="1"/>
  <c r="AD23" i="1"/>
  <c r="AE23" i="1"/>
  <c r="V24" i="1"/>
  <c r="X24" i="1"/>
  <c r="Y24" i="1"/>
  <c r="AC24" i="1"/>
  <c r="AD24" i="1"/>
  <c r="AE24" i="1"/>
  <c r="V25" i="1"/>
  <c r="X25" i="1"/>
  <c r="Y25" i="1"/>
  <c r="AC25" i="1"/>
  <c r="AD25" i="1"/>
  <c r="AE25" i="1"/>
  <c r="V26" i="1"/>
  <c r="X26" i="1"/>
  <c r="Y26" i="1"/>
  <c r="AC26" i="1"/>
  <c r="AD26" i="1"/>
  <c r="AE26" i="1"/>
  <c r="V27" i="1"/>
  <c r="X27" i="1"/>
  <c r="Y27" i="1"/>
  <c r="AC27" i="1"/>
  <c r="AD27" i="1"/>
  <c r="AE27" i="1"/>
  <c r="V28" i="1"/>
  <c r="X28" i="1"/>
  <c r="Y28" i="1"/>
  <c r="AC28" i="1"/>
  <c r="AD28" i="1"/>
  <c r="AE28" i="1"/>
  <c r="V29" i="1"/>
  <c r="X29" i="1"/>
  <c r="Y29" i="1"/>
  <c r="AC29" i="1"/>
  <c r="AD29" i="1"/>
  <c r="AE29" i="1"/>
  <c r="V30" i="1"/>
  <c r="X30" i="1"/>
  <c r="Y30" i="1"/>
  <c r="AC30" i="1"/>
  <c r="AD30" i="1"/>
  <c r="AE30" i="1"/>
  <c r="V31" i="1"/>
  <c r="X31" i="1"/>
  <c r="Y31" i="1"/>
  <c r="AC31" i="1"/>
  <c r="AD31" i="1"/>
  <c r="AE31" i="1"/>
  <c r="V32" i="1"/>
  <c r="AI32" i="1" s="1"/>
  <c r="X32" i="1"/>
  <c r="Y32" i="1"/>
  <c r="AC32" i="1"/>
  <c r="AD32" i="1"/>
  <c r="AE32" i="1"/>
  <c r="V33" i="1"/>
  <c r="X33" i="1"/>
  <c r="Y33" i="1"/>
  <c r="AC33" i="1"/>
  <c r="AD33" i="1"/>
  <c r="AE33" i="1"/>
  <c r="V34" i="1"/>
  <c r="X34" i="1"/>
  <c r="Y34" i="1"/>
  <c r="AC34" i="1"/>
  <c r="AD34" i="1"/>
  <c r="AE34" i="1"/>
  <c r="V35" i="1"/>
  <c r="X35" i="1"/>
  <c r="Y35" i="1"/>
  <c r="AC35" i="1"/>
  <c r="AD35" i="1"/>
  <c r="AE35" i="1"/>
  <c r="V36" i="1"/>
  <c r="X36" i="1"/>
  <c r="Y36" i="1"/>
  <c r="AC36" i="1"/>
  <c r="AD36" i="1"/>
  <c r="AE36" i="1"/>
  <c r="V37" i="1"/>
  <c r="X37" i="1"/>
  <c r="Y37" i="1"/>
  <c r="AC37" i="1"/>
  <c r="AD37" i="1"/>
  <c r="AE37" i="1"/>
  <c r="V38" i="1"/>
  <c r="X38" i="1"/>
  <c r="Y38" i="1"/>
  <c r="AC38" i="1"/>
  <c r="AD38" i="1"/>
  <c r="AE38" i="1"/>
  <c r="V39" i="1"/>
  <c r="AI39" i="1" s="1"/>
  <c r="X39" i="1"/>
  <c r="Y39" i="1"/>
  <c r="AC39" i="1"/>
  <c r="AD39" i="1"/>
  <c r="AE39" i="1"/>
  <c r="V40" i="1"/>
  <c r="AF40" i="1" s="1"/>
  <c r="X40" i="1"/>
  <c r="Y40" i="1"/>
  <c r="AC40" i="1"/>
  <c r="AD40" i="1"/>
  <c r="AE40" i="1"/>
  <c r="V41" i="1"/>
  <c r="Z41" i="1" s="1"/>
  <c r="X41" i="1"/>
  <c r="Y41" i="1"/>
  <c r="AC41" i="1"/>
  <c r="AD41" i="1"/>
  <c r="AE41" i="1"/>
  <c r="V42" i="1"/>
  <c r="X42" i="1"/>
  <c r="Y42" i="1"/>
  <c r="AC42" i="1"/>
  <c r="AD42" i="1"/>
  <c r="AE42" i="1"/>
  <c r="V43" i="1"/>
  <c r="X43" i="1"/>
  <c r="Y43" i="1"/>
  <c r="AC43" i="1"/>
  <c r="AD43" i="1"/>
  <c r="AE43" i="1"/>
  <c r="V44" i="1"/>
  <c r="X44" i="1"/>
  <c r="Y44" i="1"/>
  <c r="AC44" i="1"/>
  <c r="AD44" i="1"/>
  <c r="AE44" i="1"/>
  <c r="V45" i="1"/>
  <c r="X45" i="1"/>
  <c r="Y45" i="1"/>
  <c r="AC45" i="1"/>
  <c r="AD45" i="1"/>
  <c r="AE45" i="1"/>
  <c r="V46" i="1"/>
  <c r="X46" i="1"/>
  <c r="Y46" i="1"/>
  <c r="AC46" i="1"/>
  <c r="AD46" i="1"/>
  <c r="AE46" i="1"/>
  <c r="V47" i="1"/>
  <c r="X47" i="1"/>
  <c r="Y47" i="1"/>
  <c r="AC47" i="1"/>
  <c r="AD47" i="1"/>
  <c r="AE47" i="1"/>
  <c r="V48" i="1"/>
  <c r="X48" i="1"/>
  <c r="Y48" i="1"/>
  <c r="AC48" i="1"/>
  <c r="AD48" i="1"/>
  <c r="AE48" i="1"/>
  <c r="V49" i="1"/>
  <c r="X49" i="1"/>
  <c r="Y49" i="1"/>
  <c r="AC49" i="1"/>
  <c r="AD49" i="1"/>
  <c r="AE49" i="1"/>
  <c r="V50" i="1"/>
  <c r="X50" i="1"/>
  <c r="Y50" i="1"/>
  <c r="AC50" i="1"/>
  <c r="AD50" i="1"/>
  <c r="AE50" i="1"/>
  <c r="V51" i="1"/>
  <c r="X51" i="1"/>
  <c r="Y51" i="1"/>
  <c r="AC51" i="1"/>
  <c r="AD51" i="1"/>
  <c r="AE51" i="1"/>
  <c r="V52" i="1"/>
  <c r="X52" i="1"/>
  <c r="Y52" i="1"/>
  <c r="AC52" i="1"/>
  <c r="AD52" i="1"/>
  <c r="AE52" i="1"/>
  <c r="V53" i="1"/>
  <c r="X53" i="1"/>
  <c r="Y53" i="1"/>
  <c r="AC53" i="1"/>
  <c r="AD53" i="1"/>
  <c r="AE53" i="1"/>
  <c r="V54" i="1"/>
  <c r="X54" i="1"/>
  <c r="Y54" i="1"/>
  <c r="AC54" i="1"/>
  <c r="AD54" i="1"/>
  <c r="AE54" i="1"/>
  <c r="V55" i="1"/>
  <c r="X55" i="1"/>
  <c r="Y55" i="1"/>
  <c r="AC55" i="1"/>
  <c r="AD55" i="1"/>
  <c r="AE55" i="1"/>
  <c r="V56" i="1"/>
  <c r="X56" i="1"/>
  <c r="Y56" i="1"/>
  <c r="AC56" i="1"/>
  <c r="AD56" i="1"/>
  <c r="AE56" i="1"/>
  <c r="V57" i="1"/>
  <c r="X57" i="1"/>
  <c r="Y57" i="1"/>
  <c r="AC57" i="1"/>
  <c r="AD57" i="1"/>
  <c r="AE57" i="1"/>
  <c r="V58" i="1"/>
  <c r="X58" i="1"/>
  <c r="Y58" i="1"/>
  <c r="AC58" i="1"/>
  <c r="AD58" i="1"/>
  <c r="AE58" i="1"/>
  <c r="V59" i="1"/>
  <c r="X59" i="1"/>
  <c r="Y59" i="1"/>
  <c r="AC59" i="1"/>
  <c r="AD59" i="1"/>
  <c r="AE59" i="1"/>
  <c r="V60" i="1"/>
  <c r="X60" i="1"/>
  <c r="Y60" i="1"/>
  <c r="AC60" i="1"/>
  <c r="AD60" i="1"/>
  <c r="AE60" i="1"/>
  <c r="V61" i="1"/>
  <c r="X61" i="1"/>
  <c r="Y61" i="1"/>
  <c r="AC61" i="1"/>
  <c r="AD61" i="1"/>
  <c r="AE61" i="1"/>
  <c r="V62" i="1"/>
  <c r="X62" i="1"/>
  <c r="Y62" i="1"/>
  <c r="AC62" i="1"/>
  <c r="AD62" i="1"/>
  <c r="AE62" i="1"/>
  <c r="V63" i="1"/>
  <c r="X63" i="1"/>
  <c r="Y63" i="1"/>
  <c r="AC63" i="1"/>
  <c r="AD63" i="1"/>
  <c r="AE63" i="1"/>
  <c r="V64" i="1"/>
  <c r="X64" i="1"/>
  <c r="Y64" i="1"/>
  <c r="AC64" i="1"/>
  <c r="AD64" i="1"/>
  <c r="AE64" i="1"/>
  <c r="V65" i="1"/>
  <c r="X65" i="1"/>
  <c r="Y65" i="1"/>
  <c r="AC65" i="1"/>
  <c r="AD65" i="1"/>
  <c r="AE65" i="1"/>
  <c r="V66" i="1"/>
  <c r="X66" i="1"/>
  <c r="Y66" i="1"/>
  <c r="AC66" i="1"/>
  <c r="AD66" i="1"/>
  <c r="AE66" i="1"/>
  <c r="V67" i="1"/>
  <c r="X67" i="1"/>
  <c r="Y67" i="1"/>
  <c r="AC67" i="1"/>
  <c r="AD67" i="1"/>
  <c r="AE67" i="1"/>
  <c r="V68" i="1"/>
  <c r="X68" i="1"/>
  <c r="Y68" i="1"/>
  <c r="AC68" i="1"/>
  <c r="AD68" i="1"/>
  <c r="AE68" i="1"/>
  <c r="V69" i="1"/>
  <c r="X69" i="1"/>
  <c r="Y69" i="1"/>
  <c r="AC69" i="1"/>
  <c r="AD69" i="1"/>
  <c r="AE69" i="1"/>
  <c r="V70" i="1"/>
  <c r="X70" i="1"/>
  <c r="Y70" i="1"/>
  <c r="AC70" i="1"/>
  <c r="AD70" i="1"/>
  <c r="AE70" i="1"/>
  <c r="V71" i="1"/>
  <c r="X71" i="1"/>
  <c r="Y71" i="1"/>
  <c r="AC71" i="1"/>
  <c r="AD71" i="1"/>
  <c r="AE71" i="1"/>
  <c r="V72" i="1"/>
  <c r="X72" i="1"/>
  <c r="Y72" i="1"/>
  <c r="AC72" i="1"/>
  <c r="AD72" i="1"/>
  <c r="AE72" i="1"/>
  <c r="V73" i="1"/>
  <c r="X73" i="1"/>
  <c r="Y73" i="1"/>
  <c r="AC73" i="1"/>
  <c r="AD73" i="1"/>
  <c r="AE73" i="1"/>
  <c r="V74" i="1"/>
  <c r="X74" i="1"/>
  <c r="Y74" i="1"/>
  <c r="AC74" i="1"/>
  <c r="AD74" i="1"/>
  <c r="AE74" i="1"/>
  <c r="V75" i="1"/>
  <c r="X75" i="1"/>
  <c r="Y75" i="1"/>
  <c r="AC75" i="1"/>
  <c r="AD75" i="1"/>
  <c r="AE75" i="1"/>
  <c r="V76" i="1"/>
  <c r="X76" i="1"/>
  <c r="Y76" i="1"/>
  <c r="AC76" i="1"/>
  <c r="AD76" i="1"/>
  <c r="AE76" i="1"/>
  <c r="V77" i="1"/>
  <c r="AI77" i="1" s="1"/>
  <c r="X77" i="1"/>
  <c r="Y77" i="1"/>
  <c r="AC77" i="1"/>
  <c r="AD77" i="1"/>
  <c r="AE77" i="1"/>
  <c r="V78" i="1"/>
  <c r="X78" i="1"/>
  <c r="Y78" i="1"/>
  <c r="AC78" i="1"/>
  <c r="AD78" i="1"/>
  <c r="AE78" i="1"/>
  <c r="V79" i="1"/>
  <c r="AK79" i="1" s="1"/>
  <c r="X79" i="1"/>
  <c r="Y79" i="1"/>
  <c r="AC79" i="1"/>
  <c r="AD79" i="1"/>
  <c r="AE79" i="1"/>
  <c r="V80" i="1"/>
  <c r="X80" i="1"/>
  <c r="Y80" i="1"/>
  <c r="AC80" i="1"/>
  <c r="AD80" i="1"/>
  <c r="AE80" i="1"/>
  <c r="V81" i="1"/>
  <c r="AG81" i="1" s="1"/>
  <c r="X81" i="1"/>
  <c r="Y81" i="1"/>
  <c r="AC81" i="1"/>
  <c r="AD81" i="1"/>
  <c r="AE81" i="1"/>
  <c r="V82" i="1"/>
  <c r="X82" i="1"/>
  <c r="Y82" i="1"/>
  <c r="AC82" i="1"/>
  <c r="AD82" i="1"/>
  <c r="AE82" i="1"/>
  <c r="V83" i="1"/>
  <c r="X83" i="1"/>
  <c r="Y83" i="1"/>
  <c r="AC83" i="1"/>
  <c r="AD83" i="1"/>
  <c r="AE83" i="1"/>
  <c r="V84" i="1"/>
  <c r="X84" i="1"/>
  <c r="Y84" i="1"/>
  <c r="AC84" i="1"/>
  <c r="AD84" i="1"/>
  <c r="AE84" i="1"/>
  <c r="V85" i="1"/>
  <c r="X85" i="1"/>
  <c r="Y85" i="1"/>
  <c r="AC85" i="1"/>
  <c r="AD85" i="1"/>
  <c r="AE85" i="1"/>
  <c r="V86" i="1"/>
  <c r="X86" i="1"/>
  <c r="Y86" i="1"/>
  <c r="AC86" i="1"/>
  <c r="AD86" i="1"/>
  <c r="AE86" i="1"/>
  <c r="V87" i="1"/>
  <c r="X87" i="1"/>
  <c r="Y87" i="1"/>
  <c r="AC87" i="1"/>
  <c r="AD87" i="1"/>
  <c r="AE87" i="1"/>
  <c r="V88" i="1"/>
  <c r="AI88" i="1" s="1"/>
  <c r="X88" i="1"/>
  <c r="Y88" i="1"/>
  <c r="AC88" i="1"/>
  <c r="AD88" i="1"/>
  <c r="AE88" i="1"/>
  <c r="V89" i="1"/>
  <c r="X89" i="1"/>
  <c r="Y89" i="1"/>
  <c r="AC89" i="1"/>
  <c r="AD89" i="1"/>
  <c r="AE89" i="1"/>
  <c r="V90" i="1"/>
  <c r="X90" i="1"/>
  <c r="Y90" i="1"/>
  <c r="AC90" i="1"/>
  <c r="AD90" i="1"/>
  <c r="AE90" i="1"/>
  <c r="V91" i="1"/>
  <c r="X91" i="1"/>
  <c r="Y91" i="1"/>
  <c r="AC91" i="1"/>
  <c r="AD91" i="1"/>
  <c r="AE91" i="1"/>
  <c r="V92" i="1"/>
  <c r="X92" i="1"/>
  <c r="Y92" i="1"/>
  <c r="AC92" i="1"/>
  <c r="AD92" i="1"/>
  <c r="AE92" i="1"/>
  <c r="V93" i="1"/>
  <c r="X93" i="1"/>
  <c r="Y93" i="1"/>
  <c r="AC93" i="1"/>
  <c r="AD93" i="1"/>
  <c r="AE93" i="1"/>
  <c r="V94" i="1"/>
  <c r="X94" i="1"/>
  <c r="Y94" i="1"/>
  <c r="AC94" i="1"/>
  <c r="AD94" i="1"/>
  <c r="AE94" i="1"/>
  <c r="V95" i="1"/>
  <c r="X95" i="1"/>
  <c r="Y95" i="1"/>
  <c r="AC95" i="1"/>
  <c r="AD95" i="1"/>
  <c r="AE95" i="1"/>
  <c r="V96" i="1"/>
  <c r="X96" i="1"/>
  <c r="Y96" i="1"/>
  <c r="AC96" i="1"/>
  <c r="AD96" i="1"/>
  <c r="AE96" i="1"/>
  <c r="V97" i="1"/>
  <c r="X97" i="1"/>
  <c r="Y97" i="1"/>
  <c r="AC97" i="1"/>
  <c r="AD97" i="1"/>
  <c r="AE97" i="1"/>
  <c r="V98" i="1"/>
  <c r="X98" i="1"/>
  <c r="Y98" i="1"/>
  <c r="AC98" i="1"/>
  <c r="AD98" i="1"/>
  <c r="AE98" i="1"/>
  <c r="V99" i="1"/>
  <c r="AI99" i="1" s="1"/>
  <c r="X99" i="1"/>
  <c r="Y99" i="1"/>
  <c r="AC99" i="1"/>
  <c r="AD99" i="1"/>
  <c r="AE99" i="1"/>
  <c r="V100" i="1"/>
  <c r="X100" i="1"/>
  <c r="Y100" i="1"/>
  <c r="AC100" i="1"/>
  <c r="AD100" i="1"/>
  <c r="AE100" i="1"/>
  <c r="V101" i="1"/>
  <c r="AK101" i="1" s="1"/>
  <c r="X101" i="1"/>
  <c r="Y101" i="1"/>
  <c r="AC101" i="1"/>
  <c r="AD101" i="1"/>
  <c r="AE101" i="1"/>
  <c r="V102" i="1"/>
  <c r="X102" i="1"/>
  <c r="Y102" i="1"/>
  <c r="AC102" i="1"/>
  <c r="AD102" i="1"/>
  <c r="AE102" i="1"/>
  <c r="V103" i="1"/>
  <c r="X103" i="1"/>
  <c r="Y103" i="1"/>
  <c r="AC103" i="1"/>
  <c r="AD103" i="1"/>
  <c r="AE103" i="1"/>
  <c r="V104" i="1"/>
  <c r="X104" i="1"/>
  <c r="Y104" i="1"/>
  <c r="AC104" i="1"/>
  <c r="AD104" i="1"/>
  <c r="AE104" i="1"/>
  <c r="V105" i="1"/>
  <c r="X105" i="1"/>
  <c r="Y105" i="1"/>
  <c r="AC105" i="1"/>
  <c r="AD105" i="1"/>
  <c r="AE105" i="1"/>
  <c r="V106" i="1"/>
  <c r="X106" i="1"/>
  <c r="Y106" i="1"/>
  <c r="AC106" i="1"/>
  <c r="AD106" i="1"/>
  <c r="AE106" i="1"/>
  <c r="V107" i="1"/>
  <c r="X107" i="1"/>
  <c r="Y107" i="1"/>
  <c r="AC107" i="1"/>
  <c r="AD107" i="1"/>
  <c r="AE107" i="1"/>
  <c r="V108" i="1"/>
  <c r="X108" i="1"/>
  <c r="Y108" i="1"/>
  <c r="AC108" i="1"/>
  <c r="AD108" i="1"/>
  <c r="AE108" i="1"/>
  <c r="V109" i="1"/>
  <c r="X109" i="1"/>
  <c r="Y109" i="1"/>
  <c r="AC109" i="1"/>
  <c r="AD109" i="1"/>
  <c r="AE109" i="1"/>
  <c r="V110" i="1"/>
  <c r="X110" i="1"/>
  <c r="Y110" i="1"/>
  <c r="AC110" i="1"/>
  <c r="AD110" i="1"/>
  <c r="AE110" i="1"/>
  <c r="V111" i="1"/>
  <c r="X111" i="1"/>
  <c r="Y111" i="1"/>
  <c r="AC111" i="1"/>
  <c r="AD111" i="1"/>
  <c r="AE111" i="1"/>
  <c r="V112" i="1"/>
  <c r="X112" i="1"/>
  <c r="Y112" i="1"/>
  <c r="AC112" i="1"/>
  <c r="AD112" i="1"/>
  <c r="AE112" i="1"/>
  <c r="V113" i="1"/>
  <c r="X113" i="1"/>
  <c r="Y113" i="1"/>
  <c r="AC113" i="1"/>
  <c r="AD113" i="1"/>
  <c r="AE113" i="1"/>
  <c r="V114" i="1"/>
  <c r="X114" i="1"/>
  <c r="Y114" i="1"/>
  <c r="AC114" i="1"/>
  <c r="AD114" i="1"/>
  <c r="AE114" i="1"/>
  <c r="V115" i="1"/>
  <c r="X115" i="1"/>
  <c r="Y115" i="1"/>
  <c r="AC115" i="1"/>
  <c r="AD115" i="1"/>
  <c r="AE115" i="1"/>
  <c r="V116" i="1"/>
  <c r="X116" i="1"/>
  <c r="Y116" i="1"/>
  <c r="AC116" i="1"/>
  <c r="AD116" i="1"/>
  <c r="AE116" i="1"/>
  <c r="V117" i="1"/>
  <c r="X117" i="1"/>
  <c r="Y117" i="1"/>
  <c r="AC117" i="1"/>
  <c r="AD117" i="1"/>
  <c r="AE117" i="1"/>
  <c r="V118" i="1"/>
  <c r="X118" i="1"/>
  <c r="Y118" i="1"/>
  <c r="AC118" i="1"/>
  <c r="AD118" i="1"/>
  <c r="AE118" i="1"/>
  <c r="V119" i="1"/>
  <c r="X119" i="1"/>
  <c r="Y119" i="1"/>
  <c r="AC119" i="1"/>
  <c r="AD119" i="1"/>
  <c r="AE119" i="1"/>
  <c r="V120" i="1"/>
  <c r="X120" i="1"/>
  <c r="Y120" i="1"/>
  <c r="AC120" i="1"/>
  <c r="AD120" i="1"/>
  <c r="AE120" i="1"/>
  <c r="V121" i="1"/>
  <c r="AK121" i="1" s="1"/>
  <c r="X121" i="1"/>
  <c r="Y121" i="1"/>
  <c r="AC121" i="1"/>
  <c r="AD121" i="1"/>
  <c r="AE121" i="1"/>
  <c r="V122" i="1"/>
  <c r="X122" i="1"/>
  <c r="Y122" i="1"/>
  <c r="AC122" i="1"/>
  <c r="AD122" i="1"/>
  <c r="AE122" i="1"/>
  <c r="V123" i="1"/>
  <c r="X123" i="1"/>
  <c r="Y123" i="1"/>
  <c r="AC123" i="1"/>
  <c r="AD123" i="1"/>
  <c r="AE123" i="1"/>
  <c r="V124" i="1"/>
  <c r="AF124" i="1" s="1"/>
  <c r="X124" i="1"/>
  <c r="Y124" i="1"/>
  <c r="AC124" i="1"/>
  <c r="AD124" i="1"/>
  <c r="AE124" i="1"/>
  <c r="V125" i="1"/>
  <c r="AG125" i="1" s="1"/>
  <c r="X125" i="1"/>
  <c r="Y125" i="1"/>
  <c r="AC125" i="1"/>
  <c r="AD125" i="1"/>
  <c r="AE125" i="1"/>
  <c r="V126" i="1"/>
  <c r="X126" i="1"/>
  <c r="Y126" i="1"/>
  <c r="AC126" i="1"/>
  <c r="AD126" i="1"/>
  <c r="AE126" i="1"/>
  <c r="V127" i="1"/>
  <c r="X127" i="1"/>
  <c r="Y127" i="1"/>
  <c r="AC127" i="1"/>
  <c r="AD127" i="1"/>
  <c r="AE127" i="1"/>
  <c r="V128" i="1"/>
  <c r="X128" i="1"/>
  <c r="Y128" i="1"/>
  <c r="AC128" i="1"/>
  <c r="AD128" i="1"/>
  <c r="AE128" i="1"/>
  <c r="V129" i="1"/>
  <c r="X129" i="1"/>
  <c r="Y129" i="1"/>
  <c r="AC129" i="1"/>
  <c r="AD129" i="1"/>
  <c r="AE129" i="1"/>
  <c r="V130" i="1"/>
  <c r="X130" i="1"/>
  <c r="Y130" i="1"/>
  <c r="AC130" i="1"/>
  <c r="AD130" i="1"/>
  <c r="AE130" i="1"/>
  <c r="V131" i="1"/>
  <c r="X131" i="1"/>
  <c r="Y131" i="1"/>
  <c r="AC131" i="1"/>
  <c r="AD131" i="1"/>
  <c r="AE131" i="1"/>
  <c r="V132" i="1"/>
  <c r="AJ132" i="1" s="1"/>
  <c r="X132" i="1"/>
  <c r="Y132" i="1"/>
  <c r="AC132" i="1"/>
  <c r="AD132" i="1"/>
  <c r="AE132" i="1"/>
  <c r="V133" i="1"/>
  <c r="X133" i="1"/>
  <c r="Y133" i="1"/>
  <c r="AC133" i="1"/>
  <c r="AD133" i="1"/>
  <c r="AE133" i="1"/>
  <c r="V134" i="1"/>
  <c r="X134" i="1"/>
  <c r="Y134" i="1"/>
  <c r="AC134" i="1"/>
  <c r="AD134" i="1"/>
  <c r="AE134" i="1"/>
  <c r="V135" i="1"/>
  <c r="X135" i="1"/>
  <c r="Y135" i="1"/>
  <c r="AC135" i="1"/>
  <c r="AD135" i="1"/>
  <c r="AE135" i="1"/>
  <c r="V136" i="1"/>
  <c r="AJ136" i="1" s="1"/>
  <c r="X136" i="1"/>
  <c r="Y136" i="1"/>
  <c r="AC136" i="1"/>
  <c r="AD136" i="1"/>
  <c r="AE136" i="1"/>
  <c r="V137" i="1"/>
  <c r="X137" i="1"/>
  <c r="Y137" i="1"/>
  <c r="AC137" i="1"/>
  <c r="AD137" i="1"/>
  <c r="AE137" i="1"/>
  <c r="V138" i="1"/>
  <c r="X138" i="1"/>
  <c r="Y138" i="1"/>
  <c r="AC138" i="1"/>
  <c r="AD138" i="1"/>
  <c r="AE138" i="1"/>
  <c r="V139" i="1"/>
  <c r="X139" i="1"/>
  <c r="Y139" i="1"/>
  <c r="AC139" i="1"/>
  <c r="AD139" i="1"/>
  <c r="AE139" i="1"/>
  <c r="V140" i="1"/>
  <c r="X140" i="1"/>
  <c r="Y140" i="1"/>
  <c r="AC140" i="1"/>
  <c r="AD140" i="1"/>
  <c r="AE140" i="1"/>
  <c r="V141" i="1"/>
  <c r="X141" i="1"/>
  <c r="Y141" i="1"/>
  <c r="AC141" i="1"/>
  <c r="AD141" i="1"/>
  <c r="AE141" i="1"/>
  <c r="V142" i="1"/>
  <c r="X142" i="1"/>
  <c r="Y142" i="1"/>
  <c r="AC142" i="1"/>
  <c r="AD142" i="1"/>
  <c r="AE142" i="1"/>
  <c r="V143" i="1"/>
  <c r="AK143" i="1" s="1"/>
  <c r="X143" i="1"/>
  <c r="Y143" i="1"/>
  <c r="AC143" i="1"/>
  <c r="AD143" i="1"/>
  <c r="AE143" i="1"/>
  <c r="V144" i="1"/>
  <c r="AJ144" i="1" s="1"/>
  <c r="X144" i="1"/>
  <c r="Y144" i="1"/>
  <c r="AC144" i="1"/>
  <c r="AD144" i="1"/>
  <c r="AE144" i="1"/>
  <c r="V145" i="1"/>
  <c r="X145" i="1"/>
  <c r="Y145" i="1"/>
  <c r="AC145" i="1"/>
  <c r="AD145" i="1"/>
  <c r="AE145" i="1"/>
  <c r="V146" i="1"/>
  <c r="X146" i="1"/>
  <c r="Y146" i="1"/>
  <c r="AC146" i="1"/>
  <c r="AD146" i="1"/>
  <c r="AE146" i="1"/>
  <c r="V147" i="1"/>
  <c r="X147" i="1"/>
  <c r="Y147" i="1"/>
  <c r="AC147" i="1"/>
  <c r="AD147" i="1"/>
  <c r="AE147" i="1"/>
  <c r="V148" i="1"/>
  <c r="X148" i="1"/>
  <c r="Y148" i="1"/>
  <c r="AC148" i="1"/>
  <c r="AD148" i="1"/>
  <c r="AE148" i="1"/>
  <c r="V149" i="1"/>
  <c r="X149" i="1"/>
  <c r="Y149" i="1"/>
  <c r="AC149" i="1"/>
  <c r="AD149" i="1"/>
  <c r="AE149" i="1"/>
  <c r="V150" i="1"/>
  <c r="X150" i="1"/>
  <c r="Y150" i="1"/>
  <c r="AC150" i="1"/>
  <c r="AD150" i="1"/>
  <c r="AE150" i="1"/>
  <c r="V151" i="1"/>
  <c r="X151" i="1"/>
  <c r="Y151" i="1"/>
  <c r="AC151" i="1"/>
  <c r="AD151" i="1"/>
  <c r="AE151" i="1"/>
  <c r="V152" i="1"/>
  <c r="X152" i="1"/>
  <c r="Y152" i="1"/>
  <c r="AC152" i="1"/>
  <c r="AD152" i="1"/>
  <c r="AE152" i="1"/>
  <c r="V153" i="1"/>
  <c r="X153" i="1"/>
  <c r="Y153" i="1"/>
  <c r="AC153" i="1"/>
  <c r="AD153" i="1"/>
  <c r="AE153" i="1"/>
  <c r="V154" i="1"/>
  <c r="X154" i="1"/>
  <c r="Y154" i="1"/>
  <c r="AC154" i="1"/>
  <c r="AD154" i="1"/>
  <c r="AE154" i="1"/>
  <c r="V155" i="1"/>
  <c r="X155" i="1"/>
  <c r="Y155" i="1"/>
  <c r="AC155" i="1"/>
  <c r="AD155" i="1"/>
  <c r="AE155" i="1"/>
  <c r="V156" i="1"/>
  <c r="X156" i="1"/>
  <c r="Y156" i="1"/>
  <c r="AC156" i="1"/>
  <c r="AD156" i="1"/>
  <c r="AE156" i="1"/>
  <c r="V157" i="1"/>
  <c r="X157" i="1"/>
  <c r="Y157" i="1"/>
  <c r="AC157" i="1"/>
  <c r="AD157" i="1"/>
  <c r="AE157" i="1"/>
  <c r="V158" i="1"/>
  <c r="X158" i="1"/>
  <c r="Y158" i="1"/>
  <c r="AC158" i="1"/>
  <c r="AD158" i="1"/>
  <c r="AE158" i="1"/>
  <c r="V159" i="1"/>
  <c r="X159" i="1"/>
  <c r="Y159" i="1"/>
  <c r="AC159" i="1"/>
  <c r="AD159" i="1"/>
  <c r="AE159" i="1"/>
  <c r="V160" i="1"/>
  <c r="X160" i="1"/>
  <c r="Y160" i="1"/>
  <c r="AC160" i="1"/>
  <c r="AD160" i="1"/>
  <c r="AE160" i="1"/>
  <c r="V161" i="1"/>
  <c r="X161" i="1"/>
  <c r="Y161" i="1"/>
  <c r="AC161" i="1"/>
  <c r="AD161" i="1"/>
  <c r="AE161" i="1"/>
  <c r="V162" i="1"/>
  <c r="X162" i="1"/>
  <c r="Y162" i="1"/>
  <c r="AC162" i="1"/>
  <c r="AD162" i="1"/>
  <c r="AE162" i="1"/>
  <c r="V163" i="1"/>
  <c r="X163" i="1"/>
  <c r="Y163" i="1"/>
  <c r="AC163" i="1"/>
  <c r="AD163" i="1"/>
  <c r="AE163" i="1"/>
  <c r="V164" i="1"/>
  <c r="AJ164" i="1" s="1"/>
  <c r="X164" i="1"/>
  <c r="Y164" i="1"/>
  <c r="AC164" i="1"/>
  <c r="AD164" i="1"/>
  <c r="AE164" i="1"/>
  <c r="V165" i="1"/>
  <c r="AK165" i="1" s="1"/>
  <c r="X165" i="1"/>
  <c r="Y165" i="1"/>
  <c r="AC165" i="1"/>
  <c r="AD165" i="1"/>
  <c r="AE165" i="1"/>
  <c r="V166" i="1"/>
  <c r="X166" i="1"/>
  <c r="Y166" i="1"/>
  <c r="AC166" i="1"/>
  <c r="AD166" i="1"/>
  <c r="AE166" i="1"/>
  <c r="V167" i="1"/>
  <c r="X167" i="1"/>
  <c r="Y167" i="1"/>
  <c r="AC167" i="1"/>
  <c r="AD167" i="1"/>
  <c r="AE167" i="1"/>
  <c r="V168" i="1"/>
  <c r="AJ168" i="1" s="1"/>
  <c r="X168" i="1"/>
  <c r="Y168" i="1"/>
  <c r="AC168" i="1"/>
  <c r="AD168" i="1"/>
  <c r="AE168" i="1"/>
  <c r="V169" i="1"/>
  <c r="X169" i="1"/>
  <c r="Y169" i="1"/>
  <c r="AC169" i="1"/>
  <c r="AD169" i="1"/>
  <c r="AE169" i="1"/>
  <c r="V170" i="1"/>
  <c r="X170" i="1"/>
  <c r="Y170" i="1"/>
  <c r="AC170" i="1"/>
  <c r="AD170" i="1"/>
  <c r="AE170" i="1"/>
  <c r="V171" i="1"/>
  <c r="X171" i="1"/>
  <c r="Y171" i="1"/>
  <c r="AC171" i="1"/>
  <c r="AD171" i="1"/>
  <c r="AE171" i="1"/>
  <c r="V172" i="1"/>
  <c r="AJ172" i="1" s="1"/>
  <c r="X172" i="1"/>
  <c r="Y172" i="1"/>
  <c r="AC172" i="1"/>
  <c r="AD172" i="1"/>
  <c r="AE172" i="1"/>
  <c r="V173" i="1"/>
  <c r="X173" i="1"/>
  <c r="Y173" i="1"/>
  <c r="AC173" i="1"/>
  <c r="AD173" i="1"/>
  <c r="AE173" i="1"/>
  <c r="V174" i="1"/>
  <c r="AF174" i="1" s="1"/>
  <c r="X174" i="1"/>
  <c r="Y174" i="1"/>
  <c r="AC174" i="1"/>
  <c r="AD174" i="1"/>
  <c r="AE174" i="1"/>
  <c r="V175" i="1"/>
  <c r="X175" i="1"/>
  <c r="Y175" i="1"/>
  <c r="AC175" i="1"/>
  <c r="AD175" i="1"/>
  <c r="AE175" i="1"/>
  <c r="V176" i="1"/>
  <c r="AJ176" i="1" s="1"/>
  <c r="X176" i="1"/>
  <c r="Y176" i="1"/>
  <c r="AC176" i="1"/>
  <c r="AD176" i="1"/>
  <c r="AE176" i="1"/>
  <c r="V177" i="1"/>
  <c r="X177" i="1"/>
  <c r="Y177" i="1"/>
  <c r="AC177" i="1"/>
  <c r="AD177" i="1"/>
  <c r="AE177" i="1"/>
  <c r="V178" i="1"/>
  <c r="X178" i="1"/>
  <c r="Y178" i="1"/>
  <c r="AC178" i="1"/>
  <c r="AD178" i="1"/>
  <c r="AE178" i="1"/>
  <c r="V179" i="1"/>
  <c r="X179" i="1"/>
  <c r="Y179" i="1"/>
  <c r="AC179" i="1"/>
  <c r="AD179" i="1"/>
  <c r="AE179" i="1"/>
  <c r="V180" i="1"/>
  <c r="X180" i="1"/>
  <c r="Y180" i="1"/>
  <c r="AC180" i="1"/>
  <c r="AD180" i="1"/>
  <c r="AE180" i="1"/>
  <c r="V181" i="1"/>
  <c r="X181" i="1"/>
  <c r="Y181" i="1"/>
  <c r="AC181" i="1"/>
  <c r="AD181" i="1"/>
  <c r="AE181" i="1"/>
  <c r="V182" i="1"/>
  <c r="X182" i="1"/>
  <c r="Y182" i="1"/>
  <c r="AC182" i="1"/>
  <c r="AD182" i="1"/>
  <c r="AE182" i="1"/>
  <c r="V183" i="1"/>
  <c r="X183" i="1"/>
  <c r="Y183" i="1"/>
  <c r="AC183" i="1"/>
  <c r="AD183" i="1"/>
  <c r="AE183" i="1"/>
  <c r="V184" i="1"/>
  <c r="X184" i="1"/>
  <c r="Y184" i="1"/>
  <c r="AC184" i="1"/>
  <c r="AD184" i="1"/>
  <c r="AE184" i="1"/>
  <c r="V185" i="1"/>
  <c r="X185" i="1"/>
  <c r="Y185" i="1"/>
  <c r="AC185" i="1"/>
  <c r="AD185" i="1"/>
  <c r="AE185" i="1"/>
  <c r="V186" i="1"/>
  <c r="X186" i="1"/>
  <c r="Y186" i="1"/>
  <c r="AC186" i="1"/>
  <c r="AD186" i="1"/>
  <c r="AE186" i="1"/>
  <c r="V187" i="1"/>
  <c r="X187" i="1"/>
  <c r="Y187" i="1"/>
  <c r="AC187" i="1"/>
  <c r="AD187" i="1"/>
  <c r="AE187" i="1"/>
  <c r="V188" i="1"/>
  <c r="AJ188" i="1" s="1"/>
  <c r="X188" i="1"/>
  <c r="Y188" i="1"/>
  <c r="AC188" i="1"/>
  <c r="AD188" i="1"/>
  <c r="AE188" i="1"/>
  <c r="V189" i="1"/>
  <c r="X189" i="1"/>
  <c r="Y189" i="1"/>
  <c r="AC189" i="1"/>
  <c r="AD189" i="1"/>
  <c r="AE189" i="1"/>
  <c r="V190" i="1"/>
  <c r="X190" i="1"/>
  <c r="Y190" i="1"/>
  <c r="AC190" i="1"/>
  <c r="AD190" i="1"/>
  <c r="AE190" i="1"/>
  <c r="V191" i="1"/>
  <c r="X191" i="1"/>
  <c r="Y191" i="1"/>
  <c r="AC191" i="1"/>
  <c r="AD191" i="1"/>
  <c r="AE191" i="1"/>
  <c r="V192" i="1"/>
  <c r="X192" i="1"/>
  <c r="Y192" i="1"/>
  <c r="AC192" i="1"/>
  <c r="AD192" i="1"/>
  <c r="AE192" i="1"/>
  <c r="V193" i="1"/>
  <c r="X193" i="1"/>
  <c r="Y193" i="1"/>
  <c r="AC193" i="1"/>
  <c r="AD193" i="1"/>
  <c r="AE193" i="1"/>
  <c r="V194" i="1"/>
  <c r="X194" i="1"/>
  <c r="Y194" i="1"/>
  <c r="AC194" i="1"/>
  <c r="AD194" i="1"/>
  <c r="AE194" i="1"/>
  <c r="V195" i="1"/>
  <c r="X195" i="1"/>
  <c r="Y195" i="1"/>
  <c r="AC195" i="1"/>
  <c r="AD195" i="1"/>
  <c r="AE195" i="1"/>
  <c r="V196" i="1"/>
  <c r="AJ196" i="1" s="1"/>
  <c r="X196" i="1"/>
  <c r="Y196" i="1"/>
  <c r="AC196" i="1"/>
  <c r="AD196" i="1"/>
  <c r="AE196" i="1"/>
  <c r="V197" i="1"/>
  <c r="X197" i="1"/>
  <c r="Y197" i="1"/>
  <c r="AC197" i="1"/>
  <c r="AD197" i="1"/>
  <c r="AE197" i="1"/>
  <c r="V198" i="1"/>
  <c r="X198" i="1"/>
  <c r="Y198" i="1"/>
  <c r="AC198" i="1"/>
  <c r="AD198" i="1"/>
  <c r="AE198" i="1"/>
  <c r="V199" i="1"/>
  <c r="X199" i="1"/>
  <c r="Y199" i="1"/>
  <c r="AC199" i="1"/>
  <c r="AD199" i="1"/>
  <c r="AE199" i="1"/>
  <c r="V200" i="1"/>
  <c r="AJ200" i="1" s="1"/>
  <c r="X200" i="1"/>
  <c r="Y200" i="1"/>
  <c r="AC200" i="1"/>
  <c r="AD200" i="1"/>
  <c r="AE200" i="1"/>
  <c r="V201" i="1"/>
  <c r="X201" i="1"/>
  <c r="Y201" i="1"/>
  <c r="AC201" i="1"/>
  <c r="AD201" i="1"/>
  <c r="AE201" i="1"/>
  <c r="V202" i="1"/>
  <c r="X202" i="1"/>
  <c r="Y202" i="1"/>
  <c r="AC202" i="1"/>
  <c r="AD202" i="1"/>
  <c r="AE202" i="1"/>
  <c r="V203" i="1"/>
  <c r="X203" i="1"/>
  <c r="Y203" i="1"/>
  <c r="AC203" i="1"/>
  <c r="AD203" i="1"/>
  <c r="AE203" i="1"/>
  <c r="V204" i="1"/>
  <c r="AJ204" i="1" s="1"/>
  <c r="X204" i="1"/>
  <c r="Y204" i="1"/>
  <c r="AC204" i="1"/>
  <c r="AD204" i="1"/>
  <c r="AE204" i="1"/>
  <c r="V205" i="1"/>
  <c r="X205" i="1"/>
  <c r="Y205" i="1"/>
  <c r="AC205" i="1"/>
  <c r="AD205" i="1"/>
  <c r="AE205" i="1"/>
  <c r="V206" i="1"/>
  <c r="X206" i="1"/>
  <c r="Y206" i="1"/>
  <c r="AC206" i="1"/>
  <c r="AD206" i="1"/>
  <c r="AE206" i="1"/>
  <c r="V207" i="1"/>
  <c r="X207" i="1"/>
  <c r="Y207" i="1"/>
  <c r="AC207" i="1"/>
  <c r="AD207" i="1"/>
  <c r="AE207" i="1"/>
  <c r="V208" i="1"/>
  <c r="AJ208" i="1" s="1"/>
  <c r="X208" i="1"/>
  <c r="Y208" i="1"/>
  <c r="AC208" i="1"/>
  <c r="AD208" i="1"/>
  <c r="AE208" i="1"/>
  <c r="V209" i="1"/>
  <c r="X209" i="1"/>
  <c r="Y209" i="1"/>
  <c r="AC209" i="1"/>
  <c r="AD209" i="1"/>
  <c r="AE209" i="1"/>
  <c r="V210" i="1"/>
  <c r="X210" i="1"/>
  <c r="Y210" i="1"/>
  <c r="AC210" i="1"/>
  <c r="AD210" i="1"/>
  <c r="AE210" i="1"/>
  <c r="V211" i="1"/>
  <c r="X211" i="1"/>
  <c r="Y211" i="1"/>
  <c r="AC211" i="1"/>
  <c r="AD211" i="1"/>
  <c r="AE211" i="1"/>
  <c r="V212" i="1"/>
  <c r="X212" i="1"/>
  <c r="Y212" i="1"/>
  <c r="AC212" i="1"/>
  <c r="AD212" i="1"/>
  <c r="AE212" i="1"/>
  <c r="V213" i="1"/>
  <c r="X213" i="1"/>
  <c r="Y213" i="1"/>
  <c r="AC213" i="1"/>
  <c r="AD213" i="1"/>
  <c r="AE213" i="1"/>
  <c r="V214" i="1"/>
  <c r="X214" i="1"/>
  <c r="Y214" i="1"/>
  <c r="AC214" i="1"/>
  <c r="AD214" i="1"/>
  <c r="AE214" i="1"/>
  <c r="V215" i="1"/>
  <c r="X215" i="1"/>
  <c r="Y215" i="1"/>
  <c r="AC215" i="1"/>
  <c r="AD215" i="1"/>
  <c r="AE215" i="1"/>
  <c r="V216" i="1"/>
  <c r="X216" i="1"/>
  <c r="Y216" i="1"/>
  <c r="AC216" i="1"/>
  <c r="AD216" i="1"/>
  <c r="AE216" i="1"/>
  <c r="V217" i="1"/>
  <c r="X217" i="1"/>
  <c r="Y217" i="1"/>
  <c r="AC217" i="1"/>
  <c r="AD217" i="1"/>
  <c r="AE217" i="1"/>
  <c r="V218" i="1"/>
  <c r="X218" i="1"/>
  <c r="Y218" i="1"/>
  <c r="AC218" i="1"/>
  <c r="AD218" i="1"/>
  <c r="AE218" i="1"/>
  <c r="V219" i="1"/>
  <c r="X219" i="1"/>
  <c r="Y219" i="1"/>
  <c r="AC219" i="1"/>
  <c r="AD219" i="1"/>
  <c r="AE219" i="1"/>
  <c r="V220" i="1"/>
  <c r="AJ220" i="1" s="1"/>
  <c r="X220" i="1"/>
  <c r="Y220" i="1"/>
  <c r="AC220" i="1"/>
  <c r="AD220" i="1"/>
  <c r="AE220" i="1"/>
  <c r="V221" i="1"/>
  <c r="X221" i="1"/>
  <c r="Y221" i="1"/>
  <c r="AC221" i="1"/>
  <c r="AD221" i="1"/>
  <c r="AE221" i="1"/>
  <c r="V222" i="1"/>
  <c r="X222" i="1"/>
  <c r="Y222" i="1"/>
  <c r="AC222" i="1"/>
  <c r="AD222" i="1"/>
  <c r="AE222" i="1"/>
  <c r="V223" i="1"/>
  <c r="X223" i="1"/>
  <c r="Y223" i="1"/>
  <c r="AC223" i="1"/>
  <c r="AD223" i="1"/>
  <c r="AE223" i="1"/>
  <c r="V224" i="1"/>
  <c r="X224" i="1"/>
  <c r="Y224" i="1"/>
  <c r="AC224" i="1"/>
  <c r="AD224" i="1"/>
  <c r="AE224" i="1"/>
  <c r="V225" i="1"/>
  <c r="X225" i="1"/>
  <c r="Y225" i="1"/>
  <c r="AC225" i="1"/>
  <c r="AD225" i="1"/>
  <c r="AE225" i="1"/>
  <c r="V226" i="1"/>
  <c r="X226" i="1"/>
  <c r="Y226" i="1"/>
  <c r="AC226" i="1"/>
  <c r="AD226" i="1"/>
  <c r="AE226" i="1"/>
  <c r="V227" i="1"/>
  <c r="X227" i="1"/>
  <c r="Y227" i="1"/>
  <c r="AC227" i="1"/>
  <c r="AD227" i="1"/>
  <c r="AE227" i="1"/>
  <c r="V228" i="1"/>
  <c r="AJ228" i="1" s="1"/>
  <c r="X228" i="1"/>
  <c r="Y228" i="1"/>
  <c r="AC228" i="1"/>
  <c r="AD228" i="1"/>
  <c r="AE228" i="1"/>
  <c r="V229" i="1"/>
  <c r="AK229" i="1" s="1"/>
  <c r="X229" i="1"/>
  <c r="Y229" i="1"/>
  <c r="AC229" i="1"/>
  <c r="AD229" i="1"/>
  <c r="AE229" i="1"/>
  <c r="V230" i="1"/>
  <c r="X230" i="1"/>
  <c r="Y230" i="1"/>
  <c r="AC230" i="1"/>
  <c r="AD230" i="1"/>
  <c r="AE230" i="1"/>
  <c r="V231" i="1"/>
  <c r="X231" i="1"/>
  <c r="Y231" i="1"/>
  <c r="AC231" i="1"/>
  <c r="AD231" i="1"/>
  <c r="AE231" i="1"/>
  <c r="V232" i="1"/>
  <c r="AJ232" i="1" s="1"/>
  <c r="X232" i="1"/>
  <c r="Y232" i="1"/>
  <c r="AC232" i="1"/>
  <c r="AD232" i="1"/>
  <c r="AE232" i="1"/>
  <c r="V233" i="1"/>
  <c r="X233" i="1"/>
  <c r="Y233" i="1"/>
  <c r="AC233" i="1"/>
  <c r="AD233" i="1"/>
  <c r="AE233" i="1"/>
  <c r="V234" i="1"/>
  <c r="X234" i="1"/>
  <c r="Y234" i="1"/>
  <c r="AC234" i="1"/>
  <c r="AD234" i="1"/>
  <c r="AE234" i="1"/>
  <c r="V235" i="1"/>
  <c r="X235" i="1"/>
  <c r="Y235" i="1"/>
  <c r="AC235" i="1"/>
  <c r="AD235" i="1"/>
  <c r="AE235" i="1"/>
  <c r="V236" i="1"/>
  <c r="AJ236" i="1" s="1"/>
  <c r="X236" i="1"/>
  <c r="Y236" i="1"/>
  <c r="AC236" i="1"/>
  <c r="AD236" i="1"/>
  <c r="AE236" i="1"/>
  <c r="V237" i="1"/>
  <c r="X237" i="1"/>
  <c r="Y237" i="1"/>
  <c r="AC237" i="1"/>
  <c r="AD237" i="1"/>
  <c r="AE237" i="1"/>
  <c r="V238" i="1"/>
  <c r="X238" i="1"/>
  <c r="Y238" i="1"/>
  <c r="AC238" i="1"/>
  <c r="AD238" i="1"/>
  <c r="AE238" i="1"/>
  <c r="V239" i="1"/>
  <c r="X239" i="1"/>
  <c r="Y239" i="1"/>
  <c r="AC239" i="1"/>
  <c r="AD239" i="1"/>
  <c r="AE239" i="1"/>
  <c r="V240" i="1"/>
  <c r="AJ240" i="1" s="1"/>
  <c r="X240" i="1"/>
  <c r="Y240" i="1"/>
  <c r="AC240" i="1"/>
  <c r="AD240" i="1"/>
  <c r="AE240" i="1"/>
  <c r="V241" i="1"/>
  <c r="X241" i="1"/>
  <c r="Y241" i="1"/>
  <c r="AC241" i="1"/>
  <c r="AD241" i="1"/>
  <c r="AE241" i="1"/>
  <c r="V242" i="1"/>
  <c r="X242" i="1"/>
  <c r="Y242" i="1"/>
  <c r="AC242" i="1"/>
  <c r="AD242" i="1"/>
  <c r="AE242" i="1"/>
  <c r="V243" i="1"/>
  <c r="X243" i="1"/>
  <c r="Y243" i="1"/>
  <c r="AC243" i="1"/>
  <c r="AD243" i="1"/>
  <c r="AE243" i="1"/>
  <c r="V244" i="1"/>
  <c r="X244" i="1"/>
  <c r="Y244" i="1"/>
  <c r="AC244" i="1"/>
  <c r="AD244" i="1"/>
  <c r="AE244" i="1"/>
  <c r="V245" i="1"/>
  <c r="X245" i="1"/>
  <c r="Y245" i="1"/>
  <c r="AC245" i="1"/>
  <c r="AD245" i="1"/>
  <c r="AE245" i="1"/>
  <c r="V246" i="1"/>
  <c r="X246" i="1"/>
  <c r="Y246" i="1"/>
  <c r="AC246" i="1"/>
  <c r="AD246" i="1"/>
  <c r="AE246" i="1"/>
  <c r="V247" i="1"/>
  <c r="X247" i="1"/>
  <c r="Y247" i="1"/>
  <c r="AC247" i="1"/>
  <c r="AD247" i="1"/>
  <c r="AE247" i="1"/>
  <c r="V248" i="1"/>
  <c r="X248" i="1"/>
  <c r="Y248" i="1"/>
  <c r="AC248" i="1"/>
  <c r="AD248" i="1"/>
  <c r="AE248" i="1"/>
  <c r="V249" i="1"/>
  <c r="X249" i="1"/>
  <c r="Y249" i="1"/>
  <c r="AC249" i="1"/>
  <c r="AD249" i="1"/>
  <c r="AE249" i="1"/>
  <c r="V250" i="1"/>
  <c r="X250" i="1"/>
  <c r="Y250" i="1"/>
  <c r="AC250" i="1"/>
  <c r="AD250" i="1"/>
  <c r="AE250" i="1"/>
  <c r="V251" i="1"/>
  <c r="X251" i="1"/>
  <c r="Y251" i="1"/>
  <c r="AC251" i="1"/>
  <c r="AD251" i="1"/>
  <c r="AE251" i="1"/>
  <c r="V252" i="1"/>
  <c r="AJ252" i="1" s="1"/>
  <c r="X252" i="1"/>
  <c r="Y252" i="1"/>
  <c r="AC252" i="1"/>
  <c r="AD252" i="1"/>
  <c r="AE252" i="1"/>
  <c r="V253" i="1"/>
  <c r="X253" i="1"/>
  <c r="Y253" i="1"/>
  <c r="AC253" i="1"/>
  <c r="AD253" i="1"/>
  <c r="AE253" i="1"/>
  <c r="V254" i="1"/>
  <c r="X254" i="1"/>
  <c r="Y254" i="1"/>
  <c r="AC254" i="1"/>
  <c r="AD254" i="1"/>
  <c r="AE254" i="1"/>
  <c r="V255" i="1"/>
  <c r="X255" i="1"/>
  <c r="Y255" i="1"/>
  <c r="AC255" i="1"/>
  <c r="AD255" i="1"/>
  <c r="AE255" i="1"/>
  <c r="V256" i="1"/>
  <c r="X256" i="1"/>
  <c r="Y256" i="1"/>
  <c r="AC256" i="1"/>
  <c r="AD256" i="1"/>
  <c r="AE256" i="1"/>
  <c r="V257" i="1"/>
  <c r="X257" i="1"/>
  <c r="Y257" i="1"/>
  <c r="AC257" i="1"/>
  <c r="AD257" i="1"/>
  <c r="AE257" i="1"/>
  <c r="V258" i="1"/>
  <c r="X258" i="1"/>
  <c r="Y258" i="1"/>
  <c r="AC258" i="1"/>
  <c r="AD258" i="1"/>
  <c r="AE258" i="1"/>
  <c r="V259" i="1"/>
  <c r="X259" i="1"/>
  <c r="Y259" i="1"/>
  <c r="AC259" i="1"/>
  <c r="AD259" i="1"/>
  <c r="AE259" i="1"/>
  <c r="V260" i="1"/>
  <c r="AJ260" i="1" s="1"/>
  <c r="X260" i="1"/>
  <c r="Y260" i="1"/>
  <c r="AC260" i="1"/>
  <c r="AD260" i="1"/>
  <c r="AE260" i="1"/>
  <c r="V261" i="1"/>
  <c r="X261" i="1"/>
  <c r="Y261" i="1"/>
  <c r="AC261" i="1"/>
  <c r="AD261" i="1"/>
  <c r="AE261" i="1"/>
  <c r="V262" i="1"/>
  <c r="X262" i="1"/>
  <c r="Y262" i="1"/>
  <c r="AC262" i="1"/>
  <c r="AD262" i="1"/>
  <c r="AE262" i="1"/>
  <c r="V263" i="1"/>
  <c r="X263" i="1"/>
  <c r="Y263" i="1"/>
  <c r="AC263" i="1"/>
  <c r="AD263" i="1"/>
  <c r="AE263" i="1"/>
  <c r="V264" i="1"/>
  <c r="AJ264" i="1" s="1"/>
  <c r="X264" i="1"/>
  <c r="Y264" i="1"/>
  <c r="AC264" i="1"/>
  <c r="AD264" i="1"/>
  <c r="AE264" i="1"/>
  <c r="V265" i="1"/>
  <c r="X265" i="1"/>
  <c r="Y265" i="1"/>
  <c r="AC265" i="1"/>
  <c r="AD265" i="1"/>
  <c r="AE265" i="1"/>
  <c r="V266" i="1"/>
  <c r="X266" i="1"/>
  <c r="Y266" i="1"/>
  <c r="AC266" i="1"/>
  <c r="AD266" i="1"/>
  <c r="AE266" i="1"/>
  <c r="V267" i="1"/>
  <c r="X267" i="1"/>
  <c r="Y267" i="1"/>
  <c r="AC267" i="1"/>
  <c r="AD267" i="1"/>
  <c r="AE267" i="1"/>
  <c r="V268" i="1"/>
  <c r="AJ268" i="1" s="1"/>
  <c r="X268" i="1"/>
  <c r="Y268" i="1"/>
  <c r="AC268" i="1"/>
  <c r="AD268" i="1"/>
  <c r="AE268" i="1"/>
  <c r="V269" i="1"/>
  <c r="X269" i="1"/>
  <c r="Y269" i="1"/>
  <c r="AC269" i="1"/>
  <c r="AD269" i="1"/>
  <c r="AE269" i="1"/>
  <c r="V270" i="1"/>
  <c r="X270" i="1"/>
  <c r="Y270" i="1"/>
  <c r="AC270" i="1"/>
  <c r="AD270" i="1"/>
  <c r="AE270" i="1"/>
  <c r="V271" i="1"/>
  <c r="X271" i="1"/>
  <c r="Y271" i="1"/>
  <c r="AC271" i="1"/>
  <c r="AD271" i="1"/>
  <c r="AE271" i="1"/>
  <c r="V272" i="1"/>
  <c r="AJ272" i="1" s="1"/>
  <c r="X272" i="1"/>
  <c r="Y272" i="1"/>
  <c r="AC272" i="1"/>
  <c r="AD272" i="1"/>
  <c r="AE272" i="1"/>
  <c r="V273" i="1"/>
  <c r="X273" i="1"/>
  <c r="Y273" i="1"/>
  <c r="AC273" i="1"/>
  <c r="AD273" i="1"/>
  <c r="AE273" i="1"/>
  <c r="V274" i="1"/>
  <c r="X274" i="1"/>
  <c r="Y274" i="1"/>
  <c r="AC274" i="1"/>
  <c r="AD274" i="1"/>
  <c r="AE274" i="1"/>
  <c r="V275" i="1"/>
  <c r="X275" i="1"/>
  <c r="Y275" i="1"/>
  <c r="AC275" i="1"/>
  <c r="AD275" i="1"/>
  <c r="AE275" i="1"/>
  <c r="V276" i="1"/>
  <c r="X276" i="1"/>
  <c r="Y276" i="1"/>
  <c r="AC276" i="1"/>
  <c r="AD276" i="1"/>
  <c r="AE276" i="1"/>
  <c r="V277" i="1"/>
  <c r="X277" i="1"/>
  <c r="Y277" i="1"/>
  <c r="AC277" i="1"/>
  <c r="AD277" i="1"/>
  <c r="AE277" i="1"/>
  <c r="V278" i="1"/>
  <c r="X278" i="1"/>
  <c r="Y278" i="1"/>
  <c r="AC278" i="1"/>
  <c r="AD278" i="1"/>
  <c r="AE278" i="1"/>
  <c r="V279" i="1"/>
  <c r="X279" i="1"/>
  <c r="Y279" i="1"/>
  <c r="AC279" i="1"/>
  <c r="AD279" i="1"/>
  <c r="AE279" i="1"/>
  <c r="V280" i="1"/>
  <c r="X280" i="1"/>
  <c r="Y280" i="1"/>
  <c r="AC280" i="1"/>
  <c r="AD280" i="1"/>
  <c r="AE280" i="1"/>
  <c r="V281" i="1"/>
  <c r="X281" i="1"/>
  <c r="Y281" i="1"/>
  <c r="AC281" i="1"/>
  <c r="AD281" i="1"/>
  <c r="AE281" i="1"/>
  <c r="V282" i="1"/>
  <c r="X282" i="1"/>
  <c r="Y282" i="1"/>
  <c r="AC282" i="1"/>
  <c r="AD282" i="1"/>
  <c r="AE282" i="1"/>
  <c r="V283" i="1"/>
  <c r="X283" i="1"/>
  <c r="Y283" i="1"/>
  <c r="AC283" i="1"/>
  <c r="AD283" i="1"/>
  <c r="AE283" i="1"/>
  <c r="V284" i="1"/>
  <c r="AJ284" i="1" s="1"/>
  <c r="X284" i="1"/>
  <c r="Y284" i="1"/>
  <c r="AC284" i="1"/>
  <c r="AD284" i="1"/>
  <c r="AE284" i="1"/>
  <c r="V285" i="1"/>
  <c r="X285" i="1"/>
  <c r="Y285" i="1"/>
  <c r="AC285" i="1"/>
  <c r="AD285" i="1"/>
  <c r="AE285" i="1"/>
  <c r="V286" i="1"/>
  <c r="X286" i="1"/>
  <c r="Y286" i="1"/>
  <c r="AC286" i="1"/>
  <c r="AD286" i="1"/>
  <c r="AE286" i="1"/>
  <c r="V287" i="1"/>
  <c r="X287" i="1"/>
  <c r="Y287" i="1"/>
  <c r="AC287" i="1"/>
  <c r="AD287" i="1"/>
  <c r="AE287" i="1"/>
  <c r="V288" i="1"/>
  <c r="X288" i="1"/>
  <c r="Y288" i="1"/>
  <c r="AC288" i="1"/>
  <c r="AD288" i="1"/>
  <c r="AE288" i="1"/>
  <c r="V289" i="1"/>
  <c r="X289" i="1"/>
  <c r="Y289" i="1"/>
  <c r="AC289" i="1"/>
  <c r="AD289" i="1"/>
  <c r="AE289" i="1"/>
  <c r="V290" i="1"/>
  <c r="X290" i="1"/>
  <c r="Y290" i="1"/>
  <c r="AC290" i="1"/>
  <c r="AD290" i="1"/>
  <c r="AE290" i="1"/>
  <c r="V291" i="1"/>
  <c r="X291" i="1"/>
  <c r="Y291" i="1"/>
  <c r="AC291" i="1"/>
  <c r="AD291" i="1"/>
  <c r="AE291" i="1"/>
  <c r="V292" i="1"/>
  <c r="AJ292" i="1" s="1"/>
  <c r="X292" i="1"/>
  <c r="Y292" i="1"/>
  <c r="AC292" i="1"/>
  <c r="AD292" i="1"/>
  <c r="AE292" i="1"/>
  <c r="V293" i="1"/>
  <c r="X293" i="1"/>
  <c r="Y293" i="1"/>
  <c r="AC293" i="1"/>
  <c r="AD293" i="1"/>
  <c r="AE293" i="1"/>
  <c r="V294" i="1"/>
  <c r="X294" i="1"/>
  <c r="Y294" i="1"/>
  <c r="AC294" i="1"/>
  <c r="AD294" i="1"/>
  <c r="AE294" i="1"/>
  <c r="V295" i="1"/>
  <c r="X295" i="1"/>
  <c r="Y295" i="1"/>
  <c r="AC295" i="1"/>
  <c r="AD295" i="1"/>
  <c r="AE295" i="1"/>
  <c r="V296" i="1"/>
  <c r="AJ296" i="1" s="1"/>
  <c r="X296" i="1"/>
  <c r="Y296" i="1"/>
  <c r="AC296" i="1"/>
  <c r="AD296" i="1"/>
  <c r="AE296" i="1"/>
  <c r="V297" i="1"/>
  <c r="X297" i="1"/>
  <c r="Y297" i="1"/>
  <c r="AC297" i="1"/>
  <c r="AD297" i="1"/>
  <c r="AE297" i="1"/>
  <c r="V298" i="1"/>
  <c r="X298" i="1"/>
  <c r="Y298" i="1"/>
  <c r="AC298" i="1"/>
  <c r="AD298" i="1"/>
  <c r="AE298" i="1"/>
  <c r="V299" i="1"/>
  <c r="X299" i="1"/>
  <c r="Y299" i="1"/>
  <c r="AC299" i="1"/>
  <c r="AD299" i="1"/>
  <c r="AE299" i="1"/>
  <c r="V300" i="1"/>
  <c r="AJ300" i="1" s="1"/>
  <c r="X300" i="1"/>
  <c r="Y300" i="1"/>
  <c r="AC300" i="1"/>
  <c r="AD300" i="1"/>
  <c r="AE300" i="1"/>
  <c r="V301" i="1"/>
  <c r="X301" i="1"/>
  <c r="Y301" i="1"/>
  <c r="AC301" i="1"/>
  <c r="AD301" i="1"/>
  <c r="AE301" i="1"/>
  <c r="V302" i="1"/>
  <c r="X302" i="1"/>
  <c r="Y302" i="1"/>
  <c r="AC302" i="1"/>
  <c r="AD302" i="1"/>
  <c r="AE302" i="1"/>
  <c r="V303" i="1"/>
  <c r="AF303" i="1" s="1"/>
  <c r="X303" i="1"/>
  <c r="Y303" i="1"/>
  <c r="AC303" i="1"/>
  <c r="AD303" i="1"/>
  <c r="AE303" i="1"/>
  <c r="V304" i="1"/>
  <c r="AJ304" i="1" s="1"/>
  <c r="X304" i="1"/>
  <c r="Y304" i="1"/>
  <c r="AC304" i="1"/>
  <c r="AD304" i="1"/>
  <c r="AE304" i="1"/>
  <c r="V305" i="1"/>
  <c r="X305" i="1"/>
  <c r="Y305" i="1"/>
  <c r="AC305" i="1"/>
  <c r="AD305" i="1"/>
  <c r="AE305" i="1"/>
  <c r="V306" i="1"/>
  <c r="X306" i="1"/>
  <c r="Y306" i="1"/>
  <c r="AC306" i="1"/>
  <c r="AD306" i="1"/>
  <c r="AE306" i="1"/>
  <c r="V307" i="1"/>
  <c r="X307" i="1"/>
  <c r="Y307" i="1"/>
  <c r="AC307" i="1"/>
  <c r="AD307" i="1"/>
  <c r="AE307" i="1"/>
  <c r="V308" i="1"/>
  <c r="X308" i="1"/>
  <c r="Y308" i="1"/>
  <c r="AC308" i="1"/>
  <c r="AD308" i="1"/>
  <c r="AE308" i="1"/>
  <c r="V309" i="1"/>
  <c r="X309" i="1"/>
  <c r="Y309" i="1"/>
  <c r="AC309" i="1"/>
  <c r="AD309" i="1"/>
  <c r="AE309" i="1"/>
  <c r="V310" i="1"/>
  <c r="X310" i="1"/>
  <c r="Y310" i="1"/>
  <c r="AC310" i="1"/>
  <c r="AD310" i="1"/>
  <c r="AE310" i="1"/>
  <c r="V311" i="1"/>
  <c r="X311" i="1"/>
  <c r="Y311" i="1"/>
  <c r="AC311" i="1"/>
  <c r="AD311" i="1"/>
  <c r="AE311" i="1"/>
  <c r="V312" i="1"/>
  <c r="X312" i="1"/>
  <c r="Y312" i="1"/>
  <c r="AC312" i="1"/>
  <c r="AD312" i="1"/>
  <c r="AE312" i="1"/>
  <c r="V313" i="1"/>
  <c r="AK313" i="1" s="1"/>
  <c r="X313" i="1"/>
  <c r="Y313" i="1"/>
  <c r="AC313" i="1"/>
  <c r="AD313" i="1"/>
  <c r="AE313" i="1"/>
  <c r="V314" i="1"/>
  <c r="X314" i="1"/>
  <c r="Y314" i="1"/>
  <c r="AC314" i="1"/>
  <c r="AD314" i="1"/>
  <c r="AE314" i="1"/>
  <c r="V315" i="1"/>
  <c r="X315" i="1"/>
  <c r="Y315" i="1"/>
  <c r="AC315" i="1"/>
  <c r="AD315" i="1"/>
  <c r="AE315" i="1"/>
  <c r="V316" i="1"/>
  <c r="AJ316" i="1" s="1"/>
  <c r="X316" i="1"/>
  <c r="Y316" i="1"/>
  <c r="AC316" i="1"/>
  <c r="AD316" i="1"/>
  <c r="AE316" i="1"/>
  <c r="V317" i="1"/>
  <c r="X317" i="1"/>
  <c r="Y317" i="1"/>
  <c r="AC317" i="1"/>
  <c r="AD317" i="1"/>
  <c r="AE317" i="1"/>
  <c r="V318" i="1"/>
  <c r="X318" i="1"/>
  <c r="Y318" i="1"/>
  <c r="AC318" i="1"/>
  <c r="AD318" i="1"/>
  <c r="AE318" i="1"/>
  <c r="V319" i="1"/>
  <c r="X319" i="1"/>
  <c r="Y319" i="1"/>
  <c r="AC319" i="1"/>
  <c r="AD319" i="1"/>
  <c r="AE319" i="1"/>
  <c r="V320" i="1"/>
  <c r="X320" i="1"/>
  <c r="Y320" i="1"/>
  <c r="AC320" i="1"/>
  <c r="AD320" i="1"/>
  <c r="AE320" i="1"/>
  <c r="V321" i="1"/>
  <c r="X321" i="1"/>
  <c r="Y321" i="1"/>
  <c r="AC321" i="1"/>
  <c r="AD321" i="1"/>
  <c r="AE321" i="1"/>
  <c r="V322" i="1"/>
  <c r="X322" i="1"/>
  <c r="Y322" i="1"/>
  <c r="AC322" i="1"/>
  <c r="AD322" i="1"/>
  <c r="AE322" i="1"/>
  <c r="V323" i="1"/>
  <c r="X323" i="1"/>
  <c r="Y323" i="1"/>
  <c r="AC323" i="1"/>
  <c r="AD323" i="1"/>
  <c r="AE323" i="1"/>
  <c r="V324" i="1"/>
  <c r="AJ324" i="1" s="1"/>
  <c r="X324" i="1"/>
  <c r="Y324" i="1"/>
  <c r="AC324" i="1"/>
  <c r="AD324" i="1"/>
  <c r="AE324" i="1"/>
  <c r="V325" i="1"/>
  <c r="X325" i="1"/>
  <c r="Y325" i="1"/>
  <c r="AC325" i="1"/>
  <c r="AD325" i="1"/>
  <c r="AE325" i="1"/>
  <c r="V326" i="1"/>
  <c r="X326" i="1"/>
  <c r="Y326" i="1"/>
  <c r="AC326" i="1"/>
  <c r="AD326" i="1"/>
  <c r="AE326" i="1"/>
  <c r="V327" i="1"/>
  <c r="X327" i="1"/>
  <c r="Y327" i="1"/>
  <c r="AC327" i="1"/>
  <c r="AD327" i="1"/>
  <c r="AE327" i="1"/>
  <c r="V328" i="1"/>
  <c r="X328" i="1"/>
  <c r="Y328" i="1"/>
  <c r="AC328" i="1"/>
  <c r="AD328" i="1"/>
  <c r="AE328" i="1"/>
  <c r="V329" i="1"/>
  <c r="X329" i="1"/>
  <c r="Y329" i="1"/>
  <c r="AC329" i="1"/>
  <c r="AD329" i="1"/>
  <c r="AE329" i="1"/>
  <c r="V330" i="1"/>
  <c r="X330" i="1"/>
  <c r="Y330" i="1"/>
  <c r="AC330" i="1"/>
  <c r="AD330" i="1"/>
  <c r="AE330" i="1"/>
  <c r="V331" i="1"/>
  <c r="X331" i="1"/>
  <c r="Y331" i="1"/>
  <c r="AC331" i="1"/>
  <c r="AD331" i="1"/>
  <c r="AE331" i="1"/>
  <c r="V332" i="1"/>
  <c r="AJ332" i="1" s="1"/>
  <c r="X332" i="1"/>
  <c r="Y332" i="1"/>
  <c r="AC332" i="1"/>
  <c r="AD332" i="1"/>
  <c r="AE332" i="1"/>
  <c r="V333" i="1"/>
  <c r="X333" i="1"/>
  <c r="Y333" i="1"/>
  <c r="AC333" i="1"/>
  <c r="AD333" i="1"/>
  <c r="AE333" i="1"/>
  <c r="V334" i="1"/>
  <c r="X334" i="1"/>
  <c r="Y334" i="1"/>
  <c r="AC334" i="1"/>
  <c r="AD334" i="1"/>
  <c r="AE334" i="1"/>
  <c r="V335" i="1"/>
  <c r="AI335" i="1" s="1"/>
  <c r="X335" i="1"/>
  <c r="Y335" i="1"/>
  <c r="AC335" i="1"/>
  <c r="AD335" i="1"/>
  <c r="AE335" i="1"/>
  <c r="V336" i="1"/>
  <c r="X336" i="1"/>
  <c r="Y336" i="1"/>
  <c r="AC336" i="1"/>
  <c r="AD336" i="1"/>
  <c r="AE336" i="1"/>
  <c r="V337" i="1"/>
  <c r="X337" i="1"/>
  <c r="Y337" i="1"/>
  <c r="AC337" i="1"/>
  <c r="AD337" i="1"/>
  <c r="AE337" i="1"/>
  <c r="V338" i="1"/>
  <c r="X338" i="1"/>
  <c r="Y338" i="1"/>
  <c r="AC338" i="1"/>
  <c r="AD338" i="1"/>
  <c r="AE338" i="1"/>
  <c r="V339" i="1"/>
  <c r="X339" i="1"/>
  <c r="Y339" i="1"/>
  <c r="AC339" i="1"/>
  <c r="AD339" i="1"/>
  <c r="AE339" i="1"/>
  <c r="V340" i="1"/>
  <c r="AJ340" i="1" s="1"/>
  <c r="X340" i="1"/>
  <c r="Y340" i="1"/>
  <c r="AC340" i="1"/>
  <c r="AD340" i="1"/>
  <c r="AE340" i="1"/>
  <c r="V341" i="1"/>
  <c r="AJ341" i="1" s="1"/>
  <c r="X341" i="1"/>
  <c r="Y341" i="1"/>
  <c r="AC341" i="1"/>
  <c r="AD341" i="1"/>
  <c r="AE341" i="1"/>
  <c r="V342" i="1"/>
  <c r="X342" i="1"/>
  <c r="Y342" i="1"/>
  <c r="AC342" i="1"/>
  <c r="AD342" i="1"/>
  <c r="AE342" i="1"/>
  <c r="V343" i="1"/>
  <c r="X343" i="1"/>
  <c r="Y343" i="1"/>
  <c r="AC343" i="1"/>
  <c r="AD343" i="1"/>
  <c r="AE343" i="1"/>
  <c r="V344" i="1"/>
  <c r="X344" i="1"/>
  <c r="Y344" i="1"/>
  <c r="AC344" i="1"/>
  <c r="AD344" i="1"/>
  <c r="AE344" i="1"/>
  <c r="V345" i="1"/>
  <c r="AJ345" i="1" s="1"/>
  <c r="X345" i="1"/>
  <c r="Y345" i="1"/>
  <c r="AC345" i="1"/>
  <c r="AD345" i="1"/>
  <c r="AE345" i="1"/>
  <c r="V346" i="1"/>
  <c r="X346" i="1"/>
  <c r="Y346" i="1"/>
  <c r="AC346" i="1"/>
  <c r="AD346" i="1"/>
  <c r="AE346" i="1"/>
  <c r="V347" i="1"/>
  <c r="X347" i="1"/>
  <c r="Y347" i="1"/>
  <c r="AC347" i="1"/>
  <c r="AD347" i="1"/>
  <c r="AE347" i="1"/>
  <c r="V348" i="1"/>
  <c r="X348" i="1"/>
  <c r="Y348" i="1"/>
  <c r="AC348" i="1"/>
  <c r="AD348" i="1"/>
  <c r="AE348" i="1"/>
  <c r="V349" i="1"/>
  <c r="AJ349" i="1" s="1"/>
  <c r="X349" i="1"/>
  <c r="Y349" i="1"/>
  <c r="AC349" i="1"/>
  <c r="AD349" i="1"/>
  <c r="AE349" i="1"/>
  <c r="V350" i="1"/>
  <c r="X350" i="1"/>
  <c r="Y350" i="1"/>
  <c r="AC350" i="1"/>
  <c r="AD350" i="1"/>
  <c r="AE350" i="1"/>
  <c r="V351" i="1"/>
  <c r="X351" i="1"/>
  <c r="Y351" i="1"/>
  <c r="AC351" i="1"/>
  <c r="AD351" i="1"/>
  <c r="AE351" i="1"/>
  <c r="V352" i="1"/>
  <c r="X352" i="1"/>
  <c r="Y352" i="1"/>
  <c r="AC352" i="1"/>
  <c r="AD352" i="1"/>
  <c r="AE352" i="1"/>
  <c r="V353" i="1"/>
  <c r="X353" i="1"/>
  <c r="Y353" i="1"/>
  <c r="AC353" i="1"/>
  <c r="AD353" i="1"/>
  <c r="AE353" i="1"/>
  <c r="V354" i="1"/>
  <c r="X354" i="1"/>
  <c r="Y354" i="1"/>
  <c r="AC354" i="1"/>
  <c r="AD354" i="1"/>
  <c r="AE354" i="1"/>
  <c r="V355" i="1"/>
  <c r="AJ355" i="1" s="1"/>
  <c r="X355" i="1"/>
  <c r="Y355" i="1"/>
  <c r="AC355" i="1"/>
  <c r="AD355" i="1"/>
  <c r="AE355" i="1"/>
  <c r="V356" i="1"/>
  <c r="AJ356" i="1" s="1"/>
  <c r="X356" i="1"/>
  <c r="Y356" i="1"/>
  <c r="AC356" i="1"/>
  <c r="AD356" i="1"/>
  <c r="AE356" i="1"/>
  <c r="V357" i="1"/>
  <c r="X357" i="1"/>
  <c r="Y357" i="1"/>
  <c r="AC357" i="1"/>
  <c r="AD357" i="1"/>
  <c r="AE357" i="1"/>
  <c r="V358" i="1"/>
  <c r="X358" i="1"/>
  <c r="Y358" i="1"/>
  <c r="AC358" i="1"/>
  <c r="AD358" i="1"/>
  <c r="AE358" i="1"/>
  <c r="V359" i="1"/>
  <c r="AJ359" i="1" s="1"/>
  <c r="X359" i="1"/>
  <c r="Y359" i="1"/>
  <c r="AC359" i="1"/>
  <c r="AD359" i="1"/>
  <c r="AE359" i="1"/>
  <c r="V360" i="1"/>
  <c r="X360" i="1"/>
  <c r="Y360" i="1"/>
  <c r="AC360" i="1"/>
  <c r="AD360" i="1"/>
  <c r="AE360" i="1"/>
  <c r="V361" i="1"/>
  <c r="X361" i="1"/>
  <c r="Y361" i="1"/>
  <c r="AC361" i="1"/>
  <c r="AD361" i="1"/>
  <c r="AE361" i="1"/>
  <c r="V362" i="1"/>
  <c r="X362" i="1"/>
  <c r="Y362" i="1"/>
  <c r="AC362" i="1"/>
  <c r="AD362" i="1"/>
  <c r="AE362" i="1"/>
  <c r="V363" i="1"/>
  <c r="AJ363" i="1" s="1"/>
  <c r="X363" i="1"/>
  <c r="Y363" i="1"/>
  <c r="AC363" i="1"/>
  <c r="AD363" i="1"/>
  <c r="AE363" i="1"/>
  <c r="V364" i="1"/>
  <c r="AJ364" i="1" s="1"/>
  <c r="X364" i="1"/>
  <c r="Y364" i="1"/>
  <c r="AC364" i="1"/>
  <c r="AD364" i="1"/>
  <c r="AE364" i="1"/>
  <c r="V365" i="1"/>
  <c r="AJ365" i="1" s="1"/>
  <c r="X365" i="1"/>
  <c r="Y365" i="1"/>
  <c r="AC365" i="1"/>
  <c r="AD365" i="1"/>
  <c r="AE365" i="1"/>
  <c r="V366" i="1"/>
  <c r="X366" i="1"/>
  <c r="Y366" i="1"/>
  <c r="AC366" i="1"/>
  <c r="AD366" i="1"/>
  <c r="AE366" i="1"/>
  <c r="V367" i="1"/>
  <c r="X367" i="1"/>
  <c r="Y367" i="1"/>
  <c r="AC367" i="1"/>
  <c r="AD367" i="1"/>
  <c r="AE367" i="1"/>
  <c r="V368" i="1"/>
  <c r="X368" i="1"/>
  <c r="Y368" i="1"/>
  <c r="AC368" i="1"/>
  <c r="AD368" i="1"/>
  <c r="AE368" i="1"/>
  <c r="V369" i="1"/>
  <c r="X369" i="1"/>
  <c r="Y369" i="1"/>
  <c r="AC369" i="1"/>
  <c r="AD369" i="1"/>
  <c r="AE369" i="1"/>
  <c r="V370" i="1"/>
  <c r="X370" i="1"/>
  <c r="Y370" i="1"/>
  <c r="AC370" i="1"/>
  <c r="AD370" i="1"/>
  <c r="AE370" i="1"/>
  <c r="V371" i="1"/>
  <c r="X371" i="1"/>
  <c r="Y371" i="1"/>
  <c r="AC371" i="1"/>
  <c r="AD371" i="1"/>
  <c r="AE371" i="1"/>
  <c r="V372" i="1"/>
  <c r="AJ372" i="1" s="1"/>
  <c r="X372" i="1"/>
  <c r="Y372" i="1"/>
  <c r="AC372" i="1"/>
  <c r="AD372" i="1"/>
  <c r="AE372" i="1"/>
  <c r="V373" i="1"/>
  <c r="AJ373" i="1" s="1"/>
  <c r="X373" i="1"/>
  <c r="Y373" i="1"/>
  <c r="AC373" i="1"/>
  <c r="AD373" i="1"/>
  <c r="AE373" i="1"/>
  <c r="V374" i="1"/>
  <c r="X374" i="1"/>
  <c r="Y374" i="1"/>
  <c r="AC374" i="1"/>
  <c r="AD374" i="1"/>
  <c r="AE374" i="1"/>
  <c r="V375" i="1"/>
  <c r="AJ375" i="1" s="1"/>
  <c r="X375" i="1"/>
  <c r="Y375" i="1"/>
  <c r="AC375" i="1"/>
  <c r="AD375" i="1"/>
  <c r="AE375" i="1"/>
  <c r="V376" i="1"/>
  <c r="X376" i="1"/>
  <c r="Y376" i="1"/>
  <c r="AC376" i="1"/>
  <c r="AD376" i="1"/>
  <c r="AE376" i="1"/>
  <c r="V377" i="1"/>
  <c r="AJ377" i="1" s="1"/>
  <c r="X377" i="1"/>
  <c r="Y377" i="1"/>
  <c r="AC377" i="1"/>
  <c r="AD377" i="1"/>
  <c r="AE377" i="1"/>
  <c r="V378" i="1"/>
  <c r="X378" i="1"/>
  <c r="Y378" i="1"/>
  <c r="AC378" i="1"/>
  <c r="AD378" i="1"/>
  <c r="AE378" i="1"/>
  <c r="V379" i="1"/>
  <c r="AK379" i="1" s="1"/>
  <c r="X379" i="1"/>
  <c r="Y379" i="1"/>
  <c r="AC379" i="1"/>
  <c r="AD379" i="1"/>
  <c r="AE379" i="1"/>
  <c r="V380" i="1"/>
  <c r="X380" i="1"/>
  <c r="Y380" i="1"/>
  <c r="AC380" i="1"/>
  <c r="AD380" i="1"/>
  <c r="AE380" i="1"/>
  <c r="V381" i="1"/>
  <c r="AI381" i="1" s="1"/>
  <c r="X381" i="1"/>
  <c r="Y381" i="1"/>
  <c r="AC381" i="1"/>
  <c r="AD381" i="1"/>
  <c r="AE381" i="1"/>
  <c r="V382" i="1"/>
  <c r="X382" i="1"/>
  <c r="Y382" i="1"/>
  <c r="AC382" i="1"/>
  <c r="AD382" i="1"/>
  <c r="AE382" i="1"/>
  <c r="V383" i="1"/>
  <c r="AK383" i="1" s="1"/>
  <c r="X383" i="1"/>
  <c r="Y383" i="1"/>
  <c r="AC383" i="1"/>
  <c r="AD383" i="1"/>
  <c r="AE383" i="1"/>
  <c r="V384" i="1"/>
  <c r="AJ384" i="1" s="1"/>
  <c r="X384" i="1"/>
  <c r="Y384" i="1"/>
  <c r="AC384" i="1"/>
  <c r="AD384" i="1"/>
  <c r="AE384" i="1"/>
  <c r="V385" i="1"/>
  <c r="X385" i="1"/>
  <c r="Y385" i="1"/>
  <c r="AC385" i="1"/>
  <c r="AD385" i="1"/>
  <c r="AE385" i="1"/>
  <c r="V386" i="1"/>
  <c r="X386" i="1"/>
  <c r="Y386" i="1"/>
  <c r="AC386" i="1"/>
  <c r="AD386" i="1"/>
  <c r="AE386" i="1"/>
  <c r="V387" i="1"/>
  <c r="X387" i="1"/>
  <c r="Y387" i="1"/>
  <c r="AC387" i="1"/>
  <c r="AD387" i="1"/>
  <c r="AE387" i="1"/>
  <c r="V388" i="1"/>
  <c r="AJ388" i="1" s="1"/>
  <c r="X388" i="1"/>
  <c r="Y388" i="1"/>
  <c r="AC388" i="1"/>
  <c r="AD388" i="1"/>
  <c r="AE388" i="1"/>
  <c r="V389" i="1"/>
  <c r="AI389" i="1" s="1"/>
  <c r="X389" i="1"/>
  <c r="Y389" i="1"/>
  <c r="AC389" i="1"/>
  <c r="AD389" i="1"/>
  <c r="AE389" i="1"/>
  <c r="V390" i="1"/>
  <c r="AF390" i="1" s="1"/>
  <c r="X390" i="1"/>
  <c r="Y390" i="1"/>
  <c r="AC390" i="1"/>
  <c r="AD390" i="1"/>
  <c r="AE390" i="1"/>
  <c r="V391" i="1"/>
  <c r="AK391" i="1" s="1"/>
  <c r="X391" i="1"/>
  <c r="Y391" i="1"/>
  <c r="AC391" i="1"/>
  <c r="AD391" i="1"/>
  <c r="AE391" i="1"/>
  <c r="V392" i="1"/>
  <c r="X392" i="1"/>
  <c r="Y392" i="1"/>
  <c r="AC392" i="1"/>
  <c r="AD392" i="1"/>
  <c r="AE392" i="1"/>
  <c r="V393" i="1"/>
  <c r="X393" i="1"/>
  <c r="Y393" i="1"/>
  <c r="AC393" i="1"/>
  <c r="AD393" i="1"/>
  <c r="AE393" i="1"/>
  <c r="V394" i="1"/>
  <c r="X394" i="1"/>
  <c r="Y394" i="1"/>
  <c r="AC394" i="1"/>
  <c r="AD394" i="1"/>
  <c r="AE394" i="1"/>
  <c r="V395" i="1"/>
  <c r="AK395" i="1" s="1"/>
  <c r="X395" i="1"/>
  <c r="Y395" i="1"/>
  <c r="AC395" i="1"/>
  <c r="AD395" i="1"/>
  <c r="AE395" i="1"/>
  <c r="V396" i="1"/>
  <c r="AJ396" i="1" s="1"/>
  <c r="X396" i="1"/>
  <c r="Y396" i="1"/>
  <c r="AC396" i="1"/>
  <c r="AD396" i="1"/>
  <c r="AE396" i="1"/>
  <c r="V397" i="1"/>
  <c r="AK397" i="1" s="1"/>
  <c r="X397" i="1"/>
  <c r="Y397" i="1"/>
  <c r="AC397" i="1"/>
  <c r="AD397" i="1"/>
  <c r="AE397" i="1"/>
  <c r="V398" i="1"/>
  <c r="X398" i="1"/>
  <c r="Y398" i="1"/>
  <c r="AC398" i="1"/>
  <c r="AD398" i="1"/>
  <c r="AE398" i="1"/>
  <c r="V399" i="1"/>
  <c r="AH399" i="1" s="1"/>
  <c r="X399" i="1"/>
  <c r="Y399" i="1"/>
  <c r="AC399" i="1"/>
  <c r="AD399" i="1"/>
  <c r="AE399" i="1"/>
  <c r="V400" i="1"/>
  <c r="X400" i="1"/>
  <c r="Y400" i="1"/>
  <c r="AC400" i="1"/>
  <c r="AD400" i="1"/>
  <c r="AE400" i="1"/>
  <c r="V401" i="1"/>
  <c r="X401" i="1"/>
  <c r="Y401" i="1"/>
  <c r="AC401" i="1"/>
  <c r="AD401" i="1"/>
  <c r="AE401" i="1"/>
  <c r="V402" i="1"/>
  <c r="X402" i="1"/>
  <c r="Y402" i="1"/>
  <c r="AC402" i="1"/>
  <c r="AD402" i="1"/>
  <c r="AE402" i="1"/>
  <c r="V403" i="1"/>
  <c r="AI403" i="1" s="1"/>
  <c r="X403" i="1"/>
  <c r="Y403" i="1"/>
  <c r="AC403" i="1"/>
  <c r="AD403" i="1"/>
  <c r="AE403" i="1"/>
  <c r="V404" i="1"/>
  <c r="X404" i="1"/>
  <c r="Y404" i="1"/>
  <c r="AC404" i="1"/>
  <c r="AD404" i="1"/>
  <c r="AE404" i="1"/>
  <c r="V405" i="1"/>
  <c r="AF405" i="1" s="1"/>
  <c r="X405" i="1"/>
  <c r="Y405" i="1"/>
  <c r="AC405" i="1"/>
  <c r="AD405" i="1"/>
  <c r="AE405" i="1"/>
  <c r="V406" i="1"/>
  <c r="X406" i="1"/>
  <c r="Y406" i="1"/>
  <c r="AC406" i="1"/>
  <c r="AD406" i="1"/>
  <c r="AE406" i="1"/>
  <c r="V407" i="1"/>
  <c r="AI407" i="1" s="1"/>
  <c r="X407" i="1"/>
  <c r="Y407" i="1"/>
  <c r="AC407" i="1"/>
  <c r="AD407" i="1"/>
  <c r="AE407" i="1"/>
  <c r="V408" i="1"/>
  <c r="AJ408" i="1" s="1"/>
  <c r="X408" i="1"/>
  <c r="Y408" i="1"/>
  <c r="AC408" i="1"/>
  <c r="AD408" i="1"/>
  <c r="AE408" i="1"/>
  <c r="V409" i="1"/>
  <c r="AI409" i="1" s="1"/>
  <c r="X409" i="1"/>
  <c r="Y409" i="1"/>
  <c r="AC409" i="1"/>
  <c r="AD409" i="1"/>
  <c r="AE409" i="1"/>
  <c r="V410" i="1"/>
  <c r="X410" i="1"/>
  <c r="Y410" i="1"/>
  <c r="AC410" i="1"/>
  <c r="AD410" i="1"/>
  <c r="AE410" i="1"/>
  <c r="V411" i="1"/>
  <c r="AK411" i="1" s="1"/>
  <c r="X411" i="1"/>
  <c r="Y411" i="1"/>
  <c r="AC411" i="1"/>
  <c r="AD411" i="1"/>
  <c r="AE411" i="1"/>
  <c r="V412" i="1"/>
  <c r="X412" i="1"/>
  <c r="Y412" i="1"/>
  <c r="AC412" i="1"/>
  <c r="AD412" i="1"/>
  <c r="AE412" i="1"/>
  <c r="V413" i="1"/>
  <c r="AJ413" i="1" s="1"/>
  <c r="X413" i="1"/>
  <c r="Y413" i="1"/>
  <c r="AC413" i="1"/>
  <c r="AD413" i="1"/>
  <c r="AE413" i="1"/>
  <c r="V414" i="1"/>
  <c r="X414" i="1"/>
  <c r="Y414" i="1"/>
  <c r="AC414" i="1"/>
  <c r="AD414" i="1"/>
  <c r="AE414" i="1"/>
  <c r="V415" i="1"/>
  <c r="AI415" i="1" s="1"/>
  <c r="X415" i="1"/>
  <c r="Y415" i="1"/>
  <c r="AC415" i="1"/>
  <c r="AD415" i="1"/>
  <c r="AE415" i="1"/>
  <c r="V416" i="1"/>
  <c r="AJ416" i="1" s="1"/>
  <c r="X416" i="1"/>
  <c r="Y416" i="1"/>
  <c r="AC416" i="1"/>
  <c r="AD416" i="1"/>
  <c r="AE416" i="1"/>
  <c r="V417" i="1"/>
  <c r="AK417" i="1" s="1"/>
  <c r="X417" i="1"/>
  <c r="Y417" i="1"/>
  <c r="AC417" i="1"/>
  <c r="AD417" i="1"/>
  <c r="AE417" i="1"/>
  <c r="V418" i="1"/>
  <c r="X418" i="1"/>
  <c r="Y418" i="1"/>
  <c r="AC418" i="1"/>
  <c r="AD418" i="1"/>
  <c r="AE418" i="1"/>
  <c r="V419" i="1"/>
  <c r="X419" i="1"/>
  <c r="Y419" i="1"/>
  <c r="AC419" i="1"/>
  <c r="AD419" i="1"/>
  <c r="AE419" i="1"/>
  <c r="V420" i="1"/>
  <c r="X420" i="1"/>
  <c r="Y420" i="1"/>
  <c r="AC420" i="1"/>
  <c r="AD420" i="1"/>
  <c r="AE420" i="1"/>
  <c r="V421" i="1"/>
  <c r="AK421" i="1" s="1"/>
  <c r="X421" i="1"/>
  <c r="Y421" i="1"/>
  <c r="AC421" i="1"/>
  <c r="AD421" i="1"/>
  <c r="AE421" i="1"/>
  <c r="V422" i="1"/>
  <c r="X422" i="1"/>
  <c r="Y422" i="1"/>
  <c r="AC422" i="1"/>
  <c r="AD422" i="1"/>
  <c r="AE422" i="1"/>
  <c r="V423" i="1"/>
  <c r="AK423" i="1" s="1"/>
  <c r="X423" i="1"/>
  <c r="Y423" i="1"/>
  <c r="AC423" i="1"/>
  <c r="AD423" i="1"/>
  <c r="AE423" i="1"/>
  <c r="V424" i="1"/>
  <c r="AJ424" i="1" s="1"/>
  <c r="X424" i="1"/>
  <c r="Y424" i="1"/>
  <c r="AC424" i="1"/>
  <c r="AD424" i="1"/>
  <c r="AE424" i="1"/>
  <c r="V425" i="1"/>
  <c r="AK425" i="1" s="1"/>
  <c r="X425" i="1"/>
  <c r="Y425" i="1"/>
  <c r="AC425" i="1"/>
  <c r="AD425" i="1"/>
  <c r="AE425" i="1"/>
  <c r="V426" i="1"/>
  <c r="AG426" i="1" s="1"/>
  <c r="X426" i="1"/>
  <c r="Y426" i="1"/>
  <c r="AC426" i="1"/>
  <c r="AD426" i="1"/>
  <c r="AE426" i="1"/>
  <c r="V427" i="1"/>
  <c r="X427" i="1"/>
  <c r="Y427" i="1"/>
  <c r="AC427" i="1"/>
  <c r="AD427" i="1"/>
  <c r="AE427" i="1"/>
  <c r="V428" i="1"/>
  <c r="AJ428" i="1" s="1"/>
  <c r="X428" i="1"/>
  <c r="Y428" i="1"/>
  <c r="AC428" i="1"/>
  <c r="AD428" i="1"/>
  <c r="AE428" i="1"/>
  <c r="V429" i="1"/>
  <c r="AI429" i="1" s="1"/>
  <c r="X429" i="1"/>
  <c r="Y429" i="1"/>
  <c r="AC429" i="1"/>
  <c r="AD429" i="1"/>
  <c r="AE429" i="1"/>
  <c r="V430" i="1"/>
  <c r="X430" i="1"/>
  <c r="Y430" i="1"/>
  <c r="AC430" i="1"/>
  <c r="AD430" i="1"/>
  <c r="AE430" i="1"/>
  <c r="V431" i="1"/>
  <c r="X431" i="1"/>
  <c r="Y431" i="1"/>
  <c r="AC431" i="1"/>
  <c r="AD431" i="1"/>
  <c r="AE431" i="1"/>
  <c r="V432" i="1"/>
  <c r="AJ432" i="1" s="1"/>
  <c r="X432" i="1"/>
  <c r="Y432" i="1"/>
  <c r="AC432" i="1"/>
  <c r="AD432" i="1"/>
  <c r="AE432" i="1"/>
  <c r="V433" i="1"/>
  <c r="AK433" i="1" s="1"/>
  <c r="X433" i="1"/>
  <c r="Y433" i="1"/>
  <c r="AC433" i="1"/>
  <c r="AD433" i="1"/>
  <c r="AE433" i="1"/>
  <c r="V434" i="1"/>
  <c r="X434" i="1"/>
  <c r="Y434" i="1"/>
  <c r="AC434" i="1"/>
  <c r="AD434" i="1"/>
  <c r="AE434" i="1"/>
  <c r="V435" i="1"/>
  <c r="AI435" i="1" s="1"/>
  <c r="X435" i="1"/>
  <c r="Y435" i="1"/>
  <c r="AC435" i="1"/>
  <c r="AD435" i="1"/>
  <c r="AE435" i="1"/>
  <c r="V436" i="1"/>
  <c r="X436" i="1"/>
  <c r="Y436" i="1"/>
  <c r="AC436" i="1"/>
  <c r="AD436" i="1"/>
  <c r="AE436" i="1"/>
  <c r="V437" i="1"/>
  <c r="AK437" i="1" s="1"/>
  <c r="X437" i="1"/>
  <c r="Y437" i="1"/>
  <c r="AC437" i="1"/>
  <c r="AD437" i="1"/>
  <c r="AE437" i="1"/>
  <c r="V438" i="1"/>
  <c r="X438" i="1"/>
  <c r="Y438" i="1"/>
  <c r="AC438" i="1"/>
  <c r="AD438" i="1"/>
  <c r="AE438" i="1"/>
  <c r="V439" i="1"/>
  <c r="AJ439" i="1" s="1"/>
  <c r="X439" i="1"/>
  <c r="Y439" i="1"/>
  <c r="AC439" i="1"/>
  <c r="AD439" i="1"/>
  <c r="AE439" i="1"/>
  <c r="V440" i="1"/>
  <c r="AJ440" i="1" s="1"/>
  <c r="X440" i="1"/>
  <c r="Y440" i="1"/>
  <c r="AC440" i="1"/>
  <c r="AD440" i="1"/>
  <c r="AE440" i="1"/>
  <c r="V441" i="1"/>
  <c r="AH441" i="1" s="1"/>
  <c r="X441" i="1"/>
  <c r="Y441" i="1"/>
  <c r="AC441" i="1"/>
  <c r="AD441" i="1"/>
  <c r="AE441" i="1"/>
  <c r="V442" i="1"/>
  <c r="X442" i="1"/>
  <c r="Y442" i="1"/>
  <c r="AC442" i="1"/>
  <c r="AD442" i="1"/>
  <c r="AE442" i="1"/>
  <c r="V443" i="1"/>
  <c r="X443" i="1"/>
  <c r="Y443" i="1"/>
  <c r="AC443" i="1"/>
  <c r="AD443" i="1"/>
  <c r="AE443" i="1"/>
  <c r="V444" i="1"/>
  <c r="X444" i="1"/>
  <c r="Y444" i="1"/>
  <c r="AC444" i="1"/>
  <c r="AD444" i="1"/>
  <c r="AE444" i="1"/>
  <c r="V445" i="1"/>
  <c r="AK445" i="1" s="1"/>
  <c r="X445" i="1"/>
  <c r="Y445" i="1"/>
  <c r="AC445" i="1"/>
  <c r="AD445" i="1"/>
  <c r="AE445" i="1"/>
  <c r="V446" i="1"/>
  <c r="X446" i="1"/>
  <c r="Y446" i="1"/>
  <c r="AC446" i="1"/>
  <c r="AD446" i="1"/>
  <c r="AE446" i="1"/>
  <c r="V447" i="1"/>
  <c r="AI447" i="1" s="1"/>
  <c r="X447" i="1"/>
  <c r="Y447" i="1"/>
  <c r="AC447" i="1"/>
  <c r="AD447" i="1"/>
  <c r="AE447" i="1"/>
  <c r="V448" i="1"/>
  <c r="AJ448" i="1" s="1"/>
  <c r="X448" i="1"/>
  <c r="Y448" i="1"/>
  <c r="AC448" i="1"/>
  <c r="AD448" i="1"/>
  <c r="AE448" i="1"/>
  <c r="V449" i="1"/>
  <c r="X449" i="1"/>
  <c r="Y449" i="1"/>
  <c r="AC449" i="1"/>
  <c r="AD449" i="1"/>
  <c r="AE449" i="1"/>
  <c r="V450" i="1"/>
  <c r="X450" i="1"/>
  <c r="Y450" i="1"/>
  <c r="AC450" i="1"/>
  <c r="AD450" i="1"/>
  <c r="AE450" i="1"/>
  <c r="V451" i="1"/>
  <c r="X451" i="1"/>
  <c r="Y451" i="1"/>
  <c r="AC451" i="1"/>
  <c r="AD451" i="1"/>
  <c r="AE451" i="1"/>
  <c r="V452" i="1"/>
  <c r="X452" i="1"/>
  <c r="Y452" i="1"/>
  <c r="AC452" i="1"/>
  <c r="AD452" i="1"/>
  <c r="AE452" i="1"/>
  <c r="V453" i="1"/>
  <c r="AJ453" i="1" s="1"/>
  <c r="X453" i="1"/>
  <c r="Y453" i="1"/>
  <c r="AC453" i="1"/>
  <c r="AD453" i="1"/>
  <c r="AE453" i="1"/>
  <c r="V454" i="1"/>
  <c r="X454" i="1"/>
  <c r="Y454" i="1"/>
  <c r="AC454" i="1"/>
  <c r="AD454" i="1"/>
  <c r="AE454" i="1"/>
  <c r="V455" i="1"/>
  <c r="AI455" i="1" s="1"/>
  <c r="X455" i="1"/>
  <c r="Y455" i="1"/>
  <c r="AC455" i="1"/>
  <c r="AD455" i="1"/>
  <c r="AE455" i="1"/>
  <c r="V456" i="1"/>
  <c r="X456" i="1"/>
  <c r="Y456" i="1"/>
  <c r="AC456" i="1"/>
  <c r="AD456" i="1"/>
  <c r="AE456" i="1"/>
  <c r="V457" i="1"/>
  <c r="AI457" i="1" s="1"/>
  <c r="X457" i="1"/>
  <c r="Y457" i="1"/>
  <c r="AC457" i="1"/>
  <c r="AD457" i="1"/>
  <c r="AE457" i="1"/>
  <c r="V458" i="1"/>
  <c r="X458" i="1"/>
  <c r="Y458" i="1"/>
  <c r="AC458" i="1"/>
  <c r="AD458" i="1"/>
  <c r="AE458" i="1"/>
  <c r="V459" i="1"/>
  <c r="X459" i="1"/>
  <c r="Y459" i="1"/>
  <c r="AC459" i="1"/>
  <c r="AD459" i="1"/>
  <c r="AE459" i="1"/>
  <c r="V460" i="1"/>
  <c r="X460" i="1"/>
  <c r="Y460" i="1"/>
  <c r="AC460" i="1"/>
  <c r="AD460" i="1"/>
  <c r="AE460" i="1"/>
  <c r="V461" i="1"/>
  <c r="AI461" i="1" s="1"/>
  <c r="X461" i="1"/>
  <c r="Y461" i="1"/>
  <c r="AC461" i="1"/>
  <c r="AD461" i="1"/>
  <c r="AE461" i="1"/>
  <c r="V462" i="1"/>
  <c r="X462" i="1"/>
  <c r="Y462" i="1"/>
  <c r="AC462" i="1"/>
  <c r="AD462" i="1"/>
  <c r="AE462" i="1"/>
  <c r="V463" i="1"/>
  <c r="Z463" i="1" s="1"/>
  <c r="X463" i="1"/>
  <c r="Y463" i="1"/>
  <c r="AC463" i="1"/>
  <c r="AD463" i="1"/>
  <c r="AE463" i="1"/>
  <c r="V464" i="1"/>
  <c r="X464" i="1"/>
  <c r="Y464" i="1"/>
  <c r="AC464" i="1"/>
  <c r="AD464" i="1"/>
  <c r="AE464" i="1"/>
  <c r="V465" i="1"/>
  <c r="AI465" i="1" s="1"/>
  <c r="X465" i="1"/>
  <c r="Y465" i="1"/>
  <c r="AC465" i="1"/>
  <c r="AD465" i="1"/>
  <c r="AE465" i="1"/>
  <c r="V466" i="1"/>
  <c r="X466" i="1"/>
  <c r="Y466" i="1"/>
  <c r="AC466" i="1"/>
  <c r="AD466" i="1"/>
  <c r="AE466" i="1"/>
  <c r="V467" i="1"/>
  <c r="AI467" i="1" s="1"/>
  <c r="X467" i="1"/>
  <c r="Y467" i="1"/>
  <c r="AC467" i="1"/>
  <c r="AD467" i="1"/>
  <c r="AE467" i="1"/>
  <c r="V468" i="1"/>
  <c r="X468" i="1"/>
  <c r="Y468" i="1"/>
  <c r="AC468" i="1"/>
  <c r="AD468" i="1"/>
  <c r="AE468" i="1"/>
  <c r="V469" i="1"/>
  <c r="X469" i="1"/>
  <c r="Y469" i="1"/>
  <c r="AC469" i="1"/>
  <c r="AD469" i="1"/>
  <c r="AE469" i="1"/>
  <c r="V470" i="1"/>
  <c r="X470" i="1"/>
  <c r="Y470" i="1"/>
  <c r="AC470" i="1"/>
  <c r="AD470" i="1"/>
  <c r="AE470" i="1"/>
  <c r="V471" i="1"/>
  <c r="AI471" i="1" s="1"/>
  <c r="X471" i="1"/>
  <c r="Y471" i="1"/>
  <c r="AC471" i="1"/>
  <c r="AD471" i="1"/>
  <c r="AE471" i="1"/>
  <c r="V472" i="1"/>
  <c r="AJ472" i="1" s="1"/>
  <c r="X472" i="1"/>
  <c r="Y472" i="1"/>
  <c r="AC472" i="1"/>
  <c r="AD472" i="1"/>
  <c r="AE472" i="1"/>
  <c r="V473" i="1"/>
  <c r="AI473" i="1" s="1"/>
  <c r="X473" i="1"/>
  <c r="Y473" i="1"/>
  <c r="AC473" i="1"/>
  <c r="AD473" i="1"/>
  <c r="AE473" i="1"/>
  <c r="V474" i="1"/>
  <c r="X474" i="1"/>
  <c r="Y474" i="1"/>
  <c r="AC474" i="1"/>
  <c r="AD474" i="1"/>
  <c r="AE474" i="1"/>
  <c r="V475" i="1"/>
  <c r="AJ475" i="1" s="1"/>
  <c r="X475" i="1"/>
  <c r="Y475" i="1"/>
  <c r="AC475" i="1"/>
  <c r="AD475" i="1"/>
  <c r="AE475" i="1"/>
  <c r="V476" i="1"/>
  <c r="AJ476" i="1" s="1"/>
  <c r="X476" i="1"/>
  <c r="Y476" i="1"/>
  <c r="AC476" i="1"/>
  <c r="AD476" i="1"/>
  <c r="AE476" i="1"/>
  <c r="V477" i="1"/>
  <c r="X477" i="1"/>
  <c r="Y477" i="1"/>
  <c r="AC477" i="1"/>
  <c r="AD477" i="1"/>
  <c r="AE477" i="1"/>
  <c r="V478" i="1"/>
  <c r="X478" i="1"/>
  <c r="Y478" i="1"/>
  <c r="AC478" i="1"/>
  <c r="AD478" i="1"/>
  <c r="AE478" i="1"/>
  <c r="V479" i="1"/>
  <c r="AI479" i="1" s="1"/>
  <c r="X479" i="1"/>
  <c r="Y479" i="1"/>
  <c r="AC479" i="1"/>
  <c r="AD479" i="1"/>
  <c r="AE479" i="1"/>
  <c r="V480" i="1"/>
  <c r="AJ480" i="1" s="1"/>
  <c r="X480" i="1"/>
  <c r="Y480" i="1"/>
  <c r="AC480" i="1"/>
  <c r="AD480" i="1"/>
  <c r="AE480" i="1"/>
  <c r="V481" i="1"/>
  <c r="X481" i="1"/>
  <c r="Y481" i="1"/>
  <c r="AC481" i="1"/>
  <c r="AD481" i="1"/>
  <c r="AE481" i="1"/>
  <c r="V482" i="1"/>
  <c r="X482" i="1"/>
  <c r="Y482" i="1"/>
  <c r="AC482" i="1"/>
  <c r="AD482" i="1"/>
  <c r="AE482" i="1"/>
  <c r="V483" i="1"/>
  <c r="AI483" i="1" s="1"/>
  <c r="X483" i="1"/>
  <c r="Y483" i="1"/>
  <c r="AC483" i="1"/>
  <c r="AD483" i="1"/>
  <c r="AE483" i="1"/>
  <c r="V484" i="1"/>
  <c r="X484" i="1"/>
  <c r="Y484" i="1"/>
  <c r="AC484" i="1"/>
  <c r="AD484" i="1"/>
  <c r="AE484" i="1"/>
  <c r="V485" i="1"/>
  <c r="AF485" i="1" s="1"/>
  <c r="X485" i="1"/>
  <c r="Y485" i="1"/>
  <c r="AC485" i="1"/>
  <c r="AD485" i="1"/>
  <c r="AE485" i="1"/>
  <c r="V486" i="1"/>
  <c r="X486" i="1"/>
  <c r="Y486" i="1"/>
  <c r="AC486" i="1"/>
  <c r="AD486" i="1"/>
  <c r="AE486" i="1"/>
  <c r="V487" i="1"/>
  <c r="AI487" i="1" s="1"/>
  <c r="X487" i="1"/>
  <c r="Y487" i="1"/>
  <c r="AC487" i="1"/>
  <c r="AD487" i="1"/>
  <c r="AE487" i="1"/>
  <c r="V488" i="1"/>
  <c r="X488" i="1"/>
  <c r="Y488" i="1"/>
  <c r="AC488" i="1"/>
  <c r="AD488" i="1"/>
  <c r="AE488" i="1"/>
  <c r="V489" i="1"/>
  <c r="AJ489" i="1" s="1"/>
  <c r="X489" i="1"/>
  <c r="Y489" i="1"/>
  <c r="AC489" i="1"/>
  <c r="AD489" i="1"/>
  <c r="AE489" i="1"/>
  <c r="V490" i="1"/>
  <c r="X490" i="1"/>
  <c r="Y490" i="1"/>
  <c r="AC490" i="1"/>
  <c r="AD490" i="1"/>
  <c r="AE490" i="1"/>
  <c r="V491" i="1"/>
  <c r="AI491" i="1" s="1"/>
  <c r="X491" i="1"/>
  <c r="Y491" i="1"/>
  <c r="AC491" i="1"/>
  <c r="AD491" i="1"/>
  <c r="AE491" i="1"/>
  <c r="V492" i="1"/>
  <c r="AJ492" i="1" s="1"/>
  <c r="X492" i="1"/>
  <c r="Y492" i="1"/>
  <c r="AC492" i="1"/>
  <c r="AD492" i="1"/>
  <c r="AE492" i="1"/>
  <c r="V493" i="1"/>
  <c r="AI493" i="1" s="1"/>
  <c r="X493" i="1"/>
  <c r="Y493" i="1"/>
  <c r="AC493" i="1"/>
  <c r="AD493" i="1"/>
  <c r="AE493" i="1"/>
  <c r="V494" i="1"/>
  <c r="X494" i="1"/>
  <c r="Y494" i="1"/>
  <c r="AC494" i="1"/>
  <c r="AD494" i="1"/>
  <c r="AE494" i="1"/>
  <c r="V495" i="1"/>
  <c r="X495" i="1"/>
  <c r="Y495" i="1"/>
  <c r="AC495" i="1"/>
  <c r="AD495" i="1"/>
  <c r="AE495" i="1"/>
  <c r="V496" i="1"/>
  <c r="X496" i="1"/>
  <c r="Y496" i="1"/>
  <c r="AC496" i="1"/>
  <c r="AD496" i="1"/>
  <c r="AE496" i="1"/>
  <c r="V497" i="1"/>
  <c r="AI497" i="1" s="1"/>
  <c r="X497" i="1"/>
  <c r="Y497" i="1"/>
  <c r="AC497" i="1"/>
  <c r="AD497" i="1"/>
  <c r="AE497" i="1"/>
  <c r="V498" i="1"/>
  <c r="X498" i="1"/>
  <c r="Y498" i="1"/>
  <c r="AC498" i="1"/>
  <c r="AD498" i="1"/>
  <c r="AE498" i="1"/>
  <c r="V499" i="1"/>
  <c r="AI499" i="1" s="1"/>
  <c r="X499" i="1"/>
  <c r="Y499" i="1"/>
  <c r="AC499" i="1"/>
  <c r="AD499" i="1"/>
  <c r="AE499" i="1"/>
  <c r="V500" i="1"/>
  <c r="X500" i="1"/>
  <c r="Y500" i="1"/>
  <c r="AC500" i="1"/>
  <c r="AD500" i="1"/>
  <c r="AE500" i="1"/>
  <c r="V501" i="1"/>
  <c r="X501" i="1"/>
  <c r="Y501" i="1"/>
  <c r="AC501" i="1"/>
  <c r="AD501" i="1"/>
  <c r="AE501" i="1"/>
  <c r="V502" i="1"/>
  <c r="X502" i="1"/>
  <c r="Y502" i="1"/>
  <c r="AC502" i="1"/>
  <c r="AD502" i="1"/>
  <c r="AE502" i="1"/>
  <c r="V503" i="1"/>
  <c r="AJ503" i="1" s="1"/>
  <c r="X503" i="1"/>
  <c r="Y503" i="1"/>
  <c r="AC503" i="1"/>
  <c r="AD503" i="1"/>
  <c r="AE503" i="1"/>
  <c r="V504" i="1"/>
  <c r="AJ504" i="1" s="1"/>
  <c r="X504" i="1"/>
  <c r="Y504" i="1"/>
  <c r="AC504" i="1"/>
  <c r="AD504" i="1"/>
  <c r="AE504" i="1"/>
  <c r="V505" i="1"/>
  <c r="AF505" i="1" s="1"/>
  <c r="X505" i="1"/>
  <c r="Y505" i="1"/>
  <c r="AC505" i="1"/>
  <c r="AD505" i="1"/>
  <c r="AE505" i="1"/>
  <c r="V506" i="1"/>
  <c r="X506" i="1"/>
  <c r="Y506" i="1"/>
  <c r="AC506" i="1"/>
  <c r="AD506" i="1"/>
  <c r="AE506" i="1"/>
  <c r="V507" i="1"/>
  <c r="AJ507" i="1" s="1"/>
  <c r="X507" i="1"/>
  <c r="Y507" i="1"/>
  <c r="AC507" i="1"/>
  <c r="AD507" i="1"/>
  <c r="AE507" i="1"/>
  <c r="V508" i="1"/>
  <c r="X508" i="1"/>
  <c r="Y508" i="1"/>
  <c r="AC508" i="1"/>
  <c r="AD508" i="1"/>
  <c r="AE508" i="1"/>
  <c r="V509" i="1"/>
  <c r="X509" i="1"/>
  <c r="Y509" i="1"/>
  <c r="AC509" i="1"/>
  <c r="AD509" i="1"/>
  <c r="AE509" i="1"/>
  <c r="V510" i="1"/>
  <c r="X510" i="1"/>
  <c r="Y510" i="1"/>
  <c r="AC510" i="1"/>
  <c r="AD510" i="1"/>
  <c r="AE510" i="1"/>
  <c r="V511" i="1"/>
  <c r="AI511" i="1" s="1"/>
  <c r="X511" i="1"/>
  <c r="Y511" i="1"/>
  <c r="AC511" i="1"/>
  <c r="AD511" i="1"/>
  <c r="AE511" i="1"/>
  <c r="V512" i="1"/>
  <c r="AJ512" i="1" s="1"/>
  <c r="X512" i="1"/>
  <c r="Y512" i="1"/>
  <c r="AC512" i="1"/>
  <c r="AD512" i="1"/>
  <c r="AE512" i="1"/>
  <c r="AH512" i="1"/>
  <c r="V513" i="1"/>
  <c r="X513" i="1"/>
  <c r="Y513" i="1"/>
  <c r="AC513" i="1"/>
  <c r="AD513" i="1"/>
  <c r="AE513" i="1"/>
  <c r="V514" i="1"/>
  <c r="X514" i="1"/>
  <c r="Y514" i="1"/>
  <c r="AC514" i="1"/>
  <c r="AD514" i="1"/>
  <c r="AE514" i="1"/>
  <c r="V16" i="1"/>
  <c r="X16" i="1"/>
  <c r="Y16" i="1"/>
  <c r="AC16" i="1"/>
  <c r="AD16" i="1"/>
  <c r="AE16" i="1"/>
  <c r="Q3" i="1"/>
  <c r="AC15" i="1"/>
  <c r="N8" i="1"/>
  <c r="AD15" i="1"/>
  <c r="Y15" i="1"/>
  <c r="X15" i="1"/>
  <c r="I10" i="1"/>
  <c r="H10" i="1"/>
  <c r="G10" i="1"/>
  <c r="R8" i="1"/>
  <c r="S8" i="1"/>
  <c r="O8" i="1"/>
  <c r="I8" i="1"/>
  <c r="H8" i="1"/>
  <c r="G8" i="1"/>
  <c r="A8" i="1"/>
  <c r="T3" i="1"/>
  <c r="R3" i="1"/>
  <c r="P3" i="1"/>
  <c r="O3" i="1"/>
  <c r="N3" i="1"/>
  <c r="I3" i="1"/>
  <c r="C3" i="1"/>
  <c r="B3" i="1"/>
  <c r="B6" i="1" s="1"/>
  <c r="AH463" i="1" l="1"/>
  <c r="AI21" i="1"/>
  <c r="AF428" i="1"/>
  <c r="AJ441" i="1"/>
  <c r="AI423" i="1"/>
  <c r="AJ473" i="1"/>
  <c r="AK505" i="1"/>
  <c r="AJ467" i="1"/>
  <c r="AJ403" i="1"/>
  <c r="AI397" i="1"/>
  <c r="AJ505" i="1"/>
  <c r="AI391" i="1"/>
  <c r="AJ499" i="1"/>
  <c r="AF459" i="1"/>
  <c r="AK459" i="1"/>
  <c r="AK367" i="1"/>
  <c r="AI367" i="1"/>
  <c r="AK343" i="1"/>
  <c r="AI343" i="1"/>
  <c r="AG310" i="1"/>
  <c r="AK310" i="1"/>
  <c r="AI310" i="1"/>
  <c r="AJ310" i="1"/>
  <c r="AI245" i="1"/>
  <c r="AJ245" i="1"/>
  <c r="AK245" i="1"/>
  <c r="AB237" i="1"/>
  <c r="AI237" i="1"/>
  <c r="AJ237" i="1"/>
  <c r="AK237" i="1"/>
  <c r="AG221" i="1"/>
  <c r="AI221" i="1"/>
  <c r="AJ221" i="1"/>
  <c r="AK221" i="1"/>
  <c r="AI213" i="1"/>
  <c r="AK213" i="1"/>
  <c r="AJ213" i="1"/>
  <c r="Z140" i="1"/>
  <c r="AK140" i="1"/>
  <c r="AI140" i="1"/>
  <c r="AK122" i="1"/>
  <c r="AI122" i="1"/>
  <c r="AJ122" i="1"/>
  <c r="AK114" i="1"/>
  <c r="AI114" i="1"/>
  <c r="AJ114" i="1"/>
  <c r="AJ113" i="1"/>
  <c r="AI113" i="1"/>
  <c r="AK113" i="1"/>
  <c r="Z97" i="1"/>
  <c r="AJ97" i="1"/>
  <c r="AK97" i="1"/>
  <c r="AI97" i="1"/>
  <c r="AF72" i="1"/>
  <c r="AK72" i="1"/>
  <c r="AJ72" i="1"/>
  <c r="AI72" i="1"/>
  <c r="AK64" i="1"/>
  <c r="AJ64" i="1"/>
  <c r="AI64" i="1"/>
  <c r="AJ56" i="1"/>
  <c r="AJ435" i="1"/>
  <c r="AJ409" i="1"/>
  <c r="AJ367" i="1"/>
  <c r="AF509" i="1"/>
  <c r="AK509" i="1"/>
  <c r="AF501" i="1"/>
  <c r="AK501" i="1"/>
  <c r="AF493" i="1"/>
  <c r="AK493" i="1"/>
  <c r="AH477" i="1"/>
  <c r="AK477" i="1"/>
  <c r="AH469" i="1"/>
  <c r="AK469" i="1"/>
  <c r="AG460" i="1"/>
  <c r="AK460" i="1"/>
  <c r="AI460" i="1"/>
  <c r="AG452" i="1"/>
  <c r="AK452" i="1"/>
  <c r="AI452" i="1"/>
  <c r="Z444" i="1"/>
  <c r="AK444" i="1"/>
  <c r="AI444" i="1"/>
  <c r="AF436" i="1"/>
  <c r="AK436" i="1"/>
  <c r="AI436" i="1"/>
  <c r="AH427" i="1"/>
  <c r="AK427" i="1"/>
  <c r="AH426" i="1"/>
  <c r="AK426" i="1"/>
  <c r="AI426" i="1"/>
  <c r="AJ426" i="1"/>
  <c r="Z418" i="1"/>
  <c r="AK418" i="1"/>
  <c r="AI418" i="1"/>
  <c r="AJ418" i="1"/>
  <c r="AG410" i="1"/>
  <c r="AK410" i="1"/>
  <c r="AI410" i="1"/>
  <c r="AJ410" i="1"/>
  <c r="AF401" i="1"/>
  <c r="AK401" i="1"/>
  <c r="AH393" i="1"/>
  <c r="AK393" i="1"/>
  <c r="Z384" i="1"/>
  <c r="AK384" i="1"/>
  <c r="AI384" i="1"/>
  <c r="AB376" i="1"/>
  <c r="AK376" i="1"/>
  <c r="AI376" i="1"/>
  <c r="AK368" i="1"/>
  <c r="AI368" i="1"/>
  <c r="AK360" i="1"/>
  <c r="AI360" i="1"/>
  <c r="AK352" i="1"/>
  <c r="AI352" i="1"/>
  <c r="AF344" i="1"/>
  <c r="AK344" i="1"/>
  <c r="AI344" i="1"/>
  <c r="AK336" i="1"/>
  <c r="AI336" i="1"/>
  <c r="AF328" i="1"/>
  <c r="AK328" i="1"/>
  <c r="AI328" i="1"/>
  <c r="AK319" i="1"/>
  <c r="AI319" i="1"/>
  <c r="AJ319" i="1"/>
  <c r="AI311" i="1"/>
  <c r="AJ311" i="1"/>
  <c r="AK311" i="1"/>
  <c r="Z302" i="1"/>
  <c r="AK302" i="1"/>
  <c r="AI302" i="1"/>
  <c r="AJ302" i="1"/>
  <c r="AH294" i="1"/>
  <c r="AK294" i="1"/>
  <c r="AI294" i="1"/>
  <c r="AJ294" i="1"/>
  <c r="AG286" i="1"/>
  <c r="AK286" i="1"/>
  <c r="AI286" i="1"/>
  <c r="AJ286" i="1"/>
  <c r="Z278" i="1"/>
  <c r="AK278" i="1"/>
  <c r="AI278" i="1"/>
  <c r="AJ278" i="1"/>
  <c r="AH270" i="1"/>
  <c r="AK270" i="1"/>
  <c r="AI270" i="1"/>
  <c r="AJ270" i="1"/>
  <c r="Z262" i="1"/>
  <c r="AK262" i="1"/>
  <c r="AI262" i="1"/>
  <c r="AJ262" i="1"/>
  <c r="Z254" i="1"/>
  <c r="AK254" i="1"/>
  <c r="AI254" i="1"/>
  <c r="AJ254" i="1"/>
  <c r="AG246" i="1"/>
  <c r="AK246" i="1"/>
  <c r="AI246" i="1"/>
  <c r="AJ246" i="1"/>
  <c r="AK238" i="1"/>
  <c r="AI238" i="1"/>
  <c r="AJ238" i="1"/>
  <c r="AK230" i="1"/>
  <c r="AI230" i="1"/>
  <c r="AJ230" i="1"/>
  <c r="AF222" i="1"/>
  <c r="AK222" i="1"/>
  <c r="AI222" i="1"/>
  <c r="AJ222" i="1"/>
  <c r="AK214" i="1"/>
  <c r="AI214" i="1"/>
  <c r="AJ214" i="1"/>
  <c r="AB206" i="1"/>
  <c r="AK206" i="1"/>
  <c r="AI206" i="1"/>
  <c r="AJ206" i="1"/>
  <c r="AK198" i="1"/>
  <c r="AI198" i="1"/>
  <c r="AJ198" i="1"/>
  <c r="AF190" i="1"/>
  <c r="AK190" i="1"/>
  <c r="AI190" i="1"/>
  <c r="AJ190" i="1"/>
  <c r="AB182" i="1"/>
  <c r="AK182" i="1"/>
  <c r="AI182" i="1"/>
  <c r="AJ182" i="1"/>
  <c r="AF173" i="1"/>
  <c r="AI173" i="1"/>
  <c r="AJ173" i="1"/>
  <c r="AK173" i="1"/>
  <c r="AI165" i="1"/>
  <c r="AJ165" i="1"/>
  <c r="AH157" i="1"/>
  <c r="AI157" i="1"/>
  <c r="AJ157" i="1"/>
  <c r="AK157" i="1"/>
  <c r="AB149" i="1"/>
  <c r="AI149" i="1"/>
  <c r="AK149" i="1"/>
  <c r="AJ149" i="1"/>
  <c r="AI141" i="1"/>
  <c r="AJ141" i="1"/>
  <c r="AK141" i="1"/>
  <c r="AF133" i="1"/>
  <c r="AI133" i="1"/>
  <c r="AJ133" i="1"/>
  <c r="AK133" i="1"/>
  <c r="AH123" i="1"/>
  <c r="AK123" i="1"/>
  <c r="AI123" i="1"/>
  <c r="AJ123" i="1"/>
  <c r="Z115" i="1"/>
  <c r="AK115" i="1"/>
  <c r="AJ115" i="1"/>
  <c r="AI115" i="1"/>
  <c r="AF113" i="1"/>
  <c r="AK106" i="1"/>
  <c r="AI106" i="1"/>
  <c r="AJ106" i="1"/>
  <c r="AK98" i="1"/>
  <c r="AI98" i="1"/>
  <c r="AJ98" i="1"/>
  <c r="AF90" i="1"/>
  <c r="AK90" i="1"/>
  <c r="AI90" i="1"/>
  <c r="AJ90" i="1"/>
  <c r="AF82" i="1"/>
  <c r="AK82" i="1"/>
  <c r="AI82" i="1"/>
  <c r="AJ82" i="1"/>
  <c r="AJ81" i="1"/>
  <c r="AK81" i="1"/>
  <c r="AI81" i="1"/>
  <c r="Z73" i="1"/>
  <c r="AJ73" i="1"/>
  <c r="AI73" i="1"/>
  <c r="AK73" i="1"/>
  <c r="AB65" i="1"/>
  <c r="AJ65" i="1"/>
  <c r="AK65" i="1"/>
  <c r="AI65" i="1"/>
  <c r="AJ57" i="1"/>
  <c r="AI57" i="1"/>
  <c r="AJ49" i="1"/>
  <c r="AI49" i="1"/>
  <c r="AH33" i="1"/>
  <c r="AJ33" i="1"/>
  <c r="AI33" i="1"/>
  <c r="AB25" i="1"/>
  <c r="AJ25" i="1"/>
  <c r="AI25" i="1"/>
  <c r="AB17" i="1"/>
  <c r="AJ17" i="1"/>
  <c r="AI17" i="1"/>
  <c r="AJ511" i="1"/>
  <c r="AI505" i="1"/>
  <c r="AJ485" i="1"/>
  <c r="AJ479" i="1"/>
  <c r="AJ460" i="1"/>
  <c r="AJ447" i="1"/>
  <c r="AI441" i="1"/>
  <c r="AJ421" i="1"/>
  <c r="AJ415" i="1"/>
  <c r="AJ389" i="1"/>
  <c r="AJ383" i="1"/>
  <c r="AJ376" i="1"/>
  <c r="AJ344" i="1"/>
  <c r="AJ140" i="1"/>
  <c r="AK485" i="1"/>
  <c r="AK484" i="1"/>
  <c r="AI484" i="1"/>
  <c r="AH435" i="1"/>
  <c r="AK435" i="1"/>
  <c r="AK327" i="1"/>
  <c r="AI327" i="1"/>
  <c r="AJ327" i="1"/>
  <c r="AI293" i="1"/>
  <c r="AJ293" i="1"/>
  <c r="AB277" i="1"/>
  <c r="AI277" i="1"/>
  <c r="AK277" i="1"/>
  <c r="AJ277" i="1"/>
  <c r="AF269" i="1"/>
  <c r="AI269" i="1"/>
  <c r="AJ269" i="1"/>
  <c r="AK269" i="1"/>
  <c r="AH205" i="1"/>
  <c r="AI205" i="1"/>
  <c r="AJ205" i="1"/>
  <c r="AK205" i="1"/>
  <c r="AF189" i="1"/>
  <c r="AK189" i="1"/>
  <c r="AI189" i="1"/>
  <c r="AJ189" i="1"/>
  <c r="AF148" i="1"/>
  <c r="AK148" i="1"/>
  <c r="AI148" i="1"/>
  <c r="AG478" i="1"/>
  <c r="AK478" i="1"/>
  <c r="AI478" i="1"/>
  <c r="AJ478" i="1"/>
  <c r="AF470" i="1"/>
  <c r="AK470" i="1"/>
  <c r="AI470" i="1"/>
  <c r="AJ470" i="1"/>
  <c r="AG461" i="1"/>
  <c r="AK461" i="1"/>
  <c r="AG453" i="1"/>
  <c r="AK453" i="1"/>
  <c r="Z429" i="1"/>
  <c r="AK429" i="1"/>
  <c r="Z428" i="1"/>
  <c r="AK428" i="1"/>
  <c r="AI428" i="1"/>
  <c r="AH419" i="1"/>
  <c r="AK419" i="1"/>
  <c r="AK402" i="1"/>
  <c r="AI402" i="1"/>
  <c r="AJ402" i="1"/>
  <c r="AG394" i="1"/>
  <c r="AK394" i="1"/>
  <c r="AI394" i="1"/>
  <c r="AJ394" i="1"/>
  <c r="Z385" i="1"/>
  <c r="AK385" i="1"/>
  <c r="AF377" i="1"/>
  <c r="AI377" i="1"/>
  <c r="AF369" i="1"/>
  <c r="AI369" i="1"/>
  <c r="AK369" i="1"/>
  <c r="AF361" i="1"/>
  <c r="AI361" i="1"/>
  <c r="AK361" i="1"/>
  <c r="AI353" i="1"/>
  <c r="AK353" i="1"/>
  <c r="AI345" i="1"/>
  <c r="AK345" i="1"/>
  <c r="AK337" i="1"/>
  <c r="AI337" i="1"/>
  <c r="AG329" i="1"/>
  <c r="AI329" i="1"/>
  <c r="AJ329" i="1"/>
  <c r="AK329" i="1"/>
  <c r="AH320" i="1"/>
  <c r="AK320" i="1"/>
  <c r="AI320" i="1"/>
  <c r="AK312" i="1"/>
  <c r="AI312" i="1"/>
  <c r="AH304" i="1"/>
  <c r="AK304" i="1"/>
  <c r="AI304" i="1"/>
  <c r="AK303" i="1"/>
  <c r="AI303" i="1"/>
  <c r="AJ303" i="1"/>
  <c r="AF295" i="1"/>
  <c r="AK295" i="1"/>
  <c r="AI295" i="1"/>
  <c r="AJ295" i="1"/>
  <c r="AF287" i="1"/>
  <c r="AI287" i="1"/>
  <c r="AK287" i="1"/>
  <c r="AJ287" i="1"/>
  <c r="AK279" i="1"/>
  <c r="AI279" i="1"/>
  <c r="AJ279" i="1"/>
  <c r="AI271" i="1"/>
  <c r="AJ271" i="1"/>
  <c r="AK263" i="1"/>
  <c r="AI263" i="1"/>
  <c r="AJ263" i="1"/>
  <c r="AG255" i="1"/>
  <c r="AK255" i="1"/>
  <c r="AI255" i="1"/>
  <c r="AJ255" i="1"/>
  <c r="AF247" i="1"/>
  <c r="AI247" i="1"/>
  <c r="AJ247" i="1"/>
  <c r="AK247" i="1"/>
  <c r="AF239" i="1"/>
  <c r="AK239" i="1"/>
  <c r="AI239" i="1"/>
  <c r="AJ239" i="1"/>
  <c r="AH231" i="1"/>
  <c r="AK231" i="1"/>
  <c r="AI231" i="1"/>
  <c r="AJ231" i="1"/>
  <c r="AI223" i="1"/>
  <c r="AK223" i="1"/>
  <c r="AJ223" i="1"/>
  <c r="Z215" i="1"/>
  <c r="AK215" i="1"/>
  <c r="AI215" i="1"/>
  <c r="AJ215" i="1"/>
  <c r="AG207" i="1"/>
  <c r="AI207" i="1"/>
  <c r="AJ207" i="1"/>
  <c r="AF199" i="1"/>
  <c r="AK199" i="1"/>
  <c r="AI199" i="1"/>
  <c r="AJ199" i="1"/>
  <c r="AF191" i="1"/>
  <c r="AK191" i="1"/>
  <c r="AI191" i="1"/>
  <c r="AJ191" i="1"/>
  <c r="Z183" i="1"/>
  <c r="AI183" i="1"/>
  <c r="AJ183" i="1"/>
  <c r="AK183" i="1"/>
  <c r="AG175" i="1"/>
  <c r="AK175" i="1"/>
  <c r="AI175" i="1"/>
  <c r="AJ175" i="1"/>
  <c r="AB174" i="1"/>
  <c r="AK174" i="1"/>
  <c r="AI174" i="1"/>
  <c r="AJ174" i="1"/>
  <c r="AF166" i="1"/>
  <c r="AK166" i="1"/>
  <c r="AI166" i="1"/>
  <c r="AJ166" i="1"/>
  <c r="AF158" i="1"/>
  <c r="AK158" i="1"/>
  <c r="AI158" i="1"/>
  <c r="AJ158" i="1"/>
  <c r="AB150" i="1"/>
  <c r="AK150" i="1"/>
  <c r="AI150" i="1"/>
  <c r="AJ150" i="1"/>
  <c r="AG142" i="1"/>
  <c r="AK142" i="1"/>
  <c r="AI142" i="1"/>
  <c r="AJ142" i="1"/>
  <c r="AG134" i="1"/>
  <c r="AK134" i="1"/>
  <c r="AI134" i="1"/>
  <c r="AJ134" i="1"/>
  <c r="AG126" i="1"/>
  <c r="AK126" i="1"/>
  <c r="AI126" i="1"/>
  <c r="AJ126" i="1"/>
  <c r="Z125" i="1"/>
  <c r="AK125" i="1"/>
  <c r="AI125" i="1"/>
  <c r="AJ125" i="1"/>
  <c r="Z124" i="1"/>
  <c r="AK124" i="1"/>
  <c r="AI124" i="1"/>
  <c r="Z116" i="1"/>
  <c r="AJ116" i="1"/>
  <c r="AK116" i="1"/>
  <c r="AI116" i="1"/>
  <c r="AK107" i="1"/>
  <c r="AJ107" i="1"/>
  <c r="AI107" i="1"/>
  <c r="AK99" i="1"/>
  <c r="AJ99" i="1"/>
  <c r="AG91" i="1"/>
  <c r="AK91" i="1"/>
  <c r="AJ91" i="1"/>
  <c r="AI91" i="1"/>
  <c r="AK83" i="1"/>
  <c r="AJ83" i="1"/>
  <c r="AI83" i="1"/>
  <c r="AF74" i="1"/>
  <c r="AK74" i="1"/>
  <c r="AI74" i="1"/>
  <c r="AJ74" i="1"/>
  <c r="AK66" i="1"/>
  <c r="AI66" i="1"/>
  <c r="AJ66" i="1"/>
  <c r="AK58" i="1"/>
  <c r="AI58" i="1"/>
  <c r="AJ58" i="1"/>
  <c r="AF50" i="1"/>
  <c r="AI50" i="1"/>
  <c r="AJ50" i="1"/>
  <c r="AF42" i="1"/>
  <c r="AI42" i="1"/>
  <c r="AJ42" i="1"/>
  <c r="AG34" i="1"/>
  <c r="AJ34" i="1"/>
  <c r="AI34" i="1"/>
  <c r="AG26" i="1"/>
  <c r="AJ26" i="1"/>
  <c r="AI26" i="1"/>
  <c r="AG18" i="1"/>
  <c r="AJ18" i="1"/>
  <c r="AI18" i="1"/>
  <c r="AJ497" i="1"/>
  <c r="AJ491" i="1"/>
  <c r="AI485" i="1"/>
  <c r="AJ465" i="1"/>
  <c r="AJ459" i="1"/>
  <c r="AI453" i="1"/>
  <c r="AJ433" i="1"/>
  <c r="AJ427" i="1"/>
  <c r="AI421" i="1"/>
  <c r="AJ401" i="1"/>
  <c r="AJ395" i="1"/>
  <c r="AI383" i="1"/>
  <c r="AJ353" i="1"/>
  <c r="AJ343" i="1"/>
  <c r="AJ328" i="1"/>
  <c r="AK463" i="1"/>
  <c r="AK293" i="1"/>
  <c r="AK508" i="1"/>
  <c r="AI508" i="1"/>
  <c r="AK492" i="1"/>
  <c r="AI492" i="1"/>
  <c r="AF451" i="1"/>
  <c r="AK451" i="1"/>
  <c r="AH409" i="1"/>
  <c r="AK409" i="1"/>
  <c r="AF400" i="1"/>
  <c r="AK400" i="1"/>
  <c r="AI400" i="1"/>
  <c r="AK392" i="1"/>
  <c r="AI392" i="1"/>
  <c r="AI351" i="1"/>
  <c r="AK351" i="1"/>
  <c r="AG301" i="1"/>
  <c r="AI301" i="1"/>
  <c r="AJ301" i="1"/>
  <c r="AK301" i="1"/>
  <c r="AK156" i="1"/>
  <c r="AI156" i="1"/>
  <c r="AG105" i="1"/>
  <c r="AJ105" i="1"/>
  <c r="AK105" i="1"/>
  <c r="AI105" i="1"/>
  <c r="AK335" i="1"/>
  <c r="AB510" i="1"/>
  <c r="AK510" i="1"/>
  <c r="AI510" i="1"/>
  <c r="AJ510" i="1"/>
  <c r="AF486" i="1"/>
  <c r="AK486" i="1"/>
  <c r="AI486" i="1"/>
  <c r="AJ486" i="1"/>
  <c r="AB511" i="1"/>
  <c r="AK511" i="1"/>
  <c r="AB487" i="1"/>
  <c r="AK487" i="1"/>
  <c r="AG454" i="1"/>
  <c r="AK454" i="1"/>
  <c r="AI454" i="1"/>
  <c r="AJ454" i="1"/>
  <c r="AK446" i="1"/>
  <c r="AI446" i="1"/>
  <c r="AJ446" i="1"/>
  <c r="Z430" i="1"/>
  <c r="AK430" i="1"/>
  <c r="AI430" i="1"/>
  <c r="AJ430" i="1"/>
  <c r="Z420" i="1"/>
  <c r="AK420" i="1"/>
  <c r="AI420" i="1"/>
  <c r="AG412" i="1"/>
  <c r="AK412" i="1"/>
  <c r="AI412" i="1"/>
  <c r="AH403" i="1"/>
  <c r="AK403" i="1"/>
  <c r="AB386" i="1"/>
  <c r="AK386" i="1"/>
  <c r="AI386" i="1"/>
  <c r="AJ386" i="1"/>
  <c r="AK378" i="1"/>
  <c r="AI378" i="1"/>
  <c r="AJ378" i="1"/>
  <c r="AK370" i="1"/>
  <c r="AI370" i="1"/>
  <c r="AJ370" i="1"/>
  <c r="AK362" i="1"/>
  <c r="AI362" i="1"/>
  <c r="AJ362" i="1"/>
  <c r="Z354" i="1"/>
  <c r="AK354" i="1"/>
  <c r="AI354" i="1"/>
  <c r="AJ354" i="1"/>
  <c r="AK346" i="1"/>
  <c r="AI346" i="1"/>
  <c r="AJ346" i="1"/>
  <c r="AG338" i="1"/>
  <c r="AK338" i="1"/>
  <c r="AI338" i="1"/>
  <c r="AJ338" i="1"/>
  <c r="AF330" i="1"/>
  <c r="AK330" i="1"/>
  <c r="AI330" i="1"/>
  <c r="AJ330" i="1"/>
  <c r="AF321" i="1"/>
  <c r="AI321" i="1"/>
  <c r="AJ321" i="1"/>
  <c r="AK321" i="1"/>
  <c r="AG313" i="1"/>
  <c r="AI313" i="1"/>
  <c r="AJ313" i="1"/>
  <c r="Z305" i="1"/>
  <c r="AI305" i="1"/>
  <c r="AJ305" i="1"/>
  <c r="AK305" i="1"/>
  <c r="AB296" i="1"/>
  <c r="AK296" i="1"/>
  <c r="AI296" i="1"/>
  <c r="Z288" i="1"/>
  <c r="AK288" i="1"/>
  <c r="AI288" i="1"/>
  <c r="AK280" i="1"/>
  <c r="AI280" i="1"/>
  <c r="AG272" i="1"/>
  <c r="AK272" i="1"/>
  <c r="AI272" i="1"/>
  <c r="AK264" i="1"/>
  <c r="AI264" i="1"/>
  <c r="AG256" i="1"/>
  <c r="AK256" i="1"/>
  <c r="AI256" i="1"/>
  <c r="AF248" i="1"/>
  <c r="AK248" i="1"/>
  <c r="AI248" i="1"/>
  <c r="AK240" i="1"/>
  <c r="AI240" i="1"/>
  <c r="AK232" i="1"/>
  <c r="AI232" i="1"/>
  <c r="AH224" i="1"/>
  <c r="AK224" i="1"/>
  <c r="AI224" i="1"/>
  <c r="AK216" i="1"/>
  <c r="AI216" i="1"/>
  <c r="Z208" i="1"/>
  <c r="AK208" i="1"/>
  <c r="AI208" i="1"/>
  <c r="AK200" i="1"/>
  <c r="AI200" i="1"/>
  <c r="AF192" i="1"/>
  <c r="AK192" i="1"/>
  <c r="AI192" i="1"/>
  <c r="AK184" i="1"/>
  <c r="AI184" i="1"/>
  <c r="AB176" i="1"/>
  <c r="AK176" i="1"/>
  <c r="AI176" i="1"/>
  <c r="AG167" i="1"/>
  <c r="AK167" i="1"/>
  <c r="AI167" i="1"/>
  <c r="AJ167" i="1"/>
  <c r="Z159" i="1"/>
  <c r="AI159" i="1"/>
  <c r="AK159" i="1"/>
  <c r="AJ159" i="1"/>
  <c r="AH151" i="1"/>
  <c r="AK151" i="1"/>
  <c r="AI151" i="1"/>
  <c r="AJ151" i="1"/>
  <c r="AG143" i="1"/>
  <c r="AI143" i="1"/>
  <c r="AJ143" i="1"/>
  <c r="Z135" i="1"/>
  <c r="AK135" i="1"/>
  <c r="AI135" i="1"/>
  <c r="AJ135" i="1"/>
  <c r="Z127" i="1"/>
  <c r="AK127" i="1"/>
  <c r="AI127" i="1"/>
  <c r="AJ127" i="1"/>
  <c r="AF117" i="1"/>
  <c r="AJ117" i="1"/>
  <c r="AK117" i="1"/>
  <c r="AI117" i="1"/>
  <c r="AJ108" i="1"/>
  <c r="AK108" i="1"/>
  <c r="AI108" i="1"/>
  <c r="AJ100" i="1"/>
  <c r="AK100" i="1"/>
  <c r="AI100" i="1"/>
  <c r="AG92" i="1"/>
  <c r="AJ92" i="1"/>
  <c r="AK92" i="1"/>
  <c r="AI92" i="1"/>
  <c r="AJ84" i="1"/>
  <c r="AK84" i="1"/>
  <c r="AI84" i="1"/>
  <c r="Z75" i="1"/>
  <c r="AK75" i="1"/>
  <c r="AJ75" i="1"/>
  <c r="AI75" i="1"/>
  <c r="AG67" i="1"/>
  <c r="AK67" i="1"/>
  <c r="AJ67" i="1"/>
  <c r="AG59" i="1"/>
  <c r="AK59" i="1"/>
  <c r="AJ59" i="1"/>
  <c r="AI59" i="1"/>
  <c r="Z51" i="1"/>
  <c r="AJ51" i="1"/>
  <c r="AI51" i="1"/>
  <c r="Z43" i="1"/>
  <c r="AJ43" i="1"/>
  <c r="AI43" i="1"/>
  <c r="AH35" i="1"/>
  <c r="AI35" i="1"/>
  <c r="AJ35" i="1"/>
  <c r="Z27" i="1"/>
  <c r="AI27" i="1"/>
  <c r="AJ27" i="1"/>
  <c r="AI19" i="1"/>
  <c r="AJ19" i="1"/>
  <c r="AJ15" i="1"/>
  <c r="AI15" i="1"/>
  <c r="Z15" i="1"/>
  <c r="AJ509" i="1"/>
  <c r="AJ484" i="1"/>
  <c r="AJ477" i="1"/>
  <c r="AJ471" i="1"/>
  <c r="AI459" i="1"/>
  <c r="AJ452" i="1"/>
  <c r="AJ445" i="1"/>
  <c r="AI433" i="1"/>
  <c r="AI427" i="1"/>
  <c r="AJ420" i="1"/>
  <c r="AJ407" i="1"/>
  <c r="AI401" i="1"/>
  <c r="AI395" i="1"/>
  <c r="AJ381" i="1"/>
  <c r="AJ352" i="1"/>
  <c r="AI67" i="1"/>
  <c r="AK441" i="1"/>
  <c r="AK271" i="1"/>
  <c r="AF181" i="1"/>
  <c r="AI181" i="1"/>
  <c r="AJ181" i="1"/>
  <c r="AK181" i="1"/>
  <c r="AB503" i="1"/>
  <c r="AK503" i="1"/>
  <c r="AF479" i="1"/>
  <c r="AK479" i="1"/>
  <c r="AK438" i="1"/>
  <c r="AI438" i="1"/>
  <c r="AJ438" i="1"/>
  <c r="AF513" i="1"/>
  <c r="AI513" i="1"/>
  <c r="AJ513" i="1"/>
  <c r="AK513" i="1"/>
  <c r="AK512" i="1"/>
  <c r="AI512" i="1"/>
  <c r="AK504" i="1"/>
  <c r="AI504" i="1"/>
  <c r="AK496" i="1"/>
  <c r="AI496" i="1"/>
  <c r="AK488" i="1"/>
  <c r="AI488" i="1"/>
  <c r="AG480" i="1"/>
  <c r="AK480" i="1"/>
  <c r="AI480" i="1"/>
  <c r="AG472" i="1"/>
  <c r="AK472" i="1"/>
  <c r="AI472" i="1"/>
  <c r="AF464" i="1"/>
  <c r="AK464" i="1"/>
  <c r="AI464" i="1"/>
  <c r="AF455" i="1"/>
  <c r="AK455" i="1"/>
  <c r="AF447" i="1"/>
  <c r="AK447" i="1"/>
  <c r="AH439" i="1"/>
  <c r="AK439" i="1"/>
  <c r="AH431" i="1"/>
  <c r="AK431" i="1"/>
  <c r="AH413" i="1"/>
  <c r="AK413" i="1"/>
  <c r="AF404" i="1"/>
  <c r="AK404" i="1"/>
  <c r="AI404" i="1"/>
  <c r="Z396" i="1"/>
  <c r="AK396" i="1"/>
  <c r="AI396" i="1"/>
  <c r="AH387" i="1"/>
  <c r="AK387" i="1"/>
  <c r="AK371" i="1"/>
  <c r="AI371" i="1"/>
  <c r="AK363" i="1"/>
  <c r="AI363" i="1"/>
  <c r="AK355" i="1"/>
  <c r="AI355" i="1"/>
  <c r="AB347" i="1"/>
  <c r="AK347" i="1"/>
  <c r="AI347" i="1"/>
  <c r="AF339" i="1"/>
  <c r="AK339" i="1"/>
  <c r="AI339" i="1"/>
  <c r="AK331" i="1"/>
  <c r="AI331" i="1"/>
  <c r="AJ331" i="1"/>
  <c r="AG322" i="1"/>
  <c r="AK322" i="1"/>
  <c r="AI322" i="1"/>
  <c r="AJ322" i="1"/>
  <c r="AF314" i="1"/>
  <c r="AK314" i="1"/>
  <c r="AI314" i="1"/>
  <c r="AJ314" i="1"/>
  <c r="Z306" i="1"/>
  <c r="AK306" i="1"/>
  <c r="AI306" i="1"/>
  <c r="AJ306" i="1"/>
  <c r="Z297" i="1"/>
  <c r="AI297" i="1"/>
  <c r="AK297" i="1"/>
  <c r="AJ297" i="1"/>
  <c r="AI289" i="1"/>
  <c r="AJ289" i="1"/>
  <c r="AK289" i="1"/>
  <c r="AI281" i="1"/>
  <c r="AJ281" i="1"/>
  <c r="AK281" i="1"/>
  <c r="AB273" i="1"/>
  <c r="AK273" i="1"/>
  <c r="AI273" i="1"/>
  <c r="AJ273" i="1"/>
  <c r="AI265" i="1"/>
  <c r="AJ265" i="1"/>
  <c r="AK265" i="1"/>
  <c r="AI257" i="1"/>
  <c r="AJ257" i="1"/>
  <c r="AK257" i="1"/>
  <c r="AI249" i="1"/>
  <c r="AJ249" i="1"/>
  <c r="AF241" i="1"/>
  <c r="AI241" i="1"/>
  <c r="AJ241" i="1"/>
  <c r="AK241" i="1"/>
  <c r="AI233" i="1"/>
  <c r="AK233" i="1"/>
  <c r="AJ233" i="1"/>
  <c r="AI225" i="1"/>
  <c r="AJ225" i="1"/>
  <c r="AK225" i="1"/>
  <c r="AF217" i="1"/>
  <c r="AI217" i="1"/>
  <c r="AJ217" i="1"/>
  <c r="AK217" i="1"/>
  <c r="Z209" i="1"/>
  <c r="AK209" i="1"/>
  <c r="AI209" i="1"/>
  <c r="AJ209" i="1"/>
  <c r="AF201" i="1"/>
  <c r="AI201" i="1"/>
  <c r="AJ201" i="1"/>
  <c r="AK201" i="1"/>
  <c r="AH193" i="1"/>
  <c r="AI193" i="1"/>
  <c r="AJ193" i="1"/>
  <c r="AK193" i="1"/>
  <c r="AI185" i="1"/>
  <c r="AJ185" i="1"/>
  <c r="AI177" i="1"/>
  <c r="AJ177" i="1"/>
  <c r="AK177" i="1"/>
  <c r="AG168" i="1"/>
  <c r="AK168" i="1"/>
  <c r="AI168" i="1"/>
  <c r="AB160" i="1"/>
  <c r="AK160" i="1"/>
  <c r="AI160" i="1"/>
  <c r="AF152" i="1"/>
  <c r="AK152" i="1"/>
  <c r="AI152" i="1"/>
  <c r="AK144" i="1"/>
  <c r="AI144" i="1"/>
  <c r="AK136" i="1"/>
  <c r="AI136" i="1"/>
  <c r="AF128" i="1"/>
  <c r="AK128" i="1"/>
  <c r="AI128" i="1"/>
  <c r="AG118" i="1"/>
  <c r="AI118" i="1"/>
  <c r="AJ118" i="1"/>
  <c r="AK118" i="1"/>
  <c r="Z109" i="1"/>
  <c r="AJ109" i="1"/>
  <c r="AK109" i="1"/>
  <c r="AF101" i="1"/>
  <c r="AJ101" i="1"/>
  <c r="AI101" i="1"/>
  <c r="AJ93" i="1"/>
  <c r="AI93" i="1"/>
  <c r="AK93" i="1"/>
  <c r="AJ85" i="1"/>
  <c r="AK85" i="1"/>
  <c r="AI85" i="1"/>
  <c r="AF76" i="1"/>
  <c r="AJ76" i="1"/>
  <c r="AK76" i="1"/>
  <c r="AI76" i="1"/>
  <c r="AF68" i="1"/>
  <c r="AJ68" i="1"/>
  <c r="AK68" i="1"/>
  <c r="AI68" i="1"/>
  <c r="AG60" i="1"/>
  <c r="AJ60" i="1"/>
  <c r="AK60" i="1"/>
  <c r="AI60" i="1"/>
  <c r="AI509" i="1"/>
  <c r="AI503" i="1"/>
  <c r="AJ496" i="1"/>
  <c r="AJ483" i="1"/>
  <c r="AI477" i="1"/>
  <c r="AJ464" i="1"/>
  <c r="AJ457" i="1"/>
  <c r="AJ451" i="1"/>
  <c r="AI445" i="1"/>
  <c r="AI439" i="1"/>
  <c r="AJ425" i="1"/>
  <c r="AJ419" i="1"/>
  <c r="AI413" i="1"/>
  <c r="AJ400" i="1"/>
  <c r="AJ393" i="1"/>
  <c r="AJ387" i="1"/>
  <c r="AJ361" i="1"/>
  <c r="AJ351" i="1"/>
  <c r="AJ320" i="1"/>
  <c r="AJ288" i="1"/>
  <c r="AJ256" i="1"/>
  <c r="AJ224" i="1"/>
  <c r="AJ192" i="1"/>
  <c r="AJ160" i="1"/>
  <c r="AJ128" i="1"/>
  <c r="AI56" i="1"/>
  <c r="AK249" i="1"/>
  <c r="AJ89" i="1"/>
  <c r="AI89" i="1"/>
  <c r="AK89" i="1"/>
  <c r="AG80" i="1"/>
  <c r="AK80" i="1"/>
  <c r="AJ80" i="1"/>
  <c r="AI80" i="1"/>
  <c r="AF502" i="1"/>
  <c r="AK502" i="1"/>
  <c r="AI502" i="1"/>
  <c r="AJ502" i="1"/>
  <c r="AB494" i="1"/>
  <c r="AK494" i="1"/>
  <c r="AI494" i="1"/>
  <c r="AJ494" i="1"/>
  <c r="AB495" i="1"/>
  <c r="AK495" i="1"/>
  <c r="AF471" i="1"/>
  <c r="AK471" i="1"/>
  <c r="AF462" i="1"/>
  <c r="AK462" i="1"/>
  <c r="AI462" i="1"/>
  <c r="AJ462" i="1"/>
  <c r="Z514" i="1"/>
  <c r="AK514" i="1"/>
  <c r="AF497" i="1"/>
  <c r="AK497" i="1"/>
  <c r="AF489" i="1"/>
  <c r="AK489" i="1"/>
  <c r="AF481" i="1"/>
  <c r="AK481" i="1"/>
  <c r="Z473" i="1"/>
  <c r="AK473" i="1"/>
  <c r="AH465" i="1"/>
  <c r="AK465" i="1"/>
  <c r="AB456" i="1"/>
  <c r="AK456" i="1"/>
  <c r="AI456" i="1"/>
  <c r="AF448" i="1"/>
  <c r="AK448" i="1"/>
  <c r="AI448" i="1"/>
  <c r="Z440" i="1"/>
  <c r="AK440" i="1"/>
  <c r="AI440" i="1"/>
  <c r="AB432" i="1"/>
  <c r="AK432" i="1"/>
  <c r="AI432" i="1"/>
  <c r="AK422" i="1"/>
  <c r="AI422" i="1"/>
  <c r="AJ422" i="1"/>
  <c r="AF414" i="1"/>
  <c r="AK414" i="1"/>
  <c r="AI414" i="1"/>
  <c r="AJ414" i="1"/>
  <c r="AK406" i="1"/>
  <c r="AI406" i="1"/>
  <c r="AJ406" i="1"/>
  <c r="AH405" i="1"/>
  <c r="AK405" i="1"/>
  <c r="Z388" i="1"/>
  <c r="AK388" i="1"/>
  <c r="AI388" i="1"/>
  <c r="AK380" i="1"/>
  <c r="AI380" i="1"/>
  <c r="AG372" i="1"/>
  <c r="AK372" i="1"/>
  <c r="AI372" i="1"/>
  <c r="AG364" i="1"/>
  <c r="AK364" i="1"/>
  <c r="AI364" i="1"/>
  <c r="AG356" i="1"/>
  <c r="AK356" i="1"/>
  <c r="AI356" i="1"/>
  <c r="AK348" i="1"/>
  <c r="AI348" i="1"/>
  <c r="AG340" i="1"/>
  <c r="AK340" i="1"/>
  <c r="AI340" i="1"/>
  <c r="AH332" i="1"/>
  <c r="AK332" i="1"/>
  <c r="AI332" i="1"/>
  <c r="AK323" i="1"/>
  <c r="AI323" i="1"/>
  <c r="AJ323" i="1"/>
  <c r="AG315" i="1"/>
  <c r="AK315" i="1"/>
  <c r="AI315" i="1"/>
  <c r="AJ315" i="1"/>
  <c r="AF307" i="1"/>
  <c r="AK307" i="1"/>
  <c r="AI307" i="1"/>
  <c r="AJ307" i="1"/>
  <c r="AF298" i="1"/>
  <c r="AK298" i="1"/>
  <c r="AI298" i="1"/>
  <c r="AJ298" i="1"/>
  <c r="AF290" i="1"/>
  <c r="AK290" i="1"/>
  <c r="AI290" i="1"/>
  <c r="AJ290" i="1"/>
  <c r="AK282" i="1"/>
  <c r="AI282" i="1"/>
  <c r="AJ282" i="1"/>
  <c r="AG274" i="1"/>
  <c r="AK274" i="1"/>
  <c r="AI274" i="1"/>
  <c r="AJ274" i="1"/>
  <c r="AK266" i="1"/>
  <c r="AI266" i="1"/>
  <c r="AJ266" i="1"/>
  <c r="AG258" i="1"/>
  <c r="AK258" i="1"/>
  <c r="AI258" i="1"/>
  <c r="AJ258" i="1"/>
  <c r="AG250" i="1"/>
  <c r="AK250" i="1"/>
  <c r="AI250" i="1"/>
  <c r="AJ250" i="1"/>
  <c r="AB242" i="1"/>
  <c r="AK242" i="1"/>
  <c r="AI242" i="1"/>
  <c r="AJ242" i="1"/>
  <c r="AK234" i="1"/>
  <c r="AI234" i="1"/>
  <c r="AJ234" i="1"/>
  <c r="AB226" i="1"/>
  <c r="AK226" i="1"/>
  <c r="AI226" i="1"/>
  <c r="AJ226" i="1"/>
  <c r="AK218" i="1"/>
  <c r="AI218" i="1"/>
  <c r="AJ218" i="1"/>
  <c r="AK210" i="1"/>
  <c r="AI210" i="1"/>
  <c r="AJ210" i="1"/>
  <c r="AF202" i="1"/>
  <c r="AK202" i="1"/>
  <c r="AI202" i="1"/>
  <c r="AJ202" i="1"/>
  <c r="AK194" i="1"/>
  <c r="AI194" i="1"/>
  <c r="AJ194" i="1"/>
  <c r="AK186" i="1"/>
  <c r="AI186" i="1"/>
  <c r="AJ186" i="1"/>
  <c r="AB178" i="1"/>
  <c r="AK178" i="1"/>
  <c r="AI178" i="1"/>
  <c r="AJ178" i="1"/>
  <c r="AI169" i="1"/>
  <c r="AK169" i="1"/>
  <c r="AJ169" i="1"/>
  <c r="AI161" i="1"/>
  <c r="AJ161" i="1"/>
  <c r="AK161" i="1"/>
  <c r="AI153" i="1"/>
  <c r="AJ153" i="1"/>
  <c r="AK153" i="1"/>
  <c r="AF145" i="1"/>
  <c r="AK145" i="1"/>
  <c r="AI145" i="1"/>
  <c r="AJ145" i="1"/>
  <c r="AF137" i="1"/>
  <c r="AI137" i="1"/>
  <c r="AJ137" i="1"/>
  <c r="AK137" i="1"/>
  <c r="AF129" i="1"/>
  <c r="AI129" i="1"/>
  <c r="AJ129" i="1"/>
  <c r="AK129" i="1"/>
  <c r="AJ119" i="1"/>
  <c r="AK119" i="1"/>
  <c r="AI119" i="1"/>
  <c r="AB110" i="1"/>
  <c r="AI110" i="1"/>
  <c r="AJ110" i="1"/>
  <c r="AK110" i="1"/>
  <c r="AF102" i="1"/>
  <c r="AI102" i="1"/>
  <c r="AJ102" i="1"/>
  <c r="AK102" i="1"/>
  <c r="AI94" i="1"/>
  <c r="AJ94" i="1"/>
  <c r="AK94" i="1"/>
  <c r="AI86" i="1"/>
  <c r="AJ86" i="1"/>
  <c r="AK86" i="1"/>
  <c r="AJ77" i="1"/>
  <c r="AK77" i="1"/>
  <c r="Z69" i="1"/>
  <c r="AJ69" i="1"/>
  <c r="AI69" i="1"/>
  <c r="AK69" i="1"/>
  <c r="AJ61" i="1"/>
  <c r="AK61" i="1"/>
  <c r="AI61" i="1"/>
  <c r="AJ53" i="1"/>
  <c r="AI53" i="1"/>
  <c r="AJ45" i="1"/>
  <c r="Z37" i="1"/>
  <c r="AJ37" i="1"/>
  <c r="AI37" i="1"/>
  <c r="AJ29" i="1"/>
  <c r="AI29" i="1"/>
  <c r="AB21" i="1"/>
  <c r="AJ21" i="1"/>
  <c r="AJ508" i="1"/>
  <c r="AJ501" i="1"/>
  <c r="AJ495" i="1"/>
  <c r="AI489" i="1"/>
  <c r="AJ469" i="1"/>
  <c r="AJ463" i="1"/>
  <c r="AI451" i="1"/>
  <c r="AJ444" i="1"/>
  <c r="AJ437" i="1"/>
  <c r="AJ431" i="1"/>
  <c r="AI425" i="1"/>
  <c r="AI419" i="1"/>
  <c r="AJ412" i="1"/>
  <c r="AJ405" i="1"/>
  <c r="AJ399" i="1"/>
  <c r="AI393" i="1"/>
  <c r="AI387" i="1"/>
  <c r="AJ380" i="1"/>
  <c r="AJ371" i="1"/>
  <c r="AJ360" i="1"/>
  <c r="AJ339" i="1"/>
  <c r="AJ156" i="1"/>
  <c r="AJ124" i="1"/>
  <c r="AI45" i="1"/>
  <c r="AK399" i="1"/>
  <c r="AK57" i="1"/>
  <c r="AK500" i="1"/>
  <c r="AI500" i="1"/>
  <c r="AG468" i="1"/>
  <c r="AK468" i="1"/>
  <c r="AI468" i="1"/>
  <c r="AH443" i="1"/>
  <c r="AK443" i="1"/>
  <c r="AI375" i="1"/>
  <c r="AK375" i="1"/>
  <c r="AK318" i="1"/>
  <c r="AI318" i="1"/>
  <c r="AJ318" i="1"/>
  <c r="Z285" i="1"/>
  <c r="AI285" i="1"/>
  <c r="AJ285" i="1"/>
  <c r="AK285" i="1"/>
  <c r="AB261" i="1"/>
  <c r="AI261" i="1"/>
  <c r="AJ261" i="1"/>
  <c r="AK261" i="1"/>
  <c r="AF253" i="1"/>
  <c r="AK253" i="1"/>
  <c r="AI253" i="1"/>
  <c r="AJ253" i="1"/>
  <c r="AI229" i="1"/>
  <c r="AJ229" i="1"/>
  <c r="AB197" i="1"/>
  <c r="AI197" i="1"/>
  <c r="AJ197" i="1"/>
  <c r="AK197" i="1"/>
  <c r="AK172" i="1"/>
  <c r="AI172" i="1"/>
  <c r="Z132" i="1"/>
  <c r="AK132" i="1"/>
  <c r="AI132" i="1"/>
  <c r="AF16" i="1"/>
  <c r="AJ16" i="1"/>
  <c r="AI16" i="1"/>
  <c r="AF506" i="1"/>
  <c r="AK506" i="1"/>
  <c r="AI506" i="1"/>
  <c r="AJ506" i="1"/>
  <c r="Z498" i="1"/>
  <c r="AK498" i="1"/>
  <c r="AI498" i="1"/>
  <c r="AJ498" i="1"/>
  <c r="Z490" i="1"/>
  <c r="AK490" i="1"/>
  <c r="AI490" i="1"/>
  <c r="AJ490" i="1"/>
  <c r="Z482" i="1"/>
  <c r="AK482" i="1"/>
  <c r="AI482" i="1"/>
  <c r="AJ482" i="1"/>
  <c r="AB474" i="1"/>
  <c r="AK474" i="1"/>
  <c r="AI474" i="1"/>
  <c r="AJ474" i="1"/>
  <c r="Z466" i="1"/>
  <c r="AK466" i="1"/>
  <c r="AI466" i="1"/>
  <c r="AJ466" i="1"/>
  <c r="AF457" i="1"/>
  <c r="AK457" i="1"/>
  <c r="AG449" i="1"/>
  <c r="AK449" i="1"/>
  <c r="AH415" i="1"/>
  <c r="AK415" i="1"/>
  <c r="AH407" i="1"/>
  <c r="AK407" i="1"/>
  <c r="AK398" i="1"/>
  <c r="AI398" i="1"/>
  <c r="AJ398" i="1"/>
  <c r="Z389" i="1"/>
  <c r="AK389" i="1"/>
  <c r="AH381" i="1"/>
  <c r="AK381" i="1"/>
  <c r="AI373" i="1"/>
  <c r="AK373" i="1"/>
  <c r="AI365" i="1"/>
  <c r="AK365" i="1"/>
  <c r="AF357" i="1"/>
  <c r="AI357" i="1"/>
  <c r="AF349" i="1"/>
  <c r="AI349" i="1"/>
  <c r="AK349" i="1"/>
  <c r="AF341" i="1"/>
  <c r="AI341" i="1"/>
  <c r="AK341" i="1"/>
  <c r="AF333" i="1"/>
  <c r="AI333" i="1"/>
  <c r="AJ333" i="1"/>
  <c r="AK333" i="1"/>
  <c r="AI325" i="1"/>
  <c r="AJ325" i="1"/>
  <c r="AK325" i="1"/>
  <c r="AF324" i="1"/>
  <c r="AK324" i="1"/>
  <c r="AI324" i="1"/>
  <c r="AH316" i="1"/>
  <c r="AK316" i="1"/>
  <c r="AI316" i="1"/>
  <c r="AB308" i="1"/>
  <c r="AK308" i="1"/>
  <c r="AI308" i="1"/>
  <c r="AK299" i="1"/>
  <c r="AI299" i="1"/>
  <c r="AJ299" i="1"/>
  <c r="AK291" i="1"/>
  <c r="AI291" i="1"/>
  <c r="AJ291" i="1"/>
  <c r="AF283" i="1"/>
  <c r="AK283" i="1"/>
  <c r="AI283" i="1"/>
  <c r="AJ283" i="1"/>
  <c r="AB275" i="1"/>
  <c r="AK275" i="1"/>
  <c r="AI275" i="1"/>
  <c r="AJ275" i="1"/>
  <c r="AK267" i="1"/>
  <c r="AI267" i="1"/>
  <c r="AJ267" i="1"/>
  <c r="AF259" i="1"/>
  <c r="AK259" i="1"/>
  <c r="AI259" i="1"/>
  <c r="AJ259" i="1"/>
  <c r="AB251" i="1"/>
  <c r="AK251" i="1"/>
  <c r="AI251" i="1"/>
  <c r="AJ251" i="1"/>
  <c r="AG243" i="1"/>
  <c r="AK243" i="1"/>
  <c r="AI243" i="1"/>
  <c r="AJ243" i="1"/>
  <c r="AF235" i="1"/>
  <c r="AK235" i="1"/>
  <c r="AI235" i="1"/>
  <c r="AJ235" i="1"/>
  <c r="AG227" i="1"/>
  <c r="AK227" i="1"/>
  <c r="AI227" i="1"/>
  <c r="AJ227" i="1"/>
  <c r="AF219" i="1"/>
  <c r="AK219" i="1"/>
  <c r="AI219" i="1"/>
  <c r="AJ219" i="1"/>
  <c r="AK211" i="1"/>
  <c r="AI211" i="1"/>
  <c r="AJ211" i="1"/>
  <c r="AF203" i="1"/>
  <c r="AK203" i="1"/>
  <c r="AI203" i="1"/>
  <c r="AJ203" i="1"/>
  <c r="AK195" i="1"/>
  <c r="AI195" i="1"/>
  <c r="AJ195" i="1"/>
  <c r="Z187" i="1"/>
  <c r="AK187" i="1"/>
  <c r="AI187" i="1"/>
  <c r="AJ187" i="1"/>
  <c r="Z179" i="1"/>
  <c r="AK179" i="1"/>
  <c r="AI179" i="1"/>
  <c r="AJ179" i="1"/>
  <c r="AK170" i="1"/>
  <c r="AI170" i="1"/>
  <c r="AJ170" i="1"/>
  <c r="AK162" i="1"/>
  <c r="AI162" i="1"/>
  <c r="AJ162" i="1"/>
  <c r="AF154" i="1"/>
  <c r="AK154" i="1"/>
  <c r="AI154" i="1"/>
  <c r="AJ154" i="1"/>
  <c r="AK146" i="1"/>
  <c r="AI146" i="1"/>
  <c r="AJ146" i="1"/>
  <c r="AF138" i="1"/>
  <c r="AK138" i="1"/>
  <c r="AI138" i="1"/>
  <c r="AJ138" i="1"/>
  <c r="AG130" i="1"/>
  <c r="AK130" i="1"/>
  <c r="AI130" i="1"/>
  <c r="AJ130" i="1"/>
  <c r="AF120" i="1"/>
  <c r="AK120" i="1"/>
  <c r="AJ120" i="1"/>
  <c r="Z111" i="1"/>
  <c r="AJ111" i="1"/>
  <c r="AI111" i="1"/>
  <c r="AK111" i="1"/>
  <c r="AJ103" i="1"/>
  <c r="AK103" i="1"/>
  <c r="AI103" i="1"/>
  <c r="AG95" i="1"/>
  <c r="AJ95" i="1"/>
  <c r="AI95" i="1"/>
  <c r="AK95" i="1"/>
  <c r="AJ87" i="1"/>
  <c r="AK87" i="1"/>
  <c r="AI87" i="1"/>
  <c r="AF78" i="1"/>
  <c r="AI78" i="1"/>
  <c r="AJ78" i="1"/>
  <c r="AK78" i="1"/>
  <c r="AI70" i="1"/>
  <c r="AJ70" i="1"/>
  <c r="AK70" i="1"/>
  <c r="AI62" i="1"/>
  <c r="AJ62" i="1"/>
  <c r="AK62" i="1"/>
  <c r="AF54" i="1"/>
  <c r="AI54" i="1"/>
  <c r="AJ54" i="1"/>
  <c r="AF46" i="1"/>
  <c r="AI46" i="1"/>
  <c r="AJ46" i="1"/>
  <c r="AJ38" i="1"/>
  <c r="AI38" i="1"/>
  <c r="AJ30" i="1"/>
  <c r="AI30" i="1"/>
  <c r="AG22" i="1"/>
  <c r="AJ22" i="1"/>
  <c r="AI22" i="1"/>
  <c r="AJ514" i="1"/>
  <c r="AI501" i="1"/>
  <c r="AI495" i="1"/>
  <c r="AJ488" i="1"/>
  <c r="AJ481" i="1"/>
  <c r="AI469" i="1"/>
  <c r="AI463" i="1"/>
  <c r="AJ456" i="1"/>
  <c r="AJ449" i="1"/>
  <c r="AJ443" i="1"/>
  <c r="AI437" i="1"/>
  <c r="AI431" i="1"/>
  <c r="AJ417" i="1"/>
  <c r="AJ411" i="1"/>
  <c r="AI405" i="1"/>
  <c r="AI399" i="1"/>
  <c r="AJ392" i="1"/>
  <c r="AJ385" i="1"/>
  <c r="AJ379" i="1"/>
  <c r="AJ369" i="1"/>
  <c r="AJ348" i="1"/>
  <c r="AJ337" i="1"/>
  <c r="AJ312" i="1"/>
  <c r="AJ280" i="1"/>
  <c r="AJ248" i="1"/>
  <c r="AJ216" i="1"/>
  <c r="AJ184" i="1"/>
  <c r="AJ152" i="1"/>
  <c r="AI120" i="1"/>
  <c r="AK377" i="1"/>
  <c r="AK207" i="1"/>
  <c r="AB476" i="1"/>
  <c r="AK476" i="1"/>
  <c r="AI476" i="1"/>
  <c r="AK359" i="1"/>
  <c r="AI359" i="1"/>
  <c r="AK164" i="1"/>
  <c r="AI164" i="1"/>
  <c r="AJ335" i="1"/>
  <c r="AB507" i="1"/>
  <c r="AK507" i="1"/>
  <c r="AB499" i="1"/>
  <c r="AK499" i="1"/>
  <c r="AB491" i="1"/>
  <c r="AK491" i="1"/>
  <c r="AB483" i="1"/>
  <c r="AK483" i="1"/>
  <c r="AF475" i="1"/>
  <c r="AK475" i="1"/>
  <c r="AF467" i="1"/>
  <c r="AK467" i="1"/>
  <c r="AF458" i="1"/>
  <c r="AK458" i="1"/>
  <c r="AI458" i="1"/>
  <c r="AJ458" i="1"/>
  <c r="AK450" i="1"/>
  <c r="AI450" i="1"/>
  <c r="AJ450" i="1"/>
  <c r="AF442" i="1"/>
  <c r="AK442" i="1"/>
  <c r="AI442" i="1"/>
  <c r="AJ442" i="1"/>
  <c r="AF434" i="1"/>
  <c r="AK434" i="1"/>
  <c r="AI434" i="1"/>
  <c r="AJ434" i="1"/>
  <c r="AF424" i="1"/>
  <c r="AK424" i="1"/>
  <c r="AI424" i="1"/>
  <c r="AG416" i="1"/>
  <c r="AK416" i="1"/>
  <c r="AI416" i="1"/>
  <c r="AG408" i="1"/>
  <c r="AK408" i="1"/>
  <c r="AI408" i="1"/>
  <c r="Z390" i="1"/>
  <c r="AK390" i="1"/>
  <c r="AI390" i="1"/>
  <c r="AJ390" i="1"/>
  <c r="AG382" i="1"/>
  <c r="AK382" i="1"/>
  <c r="AI382" i="1"/>
  <c r="AJ382" i="1"/>
  <c r="AF374" i="1"/>
  <c r="AK374" i="1"/>
  <c r="AI374" i="1"/>
  <c r="AJ374" i="1"/>
  <c r="AF366" i="1"/>
  <c r="AK366" i="1"/>
  <c r="AI366" i="1"/>
  <c r="AJ366" i="1"/>
  <c r="AG358" i="1"/>
  <c r="AK358" i="1"/>
  <c r="AI358" i="1"/>
  <c r="AJ358" i="1"/>
  <c r="AG350" i="1"/>
  <c r="AK350" i="1"/>
  <c r="AI350" i="1"/>
  <c r="AJ350" i="1"/>
  <c r="AK342" i="1"/>
  <c r="AI342" i="1"/>
  <c r="AJ342" i="1"/>
  <c r="Z334" i="1"/>
  <c r="AK334" i="1"/>
  <c r="AI334" i="1"/>
  <c r="AJ334" i="1"/>
  <c r="AG326" i="1"/>
  <c r="AK326" i="1"/>
  <c r="AI326" i="1"/>
  <c r="AJ326" i="1"/>
  <c r="AG324" i="1"/>
  <c r="AK317" i="1"/>
  <c r="AI317" i="1"/>
  <c r="AJ317" i="1"/>
  <c r="AF309" i="1"/>
  <c r="AI309" i="1"/>
  <c r="AJ309" i="1"/>
  <c r="AK309" i="1"/>
  <c r="AB300" i="1"/>
  <c r="AK300" i="1"/>
  <c r="AI300" i="1"/>
  <c r="AB292" i="1"/>
  <c r="AK292" i="1"/>
  <c r="AI292" i="1"/>
  <c r="AG284" i="1"/>
  <c r="AK284" i="1"/>
  <c r="AI284" i="1"/>
  <c r="AF276" i="1"/>
  <c r="AK276" i="1"/>
  <c r="AI276" i="1"/>
  <c r="AG268" i="1"/>
  <c r="AK268" i="1"/>
  <c r="AI268" i="1"/>
  <c r="Z260" i="1"/>
  <c r="AK260" i="1"/>
  <c r="AI260" i="1"/>
  <c r="AF252" i="1"/>
  <c r="AK252" i="1"/>
  <c r="AI252" i="1"/>
  <c r="AK244" i="1"/>
  <c r="AI244" i="1"/>
  <c r="AG236" i="1"/>
  <c r="AK236" i="1"/>
  <c r="AI236" i="1"/>
  <c r="AK228" i="1"/>
  <c r="AI228" i="1"/>
  <c r="Z220" i="1"/>
  <c r="AK220" i="1"/>
  <c r="AI220" i="1"/>
  <c r="AK212" i="1"/>
  <c r="AI212" i="1"/>
  <c r="Z204" i="1"/>
  <c r="AK204" i="1"/>
  <c r="AI204" i="1"/>
  <c r="AK196" i="1"/>
  <c r="AI196" i="1"/>
  <c r="AK188" i="1"/>
  <c r="AI188" i="1"/>
  <c r="AF180" i="1"/>
  <c r="AK180" i="1"/>
  <c r="AI180" i="1"/>
  <c r="AG171" i="1"/>
  <c r="AK171" i="1"/>
  <c r="AI171" i="1"/>
  <c r="AJ171" i="1"/>
  <c r="AK163" i="1"/>
  <c r="AI163" i="1"/>
  <c r="AJ163" i="1"/>
  <c r="Z155" i="1"/>
  <c r="AK155" i="1"/>
  <c r="AI155" i="1"/>
  <c r="AJ155" i="1"/>
  <c r="Z147" i="1"/>
  <c r="AK147" i="1"/>
  <c r="AI147" i="1"/>
  <c r="AJ147" i="1"/>
  <c r="Z139" i="1"/>
  <c r="AK139" i="1"/>
  <c r="AI139" i="1"/>
  <c r="AJ139" i="1"/>
  <c r="AH131" i="1"/>
  <c r="AK131" i="1"/>
  <c r="AI131" i="1"/>
  <c r="AJ131" i="1"/>
  <c r="AI121" i="1"/>
  <c r="AJ121" i="1"/>
  <c r="Z112" i="1"/>
  <c r="AK112" i="1"/>
  <c r="AJ112" i="1"/>
  <c r="AI112" i="1"/>
  <c r="AG104" i="1"/>
  <c r="AK104" i="1"/>
  <c r="AJ104" i="1"/>
  <c r="AI104" i="1"/>
  <c r="AK96" i="1"/>
  <c r="AJ96" i="1"/>
  <c r="AI96" i="1"/>
  <c r="AK88" i="1"/>
  <c r="AJ88" i="1"/>
  <c r="Z79" i="1"/>
  <c r="AJ79" i="1"/>
  <c r="AI79" i="1"/>
  <c r="AJ71" i="1"/>
  <c r="AI71" i="1"/>
  <c r="AK71" i="1"/>
  <c r="AG63" i="1"/>
  <c r="AJ63" i="1"/>
  <c r="AK63" i="1"/>
  <c r="AI63" i="1"/>
  <c r="AG55" i="1"/>
  <c r="AJ55" i="1"/>
  <c r="AI55" i="1"/>
  <c r="Z47" i="1"/>
  <c r="AJ47" i="1"/>
  <c r="AI47" i="1"/>
  <c r="AI514" i="1"/>
  <c r="AI507" i="1"/>
  <c r="AJ500" i="1"/>
  <c r="AJ493" i="1"/>
  <c r="AJ487" i="1"/>
  <c r="AI481" i="1"/>
  <c r="AI475" i="1"/>
  <c r="AJ468" i="1"/>
  <c r="AJ461" i="1"/>
  <c r="AJ455" i="1"/>
  <c r="AI449" i="1"/>
  <c r="AI443" i="1"/>
  <c r="AJ436" i="1"/>
  <c r="AJ429" i="1"/>
  <c r="AJ423" i="1"/>
  <c r="AI417" i="1"/>
  <c r="AI411" i="1"/>
  <c r="AJ404" i="1"/>
  <c r="AJ397" i="1"/>
  <c r="AJ391" i="1"/>
  <c r="AI385" i="1"/>
  <c r="AI379" i="1"/>
  <c r="AJ368" i="1"/>
  <c r="AJ357" i="1"/>
  <c r="AJ347" i="1"/>
  <c r="AJ336" i="1"/>
  <c r="AJ308" i="1"/>
  <c r="AJ276" i="1"/>
  <c r="AJ244" i="1"/>
  <c r="AJ212" i="1"/>
  <c r="AJ180" i="1"/>
  <c r="AJ148" i="1"/>
  <c r="AI109" i="1"/>
  <c r="AK357" i="1"/>
  <c r="AK185" i="1"/>
  <c r="AJ52" i="1"/>
  <c r="AF44" i="1"/>
  <c r="AJ44" i="1"/>
  <c r="Z36" i="1"/>
  <c r="AJ36" i="1"/>
  <c r="Z28" i="1"/>
  <c r="AJ28" i="1"/>
  <c r="Z20" i="1"/>
  <c r="AJ20" i="1"/>
  <c r="AI44" i="1"/>
  <c r="AI20" i="1"/>
  <c r="AI52" i="1"/>
  <c r="AI28" i="1"/>
  <c r="Z31" i="1"/>
  <c r="AI31" i="1"/>
  <c r="AJ31" i="1"/>
  <c r="AI23" i="1"/>
  <c r="AJ23" i="1"/>
  <c r="AG48" i="1"/>
  <c r="AJ48" i="1"/>
  <c r="Z32" i="1"/>
  <c r="AJ32" i="1"/>
  <c r="Z24" i="1"/>
  <c r="AJ24" i="1"/>
  <c r="AI36" i="1"/>
  <c r="AI48" i="1"/>
  <c r="AI24" i="1"/>
  <c r="U7" i="1"/>
  <c r="C28" i="1" s="1"/>
  <c r="D28" i="1" s="1"/>
  <c r="AJ41" i="1"/>
  <c r="AI41" i="1"/>
  <c r="AJ40" i="1"/>
  <c r="AI40" i="1"/>
  <c r="AJ39" i="1"/>
  <c r="AG500" i="1"/>
  <c r="AB324" i="1"/>
  <c r="Z303" i="1"/>
  <c r="AG428" i="1"/>
  <c r="AG319" i="1"/>
  <c r="AF512" i="1"/>
  <c r="AH303" i="1"/>
  <c r="Z81" i="1"/>
  <c r="AG476" i="1"/>
  <c r="AF478" i="1"/>
  <c r="AH302" i="1"/>
  <c r="AH284" i="1"/>
  <c r="AF480" i="1"/>
  <c r="AF476" i="1"/>
  <c r="Z405" i="1"/>
  <c r="AH334" i="1"/>
  <c r="AB428" i="1"/>
  <c r="AB427" i="1"/>
  <c r="AF413" i="1"/>
  <c r="AF376" i="1"/>
  <c r="AH447" i="1"/>
  <c r="AF302" i="1"/>
  <c r="AB512" i="1"/>
  <c r="AG496" i="1"/>
  <c r="Z475" i="1"/>
  <c r="AH418" i="1"/>
  <c r="AH310" i="1"/>
  <c r="AG165" i="1"/>
  <c r="Z512" i="1"/>
  <c r="AG334" i="1"/>
  <c r="AF313" i="1"/>
  <c r="AG475" i="1"/>
  <c r="AG444" i="1"/>
  <c r="AF246" i="1"/>
  <c r="AH189" i="1"/>
  <c r="AG181" i="1"/>
  <c r="AF260" i="1"/>
  <c r="AH237" i="1"/>
  <c r="AB217" i="1"/>
  <c r="AB124" i="1"/>
  <c r="AB129" i="1"/>
  <c r="AG137" i="1"/>
  <c r="AH89" i="1"/>
  <c r="AG88" i="1"/>
  <c r="AG129" i="1"/>
  <c r="Z165" i="1"/>
  <c r="AF142" i="1"/>
  <c r="AF132" i="1"/>
  <c r="AF116" i="1"/>
  <c r="AH115" i="1"/>
  <c r="AG77" i="1"/>
  <c r="AG49" i="1"/>
  <c r="AH51" i="1"/>
  <c r="AG506" i="1"/>
  <c r="AF500" i="1"/>
  <c r="AG512" i="1"/>
  <c r="AH506" i="1"/>
  <c r="AG450" i="1"/>
  <c r="AG420" i="1"/>
  <c r="AH406" i="1"/>
  <c r="AG370" i="1"/>
  <c r="AH358" i="1"/>
  <c r="AH319" i="1"/>
  <c r="AG303" i="1"/>
  <c r="AG287" i="1"/>
  <c r="AG132" i="1"/>
  <c r="AG17" i="1"/>
  <c r="AG510" i="1"/>
  <c r="AF430" i="1"/>
  <c r="AH429" i="1"/>
  <c r="Z413" i="1"/>
  <c r="AF406" i="1"/>
  <c r="AH384" i="1"/>
  <c r="AB367" i="1"/>
  <c r="AG333" i="1"/>
  <c r="AF319" i="1"/>
  <c r="AB253" i="1"/>
  <c r="AH183" i="1"/>
  <c r="AF150" i="1"/>
  <c r="AF126" i="1"/>
  <c r="AG121" i="1"/>
  <c r="AF105" i="1"/>
  <c r="AG84" i="1"/>
  <c r="Z49" i="1"/>
  <c r="AF358" i="1"/>
  <c r="AH356" i="1"/>
  <c r="AH149" i="1"/>
  <c r="AB142" i="1"/>
  <c r="AF125" i="1"/>
  <c r="Z77" i="1"/>
  <c r="AG406" i="1"/>
  <c r="AB450" i="1"/>
  <c r="AH500" i="1"/>
  <c r="AB358" i="1"/>
  <c r="AB303" i="1"/>
  <c r="AH209" i="1"/>
  <c r="AG208" i="1"/>
  <c r="AB132" i="1"/>
  <c r="Z506" i="1"/>
  <c r="Z450" i="1"/>
  <c r="AH450" i="1"/>
  <c r="AH256" i="1"/>
  <c r="AG192" i="1"/>
  <c r="AG191" i="1"/>
  <c r="AF36" i="1"/>
  <c r="AF65" i="1"/>
  <c r="AG41" i="1"/>
  <c r="AG37" i="1"/>
  <c r="AG69" i="1"/>
  <c r="AF38" i="1"/>
  <c r="AH49" i="1"/>
  <c r="AG193" i="1"/>
  <c r="AG160" i="1"/>
  <c r="AH159" i="1"/>
  <c r="AF103" i="1"/>
  <c r="AF17" i="1"/>
  <c r="AG241" i="1"/>
  <c r="AG488" i="1"/>
  <c r="AB480" i="1"/>
  <c r="AH475" i="1"/>
  <c r="AB463" i="1"/>
  <c r="AF450" i="1"/>
  <c r="AH401" i="1"/>
  <c r="AH386" i="1"/>
  <c r="AH385" i="1"/>
  <c r="AG339" i="1"/>
  <c r="AF337" i="1"/>
  <c r="AF334" i="1"/>
  <c r="AF285" i="1"/>
  <c r="AG220" i="1"/>
  <c r="AH181" i="1"/>
  <c r="AH165" i="1"/>
  <c r="AB126" i="1"/>
  <c r="AF121" i="1"/>
  <c r="AG120" i="1"/>
  <c r="AG109" i="1"/>
  <c r="AH81" i="1"/>
  <c r="AH77" i="1"/>
  <c r="AH45" i="1"/>
  <c r="AF41" i="1"/>
  <c r="AF420" i="1"/>
  <c r="AF408" i="1"/>
  <c r="Z447" i="1"/>
  <c r="AB366" i="1"/>
  <c r="AG374" i="1"/>
  <c r="AG424" i="1"/>
  <c r="AF305" i="1"/>
  <c r="AF473" i="1"/>
  <c r="AF472" i="1"/>
  <c r="AH459" i="1"/>
  <c r="AH449" i="1"/>
  <c r="AB426" i="1"/>
  <c r="AG418" i="1"/>
  <c r="AG404" i="1"/>
  <c r="AF393" i="1"/>
  <c r="AB374" i="1"/>
  <c r="Z328" i="1"/>
  <c r="AF310" i="1"/>
  <c r="AG290" i="1"/>
  <c r="AB241" i="1"/>
  <c r="AG231" i="1"/>
  <c r="AF208" i="1"/>
  <c r="AF168" i="1"/>
  <c r="AG147" i="1"/>
  <c r="AB105" i="1"/>
  <c r="AG89" i="1"/>
  <c r="AF84" i="1"/>
  <c r="AG76" i="1"/>
  <c r="AH75" i="1"/>
  <c r="AB36" i="1"/>
  <c r="AG514" i="1"/>
  <c r="AH454" i="1"/>
  <c r="AF510" i="1"/>
  <c r="AG482" i="1"/>
  <c r="AG471" i="1"/>
  <c r="AF466" i="1"/>
  <c r="AG465" i="1"/>
  <c r="AB420" i="1"/>
  <c r="AB419" i="1"/>
  <c r="Z366" i="1"/>
  <c r="AG321" i="1"/>
  <c r="AG199" i="1"/>
  <c r="AH187" i="1"/>
  <c r="AF149" i="1"/>
  <c r="AB125" i="1"/>
  <c r="AF92" i="1"/>
  <c r="AF88" i="1"/>
  <c r="AH366" i="1"/>
  <c r="Z500" i="1"/>
  <c r="AF494" i="1"/>
  <c r="AG446" i="1"/>
  <c r="AF444" i="1"/>
  <c r="AG442" i="1"/>
  <c r="AF432" i="1"/>
  <c r="AF421" i="1"/>
  <c r="AB390" i="1"/>
  <c r="AB383" i="1"/>
  <c r="AG366" i="1"/>
  <c r="AB313" i="1"/>
  <c r="AB246" i="1"/>
  <c r="AB192" i="1"/>
  <c r="AB181" i="1"/>
  <c r="AG97" i="1"/>
  <c r="Z17" i="1"/>
  <c r="AH17" i="1"/>
  <c r="AG73" i="1"/>
  <c r="AF60" i="1"/>
  <c r="AG57" i="1"/>
  <c r="AF484" i="1"/>
  <c r="Z480" i="1"/>
  <c r="AF429" i="1"/>
  <c r="Z374" i="1"/>
  <c r="AG283" i="1"/>
  <c r="AF257" i="1"/>
  <c r="AF242" i="1"/>
  <c r="AF162" i="1"/>
  <c r="AF160" i="1"/>
  <c r="AH155" i="1"/>
  <c r="AB92" i="1"/>
  <c r="AF73" i="1"/>
  <c r="AG72" i="1"/>
  <c r="AF70" i="1"/>
  <c r="AG56" i="1"/>
  <c r="AF52" i="1"/>
  <c r="AF297" i="1"/>
  <c r="AH480" i="1"/>
  <c r="AG436" i="1"/>
  <c r="Z470" i="1"/>
  <c r="AF441" i="1"/>
  <c r="AF440" i="1"/>
  <c r="AB431" i="1"/>
  <c r="AB410" i="1"/>
  <c r="AG396" i="1"/>
  <c r="AG390" i="1"/>
  <c r="AG384" i="1"/>
  <c r="AH374" i="1"/>
  <c r="Z358" i="1"/>
  <c r="Z339" i="1"/>
  <c r="AH328" i="1"/>
  <c r="AH322" i="1"/>
  <c r="Z319" i="1"/>
  <c r="Z316" i="1"/>
  <c r="Z310" i="1"/>
  <c r="AB285" i="1"/>
  <c r="AH274" i="1"/>
  <c r="AF255" i="1"/>
  <c r="AG254" i="1"/>
  <c r="AH241" i="1"/>
  <c r="AB232" i="1"/>
  <c r="AF220" i="1"/>
  <c r="AH219" i="1"/>
  <c r="AG183" i="1"/>
  <c r="AF182" i="1"/>
  <c r="AB168" i="1"/>
  <c r="AG159" i="1"/>
  <c r="AF140" i="1"/>
  <c r="AH139" i="1"/>
  <c r="AH125" i="1"/>
  <c r="AB116" i="1"/>
  <c r="AF109" i="1"/>
  <c r="AB101" i="1"/>
  <c r="Z89" i="1"/>
  <c r="AF69" i="1"/>
  <c r="AH67" i="1"/>
  <c r="AG51" i="1"/>
  <c r="AG45" i="1"/>
  <c r="AB368" i="1"/>
  <c r="AB350" i="1"/>
  <c r="AB305" i="1"/>
  <c r="AB290" i="1"/>
  <c r="AB201" i="1"/>
  <c r="AB173" i="1"/>
  <c r="Z494" i="1"/>
  <c r="Z410" i="1"/>
  <c r="Z386" i="1"/>
  <c r="AB304" i="1"/>
  <c r="AB297" i="1"/>
  <c r="AB295" i="1"/>
  <c r="AB260" i="1"/>
  <c r="AG239" i="1"/>
  <c r="AH232" i="1"/>
  <c r="Z232" i="1"/>
  <c r="AG226" i="1"/>
  <c r="AH225" i="1"/>
  <c r="AB164" i="1"/>
  <c r="AB60" i="1"/>
  <c r="AF37" i="1"/>
  <c r="AG270" i="1"/>
  <c r="AF488" i="1"/>
  <c r="AF496" i="1"/>
  <c r="Z443" i="1"/>
  <c r="AH410" i="1"/>
  <c r="AH389" i="1"/>
  <c r="AF388" i="1"/>
  <c r="AF370" i="1"/>
  <c r="Z368" i="1"/>
  <c r="Z350" i="1"/>
  <c r="AH278" i="1"/>
  <c r="Z270" i="1"/>
  <c r="AG237" i="1"/>
  <c r="AH236" i="1"/>
  <c r="AG232" i="1"/>
  <c r="Z201" i="1"/>
  <c r="AG180" i="1"/>
  <c r="AF178" i="1"/>
  <c r="AH173" i="1"/>
  <c r="Z173" i="1"/>
  <c r="AF130" i="1"/>
  <c r="AF97" i="1"/>
  <c r="Z57" i="1"/>
  <c r="AF164" i="1"/>
  <c r="AH494" i="1"/>
  <c r="AG504" i="1"/>
  <c r="AG494" i="1"/>
  <c r="AF469" i="1"/>
  <c r="AF453" i="1"/>
  <c r="AF410" i="1"/>
  <c r="Z406" i="1"/>
  <c r="Z393" i="1"/>
  <c r="AH368" i="1"/>
  <c r="AH350" i="1"/>
  <c r="AF335" i="1"/>
  <c r="AB328" i="1"/>
  <c r="AH308" i="1"/>
  <c r="AH306" i="1"/>
  <c r="AH262" i="1"/>
  <c r="AG252" i="1"/>
  <c r="AF232" i="1"/>
  <c r="AF210" i="1"/>
  <c r="AG173" i="1"/>
  <c r="Z149" i="1"/>
  <c r="AH95" i="1"/>
  <c r="AB38" i="1"/>
  <c r="AG368" i="1"/>
  <c r="AF350" i="1"/>
  <c r="AG297" i="1"/>
  <c r="AG260" i="1"/>
  <c r="AG201" i="1"/>
  <c r="AG164" i="1"/>
  <c r="AB137" i="1"/>
  <c r="AB103" i="1"/>
  <c r="AH57" i="1"/>
  <c r="AB16" i="1"/>
  <c r="AG490" i="1"/>
  <c r="AH510" i="1"/>
  <c r="AB506" i="1"/>
  <c r="AF498" i="1"/>
  <c r="AH496" i="1"/>
  <c r="Z496" i="1"/>
  <c r="AF490" i="1"/>
  <c r="AH484" i="1"/>
  <c r="AB466" i="1"/>
  <c r="AF463" i="1"/>
  <c r="AG459" i="1"/>
  <c r="AG440" i="1"/>
  <c r="Z432" i="1"/>
  <c r="AG432" i="1"/>
  <c r="AH421" i="1"/>
  <c r="AF418" i="1"/>
  <c r="AB418" i="1"/>
  <c r="Z416" i="1"/>
  <c r="AF416" i="1"/>
  <c r="AF385" i="1"/>
  <c r="AH298" i="1"/>
  <c r="Z298" i="1"/>
  <c r="AF221" i="1"/>
  <c r="AB221" i="1"/>
  <c r="Z221" i="1"/>
  <c r="AB113" i="1"/>
  <c r="AG113" i="1"/>
  <c r="Z113" i="1"/>
  <c r="AH113" i="1"/>
  <c r="AG484" i="1"/>
  <c r="AG469" i="1"/>
  <c r="AG438" i="1"/>
  <c r="AF438" i="1"/>
  <c r="Z408" i="1"/>
  <c r="AB407" i="1"/>
  <c r="AF398" i="1"/>
  <c r="AG398" i="1"/>
  <c r="AH398" i="1"/>
  <c r="AB387" i="1"/>
  <c r="AF356" i="1"/>
  <c r="AB356" i="1"/>
  <c r="Z356" i="1"/>
  <c r="AB348" i="1"/>
  <c r="AF348" i="1"/>
  <c r="AG348" i="1"/>
  <c r="Z348" i="1"/>
  <c r="AH348" i="1"/>
  <c r="AF193" i="1"/>
  <c r="AB170" i="1"/>
  <c r="AF170" i="1"/>
  <c r="AF98" i="1"/>
  <c r="AF446" i="1"/>
  <c r="AH446" i="1"/>
  <c r="Z446" i="1"/>
  <c r="AH445" i="1"/>
  <c r="Z445" i="1"/>
  <c r="AB395" i="1"/>
  <c r="Z381" i="1"/>
  <c r="AB346" i="1"/>
  <c r="AF346" i="1"/>
  <c r="AG346" i="1"/>
  <c r="Z346" i="1"/>
  <c r="AH346" i="1"/>
  <c r="Z331" i="1"/>
  <c r="AB331" i="1"/>
  <c r="AB323" i="1"/>
  <c r="AF323" i="1"/>
  <c r="AG323" i="1"/>
  <c r="Z323" i="1"/>
  <c r="AH323" i="1"/>
  <c r="AG291" i="1"/>
  <c r="AF291" i="1"/>
  <c r="AF245" i="1"/>
  <c r="AB245" i="1"/>
  <c r="AH245" i="1"/>
  <c r="Z245" i="1"/>
  <c r="Z196" i="1"/>
  <c r="AB196" i="1"/>
  <c r="AG196" i="1"/>
  <c r="AB100" i="1"/>
  <c r="AH100" i="1"/>
  <c r="Z100" i="1"/>
  <c r="AF99" i="1"/>
  <c r="AG99" i="1"/>
  <c r="AF445" i="1"/>
  <c r="AF396" i="1"/>
  <c r="AH395" i="1"/>
  <c r="AF381" i="1"/>
  <c r="AF331" i="1"/>
  <c r="AG330" i="1"/>
  <c r="Z293" i="1"/>
  <c r="AB293" i="1"/>
  <c r="AG293" i="1"/>
  <c r="AF289" i="1"/>
  <c r="AB289" i="1"/>
  <c r="AG289" i="1"/>
  <c r="AH289" i="1"/>
  <c r="Z289" i="1"/>
  <c r="AG271" i="1"/>
  <c r="AG245" i="1"/>
  <c r="AG219" i="1"/>
  <c r="AF196" i="1"/>
  <c r="AF100" i="1"/>
  <c r="AH99" i="1"/>
  <c r="AB96" i="1"/>
  <c r="AF96" i="1"/>
  <c r="AB490" i="1"/>
  <c r="AF482" i="1"/>
  <c r="AG477" i="1"/>
  <c r="AF468" i="1"/>
  <c r="Z412" i="1"/>
  <c r="AB412" i="1"/>
  <c r="AB398" i="1"/>
  <c r="AF293" i="1"/>
  <c r="AH292" i="1"/>
  <c r="AB280" i="1"/>
  <c r="AG280" i="1"/>
  <c r="AH280" i="1"/>
  <c r="Z280" i="1"/>
  <c r="AF273" i="1"/>
  <c r="AB265" i="1"/>
  <c r="AF265" i="1"/>
  <c r="AG262" i="1"/>
  <c r="AF261" i="1"/>
  <c r="AB107" i="1"/>
  <c r="AH83" i="1"/>
  <c r="Z83" i="1"/>
  <c r="AB472" i="1"/>
  <c r="AB440" i="1"/>
  <c r="AF412" i="1"/>
  <c r="AB408" i="1"/>
  <c r="AB388" i="1"/>
  <c r="AF386" i="1"/>
  <c r="AG386" i="1"/>
  <c r="AF280" i="1"/>
  <c r="AG278" i="1"/>
  <c r="AF277" i="1"/>
  <c r="AF267" i="1"/>
  <c r="AG267" i="1"/>
  <c r="AB145" i="1"/>
  <c r="AG145" i="1"/>
  <c r="Z145" i="1"/>
  <c r="AH145" i="1"/>
  <c r="AH143" i="1"/>
  <c r="AF107" i="1"/>
  <c r="AG83" i="1"/>
  <c r="AF514" i="1"/>
  <c r="AF504" i="1"/>
  <c r="AB496" i="1"/>
  <c r="AH490" i="1"/>
  <c r="AH470" i="1"/>
  <c r="Z469" i="1"/>
  <c r="AG464" i="1"/>
  <c r="Z454" i="1"/>
  <c r="AG448" i="1"/>
  <c r="AB448" i="1"/>
  <c r="AB446" i="1"/>
  <c r="AH442" i="1"/>
  <c r="Z442" i="1"/>
  <c r="Z421" i="1"/>
  <c r="Z401" i="1"/>
  <c r="Z400" i="1"/>
  <c r="AB400" i="1"/>
  <c r="AB399" i="1"/>
  <c r="Z398" i="1"/>
  <c r="Z370" i="1"/>
  <c r="AB370" i="1"/>
  <c r="AF268" i="1"/>
  <c r="AB268" i="1"/>
  <c r="AH268" i="1"/>
  <c r="Z268" i="1"/>
  <c r="Z157" i="1"/>
  <c r="Z104" i="1"/>
  <c r="AB104" i="1"/>
  <c r="AH16" i="1"/>
  <c r="Z510" i="1"/>
  <c r="AG498" i="1"/>
  <c r="Z484" i="1"/>
  <c r="AB478" i="1"/>
  <c r="AB471" i="1"/>
  <c r="AG470" i="1"/>
  <c r="AG457" i="1"/>
  <c r="Z457" i="1"/>
  <c r="Z439" i="1"/>
  <c r="Z433" i="1"/>
  <c r="AH433" i="1"/>
  <c r="AF426" i="1"/>
  <c r="Z426" i="1"/>
  <c r="AH376" i="1"/>
  <c r="Z376" i="1"/>
  <c r="Z307" i="1"/>
  <c r="AB307" i="1"/>
  <c r="AG307" i="1"/>
  <c r="AF205" i="1"/>
  <c r="AB205" i="1"/>
  <c r="AF186" i="1"/>
  <c r="AG157" i="1"/>
  <c r="AG138" i="1"/>
  <c r="AB138" i="1"/>
  <c r="AF118" i="1"/>
  <c r="AF104" i="1"/>
  <c r="AG354" i="1"/>
  <c r="AB70" i="1"/>
  <c r="AB37" i="1"/>
  <c r="AF354" i="1"/>
  <c r="AG335" i="1"/>
  <c r="AG259" i="1"/>
  <c r="AF231" i="1"/>
  <c r="AH229" i="1"/>
  <c r="AF228" i="1"/>
  <c r="AF226" i="1"/>
  <c r="AF86" i="1"/>
  <c r="AF56" i="1"/>
  <c r="AF48" i="1"/>
  <c r="AH47" i="1"/>
  <c r="AF34" i="1"/>
  <c r="AH300" i="1"/>
  <c r="AF223" i="1"/>
  <c r="AF215" i="1"/>
  <c r="AG187" i="1"/>
  <c r="AG152" i="1"/>
  <c r="AG52" i="1"/>
  <c r="AG44" i="1"/>
  <c r="AH43" i="1"/>
  <c r="AB41" i="1"/>
  <c r="AF66" i="1"/>
  <c r="AB354" i="1"/>
  <c r="AB320" i="1"/>
  <c r="AB257" i="1"/>
  <c r="AB233" i="1"/>
  <c r="AB220" i="1"/>
  <c r="Z217" i="1"/>
  <c r="AB189" i="1"/>
  <c r="AB121" i="1"/>
  <c r="AH101" i="1"/>
  <c r="Z101" i="1"/>
  <c r="AB97" i="1"/>
  <c r="AB84" i="1"/>
  <c r="AB69" i="1"/>
  <c r="Z65" i="1"/>
  <c r="AF384" i="1"/>
  <c r="AB335" i="1"/>
  <c r="AF326" i="1"/>
  <c r="AF322" i="1"/>
  <c r="AG314" i="1"/>
  <c r="AF306" i="1"/>
  <c r="Z225" i="1"/>
  <c r="AF218" i="1"/>
  <c r="AG148" i="1"/>
  <c r="AF134" i="1"/>
  <c r="AB130" i="1"/>
  <c r="AH127" i="1"/>
  <c r="AB109" i="1"/>
  <c r="AH105" i="1"/>
  <c r="Z105" i="1"/>
  <c r="AH103" i="1"/>
  <c r="Z103" i="1"/>
  <c r="AG101" i="1"/>
  <c r="AH65" i="1"/>
  <c r="Z45" i="1"/>
  <c r="AH354" i="1"/>
  <c r="AF338" i="1"/>
  <c r="Z320" i="1"/>
  <c r="AH296" i="1"/>
  <c r="AH220" i="1"/>
  <c r="AG217" i="1"/>
  <c r="AG179" i="1"/>
  <c r="AF176" i="1"/>
  <c r="AH175" i="1"/>
  <c r="AH121" i="1"/>
  <c r="Z121" i="1"/>
  <c r="AF112" i="1"/>
  <c r="AG103" i="1"/>
  <c r="AH97" i="1"/>
  <c r="AF80" i="1"/>
  <c r="AH79" i="1"/>
  <c r="AH69" i="1"/>
  <c r="AG65" i="1"/>
  <c r="AF62" i="1"/>
  <c r="AB52" i="1"/>
  <c r="AG40" i="1"/>
  <c r="AG36" i="1"/>
  <c r="A1" i="2"/>
  <c r="C19" i="1"/>
  <c r="D19" i="1" s="1"/>
  <c r="AB329" i="1"/>
  <c r="AG276" i="1"/>
  <c r="AF213" i="1"/>
  <c r="AG213" i="1"/>
  <c r="AH213" i="1"/>
  <c r="Z213" i="1"/>
  <c r="AB213" i="1"/>
  <c r="AG211" i="1"/>
  <c r="Z211" i="1"/>
  <c r="AG93" i="1"/>
  <c r="Z93" i="1"/>
  <c r="AH93" i="1"/>
  <c r="AB93" i="1"/>
  <c r="Z394" i="1"/>
  <c r="AH394" i="1"/>
  <c r="AB394" i="1"/>
  <c r="Z382" i="1"/>
  <c r="AH382" i="1"/>
  <c r="AB382" i="1"/>
  <c r="AF329" i="1"/>
  <c r="Z301" i="1"/>
  <c r="AB301" i="1"/>
  <c r="AG299" i="1"/>
  <c r="Z299" i="1"/>
  <c r="AH299" i="1"/>
  <c r="AB299" i="1"/>
  <c r="AF275" i="1"/>
  <c r="AB214" i="1"/>
  <c r="AF211" i="1"/>
  <c r="AG114" i="1"/>
  <c r="AB114" i="1"/>
  <c r="AF93" i="1"/>
  <c r="AB276" i="1"/>
  <c r="AH276" i="1"/>
  <c r="Z276" i="1"/>
  <c r="AB212" i="1"/>
  <c r="AF212" i="1"/>
  <c r="AB98" i="1"/>
  <c r="AF465" i="1"/>
  <c r="AF449" i="1"/>
  <c r="AH425" i="1"/>
  <c r="Z425" i="1"/>
  <c r="AF394" i="1"/>
  <c r="AF389" i="1"/>
  <c r="AF382" i="1"/>
  <c r="AF378" i="1"/>
  <c r="AG378" i="1"/>
  <c r="Z378" i="1"/>
  <c r="AH378" i="1"/>
  <c r="AB378" i="1"/>
  <c r="AF301" i="1"/>
  <c r="AF299" i="1"/>
  <c r="Z294" i="1"/>
  <c r="AB284" i="1"/>
  <c r="Z284" i="1"/>
  <c r="AB272" i="1"/>
  <c r="AH272" i="1"/>
  <c r="Z272" i="1"/>
  <c r="AG244" i="1"/>
  <c r="AB244" i="1"/>
  <c r="AF244" i="1"/>
  <c r="AF214" i="1"/>
  <c r="AF114" i="1"/>
  <c r="AB492" i="1"/>
  <c r="AB486" i="1"/>
  <c r="AF452" i="1"/>
  <c r="Z436" i="1"/>
  <c r="AB434" i="1"/>
  <c r="AF433" i="1"/>
  <c r="AF425" i="1"/>
  <c r="AH423" i="1"/>
  <c r="AB423" i="1"/>
  <c r="AG422" i="1"/>
  <c r="Z422" i="1"/>
  <c r="AH422" i="1"/>
  <c r="AB422" i="1"/>
  <c r="Z409" i="1"/>
  <c r="AF402" i="1"/>
  <c r="AG402" i="1"/>
  <c r="Z402" i="1"/>
  <c r="AH402" i="1"/>
  <c r="AB402" i="1"/>
  <c r="Z392" i="1"/>
  <c r="AG392" i="1"/>
  <c r="AB392" i="1"/>
  <c r="AB391" i="1"/>
  <c r="AG380" i="1"/>
  <c r="Z380" i="1"/>
  <c r="AH380" i="1"/>
  <c r="AB380" i="1"/>
  <c r="AB379" i="1"/>
  <c r="AF336" i="1"/>
  <c r="Z315" i="1"/>
  <c r="AH315" i="1"/>
  <c r="AB315" i="1"/>
  <c r="AG311" i="1"/>
  <c r="Z311" i="1"/>
  <c r="AH311" i="1"/>
  <c r="AB311" i="1"/>
  <c r="AF294" i="1"/>
  <c r="AF284" i="1"/>
  <c r="AG282" i="1"/>
  <c r="AH282" i="1"/>
  <c r="Z282" i="1"/>
  <c r="AB282" i="1"/>
  <c r="AF272" i="1"/>
  <c r="AH266" i="1"/>
  <c r="Z266" i="1"/>
  <c r="AF264" i="1"/>
  <c r="AG264" i="1"/>
  <c r="Z264" i="1"/>
  <c r="AH264" i="1"/>
  <c r="AB264" i="1"/>
  <c r="AH258" i="1"/>
  <c r="AB249" i="1"/>
  <c r="AF249" i="1"/>
  <c r="AH240" i="1"/>
  <c r="Z240" i="1"/>
  <c r="AB240" i="1"/>
  <c r="AB502" i="1"/>
  <c r="AG466" i="1"/>
  <c r="AB462" i="1"/>
  <c r="AB438" i="1"/>
  <c r="Z424" i="1"/>
  <c r="AB424" i="1"/>
  <c r="AF422" i="1"/>
  <c r="AF409" i="1"/>
  <c r="Z404" i="1"/>
  <c r="AB404" i="1"/>
  <c r="AB403" i="1"/>
  <c r="AF392" i="1"/>
  <c r="AH391" i="1"/>
  <c r="AF380" i="1"/>
  <c r="AF360" i="1"/>
  <c r="AG360" i="1"/>
  <c r="Z360" i="1"/>
  <c r="AH360" i="1"/>
  <c r="AB360" i="1"/>
  <c r="AG337" i="1"/>
  <c r="AB337" i="1"/>
  <c r="AF332" i="1"/>
  <c r="Z332" i="1"/>
  <c r="AF315" i="1"/>
  <c r="AF311" i="1"/>
  <c r="AG266" i="1"/>
  <c r="AF251" i="1"/>
  <c r="AH250" i="1"/>
  <c r="AG248" i="1"/>
  <c r="Z248" i="1"/>
  <c r="AH248" i="1"/>
  <c r="AB248" i="1"/>
  <c r="AF238" i="1"/>
  <c r="AF185" i="1"/>
  <c r="AH185" i="1"/>
  <c r="Z185" i="1"/>
  <c r="AB185" i="1"/>
  <c r="AG185" i="1"/>
  <c r="AH479" i="1"/>
  <c r="A2" i="2"/>
  <c r="AH508" i="1"/>
  <c r="Z508" i="1"/>
  <c r="AB504" i="1"/>
  <c r="AH502" i="1"/>
  <c r="Z502" i="1"/>
  <c r="AB498" i="1"/>
  <c r="AH492" i="1"/>
  <c r="Z492" i="1"/>
  <c r="AB488" i="1"/>
  <c r="AH486" i="1"/>
  <c r="Z486" i="1"/>
  <c r="AB482" i="1"/>
  <c r="Z453" i="1"/>
  <c r="Z434" i="1"/>
  <c r="AB411" i="1"/>
  <c r="AH397" i="1"/>
  <c r="Z397" i="1"/>
  <c r="Z364" i="1"/>
  <c r="AH364" i="1"/>
  <c r="AB364" i="1"/>
  <c r="AG362" i="1"/>
  <c r="Z362" i="1"/>
  <c r="AH362" i="1"/>
  <c r="AB362" i="1"/>
  <c r="AG352" i="1"/>
  <c r="Z352" i="1"/>
  <c r="AH352" i="1"/>
  <c r="AB352" i="1"/>
  <c r="AG64" i="1"/>
  <c r="AB64" i="1"/>
  <c r="AG61" i="1"/>
  <c r="Z61" i="1"/>
  <c r="AH61" i="1"/>
  <c r="AB61" i="1"/>
  <c r="AB430" i="1"/>
  <c r="AG317" i="1"/>
  <c r="AF317" i="1"/>
  <c r="AF460" i="1"/>
  <c r="AB508" i="1"/>
  <c r="AB514" i="1"/>
  <c r="AG508" i="1"/>
  <c r="AG502" i="1"/>
  <c r="AG492" i="1"/>
  <c r="AG486" i="1"/>
  <c r="Z479" i="1"/>
  <c r="AF477" i="1"/>
  <c r="AB468" i="1"/>
  <c r="Z465" i="1"/>
  <c r="AB459" i="1"/>
  <c r="AB455" i="1"/>
  <c r="AH453" i="1"/>
  <c r="AB444" i="1"/>
  <c r="AH438" i="1"/>
  <c r="Z438" i="1"/>
  <c r="AH434" i="1"/>
  <c r="AH430" i="1"/>
  <c r="AH417" i="1"/>
  <c r="Z417" i="1"/>
  <c r="AH411" i="1"/>
  <c r="AF397" i="1"/>
  <c r="Z372" i="1"/>
  <c r="AH372" i="1"/>
  <c r="AB372" i="1"/>
  <c r="AF364" i="1"/>
  <c r="AF362" i="1"/>
  <c r="AF352" i="1"/>
  <c r="AF342" i="1"/>
  <c r="AG342" i="1"/>
  <c r="Z342" i="1"/>
  <c r="AH342" i="1"/>
  <c r="AB342" i="1"/>
  <c r="Z309" i="1"/>
  <c r="AG309" i="1"/>
  <c r="AB309" i="1"/>
  <c r="AB256" i="1"/>
  <c r="Z256" i="1"/>
  <c r="AH71" i="1"/>
  <c r="Z71" i="1"/>
  <c r="AG71" i="1"/>
  <c r="AF64" i="1"/>
  <c r="AH63" i="1"/>
  <c r="AF61" i="1"/>
  <c r="AH437" i="1"/>
  <c r="AF437" i="1"/>
  <c r="AH514" i="1"/>
  <c r="AF508" i="1"/>
  <c r="AH504" i="1"/>
  <c r="Z504" i="1"/>
  <c r="AB500" i="1"/>
  <c r="AH498" i="1"/>
  <c r="AF492" i="1"/>
  <c r="AH488" i="1"/>
  <c r="Z488" i="1"/>
  <c r="AB484" i="1"/>
  <c r="AH482" i="1"/>
  <c r="AB475" i="1"/>
  <c r="AB470" i="1"/>
  <c r="AB442" i="1"/>
  <c r="AB436" i="1"/>
  <c r="AB435" i="1"/>
  <c r="AG434" i="1"/>
  <c r="AG430" i="1"/>
  <c r="AF417" i="1"/>
  <c r="AG414" i="1"/>
  <c r="Z414" i="1"/>
  <c r="AH414" i="1"/>
  <c r="AB414" i="1"/>
  <c r="AF372" i="1"/>
  <c r="AG344" i="1"/>
  <c r="Z344" i="1"/>
  <c r="AH344" i="1"/>
  <c r="AB344" i="1"/>
  <c r="AB343" i="1"/>
  <c r="AF340" i="1"/>
  <c r="AB340" i="1"/>
  <c r="AB287" i="1"/>
  <c r="AF256" i="1"/>
  <c r="AG235" i="1"/>
  <c r="AH235" i="1"/>
  <c r="Z235" i="1"/>
  <c r="AF234" i="1"/>
  <c r="AB230" i="1"/>
  <c r="AF230" i="1"/>
  <c r="AG230" i="1"/>
  <c r="AH163" i="1"/>
  <c r="Z163" i="1"/>
  <c r="AH39" i="1"/>
  <c r="Z39" i="1"/>
  <c r="AH295" i="1"/>
  <c r="Z295" i="1"/>
  <c r="AG247" i="1"/>
  <c r="AG163" i="1"/>
  <c r="AF161" i="1"/>
  <c r="AG161" i="1"/>
  <c r="Z161" i="1"/>
  <c r="AH161" i="1"/>
  <c r="AB161" i="1"/>
  <c r="AH55" i="1"/>
  <c r="Z55" i="1"/>
  <c r="AG39" i="1"/>
  <c r="AH390" i="1"/>
  <c r="AG388" i="1"/>
  <c r="AG376" i="1"/>
  <c r="AH370" i="1"/>
  <c r="AF368" i="1"/>
  <c r="AH339" i="1"/>
  <c r="Z338" i="1"/>
  <c r="AH335" i="1"/>
  <c r="Z335" i="1"/>
  <c r="AG331" i="1"/>
  <c r="AG328" i="1"/>
  <c r="Z322" i="1"/>
  <c r="AH307" i="1"/>
  <c r="AG305" i="1"/>
  <c r="AG295" i="1"/>
  <c r="AF271" i="1"/>
  <c r="AH260" i="1"/>
  <c r="AF209" i="1"/>
  <c r="AB209" i="1"/>
  <c r="AG209" i="1"/>
  <c r="AH199" i="1"/>
  <c r="Z199" i="1"/>
  <c r="AF198" i="1"/>
  <c r="AF197" i="1"/>
  <c r="AG197" i="1"/>
  <c r="AH197" i="1"/>
  <c r="Z197" i="1"/>
  <c r="AB190" i="1"/>
  <c r="AB146" i="1"/>
  <c r="AF141" i="1"/>
  <c r="AG141" i="1"/>
  <c r="Z141" i="1"/>
  <c r="AH141" i="1"/>
  <c r="AB141" i="1"/>
  <c r="Z136" i="1"/>
  <c r="AG136" i="1"/>
  <c r="AB136" i="1"/>
  <c r="Z120" i="1"/>
  <c r="AB120" i="1"/>
  <c r="AG117" i="1"/>
  <c r="Z117" i="1"/>
  <c r="AH117" i="1"/>
  <c r="AB117" i="1"/>
  <c r="AH87" i="1"/>
  <c r="Z87" i="1"/>
  <c r="AF53" i="1"/>
  <c r="AG53" i="1"/>
  <c r="Z53" i="1"/>
  <c r="AH53" i="1"/>
  <c r="AB53" i="1"/>
  <c r="AF29" i="1"/>
  <c r="AG400" i="1"/>
  <c r="AH324" i="1"/>
  <c r="AG285" i="1"/>
  <c r="Z246" i="1"/>
  <c r="AH246" i="1"/>
  <c r="AF225" i="1"/>
  <c r="AB225" i="1"/>
  <c r="AG225" i="1"/>
  <c r="Z224" i="1"/>
  <c r="AF224" i="1"/>
  <c r="AF146" i="1"/>
  <c r="AF136" i="1"/>
  <c r="AH135" i="1"/>
  <c r="AG133" i="1"/>
  <c r="Z133" i="1"/>
  <c r="AH133" i="1"/>
  <c r="AB133" i="1"/>
  <c r="Z128" i="1"/>
  <c r="AG128" i="1"/>
  <c r="AB128" i="1"/>
  <c r="AG87" i="1"/>
  <c r="AF85" i="1"/>
  <c r="AG85" i="1"/>
  <c r="Z85" i="1"/>
  <c r="AH85" i="1"/>
  <c r="AB85" i="1"/>
  <c r="AB42" i="1"/>
  <c r="AG30" i="1"/>
  <c r="AF30" i="1"/>
  <c r="AB406" i="1"/>
  <c r="AB319" i="1"/>
  <c r="Z207" i="1"/>
  <c r="AH207" i="1"/>
  <c r="AG188" i="1"/>
  <c r="AB188" i="1"/>
  <c r="AG177" i="1"/>
  <c r="Z177" i="1"/>
  <c r="AH177" i="1"/>
  <c r="AB177" i="1"/>
  <c r="AG172" i="1"/>
  <c r="AB172" i="1"/>
  <c r="AG169" i="1"/>
  <c r="Z169" i="1"/>
  <c r="AH169" i="1"/>
  <c r="AB169" i="1"/>
  <c r="AG153" i="1"/>
  <c r="Z153" i="1"/>
  <c r="AH153" i="1"/>
  <c r="AB153" i="1"/>
  <c r="AG122" i="1"/>
  <c r="AB122" i="1"/>
  <c r="AG106" i="1"/>
  <c r="AH106" i="1"/>
  <c r="Z106" i="1"/>
  <c r="AB106" i="1"/>
  <c r="AB74" i="1"/>
  <c r="AF33" i="1"/>
  <c r="AB416" i="1"/>
  <c r="AB415" i="1"/>
  <c r="AB396" i="1"/>
  <c r="AB384" i="1"/>
  <c r="AB363" i="1"/>
  <c r="AF288" i="1"/>
  <c r="AB255" i="1"/>
  <c r="AB247" i="1"/>
  <c r="Z229" i="1"/>
  <c r="AB228" i="1"/>
  <c r="AG222" i="1"/>
  <c r="AB218" i="1"/>
  <c r="AF207" i="1"/>
  <c r="AF206" i="1"/>
  <c r="AG203" i="1"/>
  <c r="AH203" i="1"/>
  <c r="Z203" i="1"/>
  <c r="AF188" i="1"/>
  <c r="AF177" i="1"/>
  <c r="AF172" i="1"/>
  <c r="AH171" i="1"/>
  <c r="AF169" i="1"/>
  <c r="AF153" i="1"/>
  <c r="AF122" i="1"/>
  <c r="AF106" i="1"/>
  <c r="AG33" i="1"/>
  <c r="AH31" i="1"/>
  <c r="AB252" i="1"/>
  <c r="AB210" i="1"/>
  <c r="AB208" i="1"/>
  <c r="Z205" i="1"/>
  <c r="AB193" i="1"/>
  <c r="AH192" i="1"/>
  <c r="Z192" i="1"/>
  <c r="Z189" i="1"/>
  <c r="AF165" i="1"/>
  <c r="AF157" i="1"/>
  <c r="AG149" i="1"/>
  <c r="AG140" i="1"/>
  <c r="AH137" i="1"/>
  <c r="Z137" i="1"/>
  <c r="AH129" i="1"/>
  <c r="Z129" i="1"/>
  <c r="AG112" i="1"/>
  <c r="AG100" i="1"/>
  <c r="AG96" i="1"/>
  <c r="AF89" i="1"/>
  <c r="AB88" i="1"/>
  <c r="AF81" i="1"/>
  <c r="AF77" i="1"/>
  <c r="AB73" i="1"/>
  <c r="AB66" i="1"/>
  <c r="AF57" i="1"/>
  <c r="AB56" i="1"/>
  <c r="AF49" i="1"/>
  <c r="AF45" i="1"/>
  <c r="AH252" i="1"/>
  <c r="Z252" i="1"/>
  <c r="Z223" i="1"/>
  <c r="AH221" i="1"/>
  <c r="AH217" i="1"/>
  <c r="AG205" i="1"/>
  <c r="AH201" i="1"/>
  <c r="Z193" i="1"/>
  <c r="AG189" i="1"/>
  <c r="Z181" i="1"/>
  <c r="AG155" i="1"/>
  <c r="AG124" i="1"/>
  <c r="AG116" i="1"/>
  <c r="AH111" i="1"/>
  <c r="AH73" i="1"/>
  <c r="AH41" i="1"/>
  <c r="AF20" i="1"/>
  <c r="AF18" i="1"/>
  <c r="AH204" i="1"/>
  <c r="AB165" i="1"/>
  <c r="AB157" i="1"/>
  <c r="AB89" i="1"/>
  <c r="AB81" i="1"/>
  <c r="AG79" i="1"/>
  <c r="AB77" i="1"/>
  <c r="AF58" i="1"/>
  <c r="AB57" i="1"/>
  <c r="AB49" i="1"/>
  <c r="AG47" i="1"/>
  <c r="AB45" i="1"/>
  <c r="AB140" i="1"/>
  <c r="AB134" i="1"/>
  <c r="AB118" i="1"/>
  <c r="AB112" i="1"/>
  <c r="AH109" i="1"/>
  <c r="AG75" i="1"/>
  <c r="AB62" i="1"/>
  <c r="AG43" i="1"/>
  <c r="AH37" i="1"/>
  <c r="AF22" i="1"/>
  <c r="AB22" i="1"/>
  <c r="AG20" i="1"/>
  <c r="Z21" i="1"/>
  <c r="AF25" i="1"/>
  <c r="AF21" i="1"/>
  <c r="AH21" i="1"/>
  <c r="AB20" i="1"/>
  <c r="AH19" i="1"/>
  <c r="AG19" i="1"/>
  <c r="AG21" i="1"/>
  <c r="AB29" i="1"/>
  <c r="Z19" i="1"/>
  <c r="Z16" i="1"/>
  <c r="AG28" i="1"/>
  <c r="AB30" i="1"/>
  <c r="AF28" i="1"/>
  <c r="Z33" i="1"/>
  <c r="AB33" i="1"/>
  <c r="AG32" i="1"/>
  <c r="AH29" i="1"/>
  <c r="Z29" i="1"/>
  <c r="AF32" i="1"/>
  <c r="AG29" i="1"/>
  <c r="AB34" i="1"/>
  <c r="AH23" i="1"/>
  <c r="AB32" i="1"/>
  <c r="Z25" i="1"/>
  <c r="AG25" i="1"/>
  <c r="AF26" i="1"/>
  <c r="AH25" i="1"/>
  <c r="AF24" i="1"/>
  <c r="Z23" i="1"/>
  <c r="AB28" i="1"/>
  <c r="AG24" i="1"/>
  <c r="AB26" i="1"/>
  <c r="AH27" i="1"/>
  <c r="AB24" i="1"/>
  <c r="AB15" i="1"/>
  <c r="AF456" i="1"/>
  <c r="AH511" i="1"/>
  <c r="AH499" i="1"/>
  <c r="AH495" i="1"/>
  <c r="Z495" i="1"/>
  <c r="AH487" i="1"/>
  <c r="Z487" i="1"/>
  <c r="Z474" i="1"/>
  <c r="AB461" i="1"/>
  <c r="AB373" i="1"/>
  <c r="AG373" i="1"/>
  <c r="Z373" i="1"/>
  <c r="AH373" i="1"/>
  <c r="AB353" i="1"/>
  <c r="AG353" i="1"/>
  <c r="Z353" i="1"/>
  <c r="AH353" i="1"/>
  <c r="Z511" i="1"/>
  <c r="AH507" i="1"/>
  <c r="Z507" i="1"/>
  <c r="AH503" i="1"/>
  <c r="Z503" i="1"/>
  <c r="Z499" i="1"/>
  <c r="AH491" i="1"/>
  <c r="Z491" i="1"/>
  <c r="AH483" i="1"/>
  <c r="Z483" i="1"/>
  <c r="Z476" i="1"/>
  <c r="AH476" i="1"/>
  <c r="AH474" i="1"/>
  <c r="Z467" i="1"/>
  <c r="AF461" i="1"/>
  <c r="AB460" i="1"/>
  <c r="AG511" i="1"/>
  <c r="AG507" i="1"/>
  <c r="AG503" i="1"/>
  <c r="AG499" i="1"/>
  <c r="AG495" i="1"/>
  <c r="AG491" i="1"/>
  <c r="AG487" i="1"/>
  <c r="AG483" i="1"/>
  <c r="AG479" i="1"/>
  <c r="Z477" i="1"/>
  <c r="AG474" i="1"/>
  <c r="AH467" i="1"/>
  <c r="Z464" i="1"/>
  <c r="AH464" i="1"/>
  <c r="AH462" i="1"/>
  <c r="Z462" i="1"/>
  <c r="AH457" i="1"/>
  <c r="Z455" i="1"/>
  <c r="AF454" i="1"/>
  <c r="AB449" i="1"/>
  <c r="AG447" i="1"/>
  <c r="Z441" i="1"/>
  <c r="Z437" i="1"/>
  <c r="Z435" i="1"/>
  <c r="Z431" i="1"/>
  <c r="Z427" i="1"/>
  <c r="Z423" i="1"/>
  <c r="Z419" i="1"/>
  <c r="Z415" i="1"/>
  <c r="Z411" i="1"/>
  <c r="Z407" i="1"/>
  <c r="Z403" i="1"/>
  <c r="Z399" i="1"/>
  <c r="Z395" i="1"/>
  <c r="Z391" i="1"/>
  <c r="Z387" i="1"/>
  <c r="AF375" i="1"/>
  <c r="AG375" i="1"/>
  <c r="Z375" i="1"/>
  <c r="AH375" i="1"/>
  <c r="AF373" i="1"/>
  <c r="AB357" i="1"/>
  <c r="AG357" i="1"/>
  <c r="Z357" i="1"/>
  <c r="AH357" i="1"/>
  <c r="AF355" i="1"/>
  <c r="AG355" i="1"/>
  <c r="Z355" i="1"/>
  <c r="AH355" i="1"/>
  <c r="AF353" i="1"/>
  <c r="AF351" i="1"/>
  <c r="AG351" i="1"/>
  <c r="Z351" i="1"/>
  <c r="AH351" i="1"/>
  <c r="AG94" i="1"/>
  <c r="Z94" i="1"/>
  <c r="AH94" i="1"/>
  <c r="AB94" i="1"/>
  <c r="AF94" i="1"/>
  <c r="AB513" i="1"/>
  <c r="AF511" i="1"/>
  <c r="AB509" i="1"/>
  <c r="AF507" i="1"/>
  <c r="AB505" i="1"/>
  <c r="AF503" i="1"/>
  <c r="AB501" i="1"/>
  <c r="AF499" i="1"/>
  <c r="AB497" i="1"/>
  <c r="AF495" i="1"/>
  <c r="AB493" i="1"/>
  <c r="AF491" i="1"/>
  <c r="AB489" i="1"/>
  <c r="AF487" i="1"/>
  <c r="AB485" i="1"/>
  <c r="AF483" i="1"/>
  <c r="AB481" i="1"/>
  <c r="AF474" i="1"/>
  <c r="AB469" i="1"/>
  <c r="AG467" i="1"/>
  <c r="AG462" i="1"/>
  <c r="AB458" i="1"/>
  <c r="AH455" i="1"/>
  <c r="Z452" i="1"/>
  <c r="AH452" i="1"/>
  <c r="AB451" i="1"/>
  <c r="AB377" i="1"/>
  <c r="AG377" i="1"/>
  <c r="Z377" i="1"/>
  <c r="AH377" i="1"/>
  <c r="AB361" i="1"/>
  <c r="AG361" i="1"/>
  <c r="Z361" i="1"/>
  <c r="AH361" i="1"/>
  <c r="AF359" i="1"/>
  <c r="AG359" i="1"/>
  <c r="Z359" i="1"/>
  <c r="AH359" i="1"/>
  <c r="AB341" i="1"/>
  <c r="AG341" i="1"/>
  <c r="Z341" i="1"/>
  <c r="AH341" i="1"/>
  <c r="AF371" i="1"/>
  <c r="AG371" i="1"/>
  <c r="Z371" i="1"/>
  <c r="AH371" i="1"/>
  <c r="Z472" i="1"/>
  <c r="AH472" i="1"/>
  <c r="AB457" i="1"/>
  <c r="AG455" i="1"/>
  <c r="AB445" i="1"/>
  <c r="AG445" i="1"/>
  <c r="AF443" i="1"/>
  <c r="AG443" i="1"/>
  <c r="AF439" i="1"/>
  <c r="AG439" i="1"/>
  <c r="AF383" i="1"/>
  <c r="AG383" i="1"/>
  <c r="Z383" i="1"/>
  <c r="AH383" i="1"/>
  <c r="AF379" i="1"/>
  <c r="AG379" i="1"/>
  <c r="Z379" i="1"/>
  <c r="AH379" i="1"/>
  <c r="AB371" i="1"/>
  <c r="AF363" i="1"/>
  <c r="AG363" i="1"/>
  <c r="Z363" i="1"/>
  <c r="AH363" i="1"/>
  <c r="AB351" i="1"/>
  <c r="AF343" i="1"/>
  <c r="AG343" i="1"/>
  <c r="Z343" i="1"/>
  <c r="AH343" i="1"/>
  <c r="AG281" i="1"/>
  <c r="AB281" i="1"/>
  <c r="AF281" i="1"/>
  <c r="AH281" i="1"/>
  <c r="Z281" i="1"/>
  <c r="Z456" i="1"/>
  <c r="AH456" i="1"/>
  <c r="AH509" i="1"/>
  <c r="AH505" i="1"/>
  <c r="AH481" i="1"/>
  <c r="AH458" i="1"/>
  <c r="Z451" i="1"/>
  <c r="AB441" i="1"/>
  <c r="AG441" i="1"/>
  <c r="AB437" i="1"/>
  <c r="AG437" i="1"/>
  <c r="AF435" i="1"/>
  <c r="AG435" i="1"/>
  <c r="AF431" i="1"/>
  <c r="AG431" i="1"/>
  <c r="AF427" i="1"/>
  <c r="AG427" i="1"/>
  <c r="AF423" i="1"/>
  <c r="AG423" i="1"/>
  <c r="AF419" i="1"/>
  <c r="AG419" i="1"/>
  <c r="AF415" i="1"/>
  <c r="AG415" i="1"/>
  <c r="AF411" i="1"/>
  <c r="AG411" i="1"/>
  <c r="AF407" i="1"/>
  <c r="AG407" i="1"/>
  <c r="AF403" i="1"/>
  <c r="AG403" i="1"/>
  <c r="AF399" i="1"/>
  <c r="AG399" i="1"/>
  <c r="AF395" i="1"/>
  <c r="AG395" i="1"/>
  <c r="AF391" i="1"/>
  <c r="AG391" i="1"/>
  <c r="AF387" i="1"/>
  <c r="AG387" i="1"/>
  <c r="AB381" i="1"/>
  <c r="AG381" i="1"/>
  <c r="AB365" i="1"/>
  <c r="AG365" i="1"/>
  <c r="Z365" i="1"/>
  <c r="AH365" i="1"/>
  <c r="AB345" i="1"/>
  <c r="AG345" i="1"/>
  <c r="Z345" i="1"/>
  <c r="AH345" i="1"/>
  <c r="AB473" i="1"/>
  <c r="Z509" i="1"/>
  <c r="AH501" i="1"/>
  <c r="Z501" i="1"/>
  <c r="Z497" i="1"/>
  <c r="AH493" i="1"/>
  <c r="Z493" i="1"/>
  <c r="Z489" i="1"/>
  <c r="AB477" i="1"/>
  <c r="Z460" i="1"/>
  <c r="AH460" i="1"/>
  <c r="Z458" i="1"/>
  <c r="AG513" i="1"/>
  <c r="AG509" i="1"/>
  <c r="AG505" i="1"/>
  <c r="AG501" i="1"/>
  <c r="AG497" i="1"/>
  <c r="AG493" i="1"/>
  <c r="AG489" i="1"/>
  <c r="AG485" i="1"/>
  <c r="AG481" i="1"/>
  <c r="AB479" i="1"/>
  <c r="AH478" i="1"/>
  <c r="Z478" i="1"/>
  <c r="AH473" i="1"/>
  <c r="Z471" i="1"/>
  <c r="AB465" i="1"/>
  <c r="AB464" i="1"/>
  <c r="AG463" i="1"/>
  <c r="Z461" i="1"/>
  <c r="AG458" i="1"/>
  <c r="AB454" i="1"/>
  <c r="AH451" i="1"/>
  <c r="Z448" i="1"/>
  <c r="AH448" i="1"/>
  <c r="AB447" i="1"/>
  <c r="AB433" i="1"/>
  <c r="AG433" i="1"/>
  <c r="AB429" i="1"/>
  <c r="AG429" i="1"/>
  <c r="AB425" i="1"/>
  <c r="AG425" i="1"/>
  <c r="AB421" i="1"/>
  <c r="AG421" i="1"/>
  <c r="AB417" i="1"/>
  <c r="AG417" i="1"/>
  <c r="AB413" i="1"/>
  <c r="AG413" i="1"/>
  <c r="AB409" i="1"/>
  <c r="AG409" i="1"/>
  <c r="AB405" i="1"/>
  <c r="AG405" i="1"/>
  <c r="AB401" i="1"/>
  <c r="AG401" i="1"/>
  <c r="AB397" i="1"/>
  <c r="AG397" i="1"/>
  <c r="AB393" i="1"/>
  <c r="AG393" i="1"/>
  <c r="AB389" i="1"/>
  <c r="AG389" i="1"/>
  <c r="AB385" i="1"/>
  <c r="AG385" i="1"/>
  <c r="AB375" i="1"/>
  <c r="AF367" i="1"/>
  <c r="AG367" i="1"/>
  <c r="Z367" i="1"/>
  <c r="AH367" i="1"/>
  <c r="AF365" i="1"/>
  <c r="AB355" i="1"/>
  <c r="AF347" i="1"/>
  <c r="AG347" i="1"/>
  <c r="Z347" i="1"/>
  <c r="AH347" i="1"/>
  <c r="AF345" i="1"/>
  <c r="AF327" i="1"/>
  <c r="AG327" i="1"/>
  <c r="Z327" i="1"/>
  <c r="AH327" i="1"/>
  <c r="AB327" i="1"/>
  <c r="Z325" i="1"/>
  <c r="AH325" i="1"/>
  <c r="AG325" i="1"/>
  <c r="AB325" i="1"/>
  <c r="AB318" i="1"/>
  <c r="AG318" i="1"/>
  <c r="AH318" i="1"/>
  <c r="Z318" i="1"/>
  <c r="AH513" i="1"/>
  <c r="Z513" i="1"/>
  <c r="Z505" i="1"/>
  <c r="AH497" i="1"/>
  <c r="AH489" i="1"/>
  <c r="AH485" i="1"/>
  <c r="Z485" i="1"/>
  <c r="Z481" i="1"/>
  <c r="AG473" i="1"/>
  <c r="AH471" i="1"/>
  <c r="Z468" i="1"/>
  <c r="AH468" i="1"/>
  <c r="AB467" i="1"/>
  <c r="AH466" i="1"/>
  <c r="AH461" i="1"/>
  <c r="Z459" i="1"/>
  <c r="AG456" i="1"/>
  <c r="AB453" i="1"/>
  <c r="AB452" i="1"/>
  <c r="AG451" i="1"/>
  <c r="Z449" i="1"/>
  <c r="AB443" i="1"/>
  <c r="AB439" i="1"/>
  <c r="AB369" i="1"/>
  <c r="AG369" i="1"/>
  <c r="Z369" i="1"/>
  <c r="AH369" i="1"/>
  <c r="AB359" i="1"/>
  <c r="AB349" i="1"/>
  <c r="AG349" i="1"/>
  <c r="Z349" i="1"/>
  <c r="AH349" i="1"/>
  <c r="AF325" i="1"/>
  <c r="AF318" i="1"/>
  <c r="AF312" i="1"/>
  <c r="AG312" i="1"/>
  <c r="AH312" i="1"/>
  <c r="Z312" i="1"/>
  <c r="AB312" i="1"/>
  <c r="AH338" i="1"/>
  <c r="Z336" i="1"/>
  <c r="AB330" i="1"/>
  <c r="Z326" i="1"/>
  <c r="AB314" i="1"/>
  <c r="AF308" i="1"/>
  <c r="AG308" i="1"/>
  <c r="AF304" i="1"/>
  <c r="AG304" i="1"/>
  <c r="AF300" i="1"/>
  <c r="AG300" i="1"/>
  <c r="AF296" i="1"/>
  <c r="AG296" i="1"/>
  <c r="AF292" i="1"/>
  <c r="AG292" i="1"/>
  <c r="Z267" i="1"/>
  <c r="AH267" i="1"/>
  <c r="Z238" i="1"/>
  <c r="AH238" i="1"/>
  <c r="AG238" i="1"/>
  <c r="AB339" i="1"/>
  <c r="AH336" i="1"/>
  <c r="Z333" i="1"/>
  <c r="AH333" i="1"/>
  <c r="AB332" i="1"/>
  <c r="AH331" i="1"/>
  <c r="AH326" i="1"/>
  <c r="Z324" i="1"/>
  <c r="Z321" i="1"/>
  <c r="AH321" i="1"/>
  <c r="AB316" i="1"/>
  <c r="AB310" i="1"/>
  <c r="AB306" i="1"/>
  <c r="AG306" i="1"/>
  <c r="AB302" i="1"/>
  <c r="AG302" i="1"/>
  <c r="AB298" i="1"/>
  <c r="AG298" i="1"/>
  <c r="AB294" i="1"/>
  <c r="AG294" i="1"/>
  <c r="AF286" i="1"/>
  <c r="AB286" i="1"/>
  <c r="AH286" i="1"/>
  <c r="Z286" i="1"/>
  <c r="AB123" i="1"/>
  <c r="AF123" i="1"/>
  <c r="AG123" i="1"/>
  <c r="Z123" i="1"/>
  <c r="AB338" i="1"/>
  <c r="AG336" i="1"/>
  <c r="Z317" i="1"/>
  <c r="AH317" i="1"/>
  <c r="Z291" i="1"/>
  <c r="AH291" i="1"/>
  <c r="AB254" i="1"/>
  <c r="AF254" i="1"/>
  <c r="AH254" i="1"/>
  <c r="Z144" i="1"/>
  <c r="AH144" i="1"/>
  <c r="AG144" i="1"/>
  <c r="AB144" i="1"/>
  <c r="AB326" i="1"/>
  <c r="Z313" i="1"/>
  <c r="AH313" i="1"/>
  <c r="Z275" i="1"/>
  <c r="AH275" i="1"/>
  <c r="AG275" i="1"/>
  <c r="Z263" i="1"/>
  <c r="AH263" i="1"/>
  <c r="AB263" i="1"/>
  <c r="AG263" i="1"/>
  <c r="AB227" i="1"/>
  <c r="Z227" i="1"/>
  <c r="AH227" i="1"/>
  <c r="AB195" i="1"/>
  <c r="AG195" i="1"/>
  <c r="AH195" i="1"/>
  <c r="Z195" i="1"/>
  <c r="AG194" i="1"/>
  <c r="Z194" i="1"/>
  <c r="AH194" i="1"/>
  <c r="AB194" i="1"/>
  <c r="Z184" i="1"/>
  <c r="AH184" i="1"/>
  <c r="AB184" i="1"/>
  <c r="AG184" i="1"/>
  <c r="AF144" i="1"/>
  <c r="Z329" i="1"/>
  <c r="AH329" i="1"/>
  <c r="AB288" i="1"/>
  <c r="AG288" i="1"/>
  <c r="AH288" i="1"/>
  <c r="Z279" i="1"/>
  <c r="AH279" i="1"/>
  <c r="AB279" i="1"/>
  <c r="AG279" i="1"/>
  <c r="AB267" i="1"/>
  <c r="AF263" i="1"/>
  <c r="Z251" i="1"/>
  <c r="AH251" i="1"/>
  <c r="AG251" i="1"/>
  <c r="Z244" i="1"/>
  <c r="AH244" i="1"/>
  <c r="AB238" i="1"/>
  <c r="AF227" i="1"/>
  <c r="AB204" i="1"/>
  <c r="AF204" i="1"/>
  <c r="AG204" i="1"/>
  <c r="AF195" i="1"/>
  <c r="AF194" i="1"/>
  <c r="AF184" i="1"/>
  <c r="Z340" i="1"/>
  <c r="AB334" i="1"/>
  <c r="AB333" i="1"/>
  <c r="AG332" i="1"/>
  <c r="Z330" i="1"/>
  <c r="AB321" i="1"/>
  <c r="AF320" i="1"/>
  <c r="AG320" i="1"/>
  <c r="Z314" i="1"/>
  <c r="Z308" i="1"/>
  <c r="Z304" i="1"/>
  <c r="Z300" i="1"/>
  <c r="Z296" i="1"/>
  <c r="Z292" i="1"/>
  <c r="AF279" i="1"/>
  <c r="AG261" i="1"/>
  <c r="Z261" i="1"/>
  <c r="AH261" i="1"/>
  <c r="Z242" i="1"/>
  <c r="AH242" i="1"/>
  <c r="AG242" i="1"/>
  <c r="Z156" i="1"/>
  <c r="AH156" i="1"/>
  <c r="AB156" i="1"/>
  <c r="AG156" i="1"/>
  <c r="AF156" i="1"/>
  <c r="AH444" i="1"/>
  <c r="AH440" i="1"/>
  <c r="AH436" i="1"/>
  <c r="AH432" i="1"/>
  <c r="AH428" i="1"/>
  <c r="AH424" i="1"/>
  <c r="AH420" i="1"/>
  <c r="AH416" i="1"/>
  <c r="AH412" i="1"/>
  <c r="AH408" i="1"/>
  <c r="AH404" i="1"/>
  <c r="AH400" i="1"/>
  <c r="AH396" i="1"/>
  <c r="AH392" i="1"/>
  <c r="AH388" i="1"/>
  <c r="AH340" i="1"/>
  <c r="Z337" i="1"/>
  <c r="AH337" i="1"/>
  <c r="AB336" i="1"/>
  <c r="AH330" i="1"/>
  <c r="AB322" i="1"/>
  <c r="AB317" i="1"/>
  <c r="AF316" i="1"/>
  <c r="AG316" i="1"/>
  <c r="AH314" i="1"/>
  <c r="AB291" i="1"/>
  <c r="AG277" i="1"/>
  <c r="Z277" i="1"/>
  <c r="AH277" i="1"/>
  <c r="AB258" i="1"/>
  <c r="AF258" i="1"/>
  <c r="Z258" i="1"/>
  <c r="AB215" i="1"/>
  <c r="AG215" i="1"/>
  <c r="AH215" i="1"/>
  <c r="AB271" i="1"/>
  <c r="AG265" i="1"/>
  <c r="Z265" i="1"/>
  <c r="AH265" i="1"/>
  <c r="Z255" i="1"/>
  <c r="AH255" i="1"/>
  <c r="AB236" i="1"/>
  <c r="AF236" i="1"/>
  <c r="AG228" i="1"/>
  <c r="Z228" i="1"/>
  <c r="AH228" i="1"/>
  <c r="AF216" i="1"/>
  <c r="AG216" i="1"/>
  <c r="Z216" i="1"/>
  <c r="AH216" i="1"/>
  <c r="AG190" i="1"/>
  <c r="Z190" i="1"/>
  <c r="AH190" i="1"/>
  <c r="AB167" i="1"/>
  <c r="AF167" i="1"/>
  <c r="AH167" i="1"/>
  <c r="Z167" i="1"/>
  <c r="AG166" i="1"/>
  <c r="Z166" i="1"/>
  <c r="AH166" i="1"/>
  <c r="AB166" i="1"/>
  <c r="Z283" i="1"/>
  <c r="AH283" i="1"/>
  <c r="AB274" i="1"/>
  <c r="AF274" i="1"/>
  <c r="AG269" i="1"/>
  <c r="Z269" i="1"/>
  <c r="AH269" i="1"/>
  <c r="Z259" i="1"/>
  <c r="AH259" i="1"/>
  <c r="AB250" i="1"/>
  <c r="AF250" i="1"/>
  <c r="AB239" i="1"/>
  <c r="AH239" i="1"/>
  <c r="AF233" i="1"/>
  <c r="AG233" i="1"/>
  <c r="AH233" i="1"/>
  <c r="Z222" i="1"/>
  <c r="AH222" i="1"/>
  <c r="AG154" i="1"/>
  <c r="Z154" i="1"/>
  <c r="AH154" i="1"/>
  <c r="AB151" i="1"/>
  <c r="AF151" i="1"/>
  <c r="Z151" i="1"/>
  <c r="AB179" i="1"/>
  <c r="AF179" i="1"/>
  <c r="AH179" i="1"/>
  <c r="AG151" i="1"/>
  <c r="AB119" i="1"/>
  <c r="AF119" i="1"/>
  <c r="AG119" i="1"/>
  <c r="Z119" i="1"/>
  <c r="AB278" i="1"/>
  <c r="AF278" i="1"/>
  <c r="AG273" i="1"/>
  <c r="Z273" i="1"/>
  <c r="AH273" i="1"/>
  <c r="Z271" i="1"/>
  <c r="AH271" i="1"/>
  <c r="AB262" i="1"/>
  <c r="AF262" i="1"/>
  <c r="AG249" i="1"/>
  <c r="Z249" i="1"/>
  <c r="AH249" i="1"/>
  <c r="AB243" i="1"/>
  <c r="AH243" i="1"/>
  <c r="Z243" i="1"/>
  <c r="Z226" i="1"/>
  <c r="AH226" i="1"/>
  <c r="AB224" i="1"/>
  <c r="AG224" i="1"/>
  <c r="AB216" i="1"/>
  <c r="AG212" i="1"/>
  <c r="Z212" i="1"/>
  <c r="AH212" i="1"/>
  <c r="AG206" i="1"/>
  <c r="Z206" i="1"/>
  <c r="AH206" i="1"/>
  <c r="AB200" i="1"/>
  <c r="AG200" i="1"/>
  <c r="Z200" i="1"/>
  <c r="AH200" i="1"/>
  <c r="AG182" i="1"/>
  <c r="Z182" i="1"/>
  <c r="AH182" i="1"/>
  <c r="AH119" i="1"/>
  <c r="Z290" i="1"/>
  <c r="AB283" i="1"/>
  <c r="AF282" i="1"/>
  <c r="AB269" i="1"/>
  <c r="AB266" i="1"/>
  <c r="AF266" i="1"/>
  <c r="AB259" i="1"/>
  <c r="AG253" i="1"/>
  <c r="Z253" i="1"/>
  <c r="AH253" i="1"/>
  <c r="AF243" i="1"/>
  <c r="Z236" i="1"/>
  <c r="AF229" i="1"/>
  <c r="AB229" i="1"/>
  <c r="AG229" i="1"/>
  <c r="AB222" i="1"/>
  <c r="AF200" i="1"/>
  <c r="Z176" i="1"/>
  <c r="AH176" i="1"/>
  <c r="AG176" i="1"/>
  <c r="Z160" i="1"/>
  <c r="AH160" i="1"/>
  <c r="AB154" i="1"/>
  <c r="AB147" i="1"/>
  <c r="AF147" i="1"/>
  <c r="AH147" i="1"/>
  <c r="AH309" i="1"/>
  <c r="AH305" i="1"/>
  <c r="AH301" i="1"/>
  <c r="AH297" i="1"/>
  <c r="AH293" i="1"/>
  <c r="AH290" i="1"/>
  <c r="Z287" i="1"/>
  <c r="AH287" i="1"/>
  <c r="AH285" i="1"/>
  <c r="Z274" i="1"/>
  <c r="AB270" i="1"/>
  <c r="AF270" i="1"/>
  <c r="AG257" i="1"/>
  <c r="Z257" i="1"/>
  <c r="AH257" i="1"/>
  <c r="Z250" i="1"/>
  <c r="Z247" i="1"/>
  <c r="AH247" i="1"/>
  <c r="AF240" i="1"/>
  <c r="AG240" i="1"/>
  <c r="Z239" i="1"/>
  <c r="AF237" i="1"/>
  <c r="Z237" i="1"/>
  <c r="Z234" i="1"/>
  <c r="AH234" i="1"/>
  <c r="AB234" i="1"/>
  <c r="AG234" i="1"/>
  <c r="Z233" i="1"/>
  <c r="AB223" i="1"/>
  <c r="AG223" i="1"/>
  <c r="AH223" i="1"/>
  <c r="AB211" i="1"/>
  <c r="AH211" i="1"/>
  <c r="AG170" i="1"/>
  <c r="Z170" i="1"/>
  <c r="AH170" i="1"/>
  <c r="AG202" i="1"/>
  <c r="Z202" i="1"/>
  <c r="AH202" i="1"/>
  <c r="AB191" i="1"/>
  <c r="Z180" i="1"/>
  <c r="AH180" i="1"/>
  <c r="AB171" i="1"/>
  <c r="AF171" i="1"/>
  <c r="AG158" i="1"/>
  <c r="Z158" i="1"/>
  <c r="AH158" i="1"/>
  <c r="Z148" i="1"/>
  <c r="AH148" i="1"/>
  <c r="AB131" i="1"/>
  <c r="AF131" i="1"/>
  <c r="AG131" i="1"/>
  <c r="AB231" i="1"/>
  <c r="AB219" i="1"/>
  <c r="AG198" i="1"/>
  <c r="Z198" i="1"/>
  <c r="AH198" i="1"/>
  <c r="AH196" i="1"/>
  <c r="AG186" i="1"/>
  <c r="Z186" i="1"/>
  <c r="AH186" i="1"/>
  <c r="AB175" i="1"/>
  <c r="AF175" i="1"/>
  <c r="AG162" i="1"/>
  <c r="Z162" i="1"/>
  <c r="AH162" i="1"/>
  <c r="Z152" i="1"/>
  <c r="AH152" i="1"/>
  <c r="AB143" i="1"/>
  <c r="AF143" i="1"/>
  <c r="AG102" i="1"/>
  <c r="Z102" i="1"/>
  <c r="AB102" i="1"/>
  <c r="AH102" i="1"/>
  <c r="AB91" i="1"/>
  <c r="AF91" i="1"/>
  <c r="AH91" i="1"/>
  <c r="Z91" i="1"/>
  <c r="AG90" i="1"/>
  <c r="Z90" i="1"/>
  <c r="AH90" i="1"/>
  <c r="AB90" i="1"/>
  <c r="AG78" i="1"/>
  <c r="Z78" i="1"/>
  <c r="AH78" i="1"/>
  <c r="AB78" i="1"/>
  <c r="AB59" i="1"/>
  <c r="AF59" i="1"/>
  <c r="AH59" i="1"/>
  <c r="Z59" i="1"/>
  <c r="AG46" i="1"/>
  <c r="Z46" i="1"/>
  <c r="AH46" i="1"/>
  <c r="AB46" i="1"/>
  <c r="AB135" i="1"/>
  <c r="AF135" i="1"/>
  <c r="AG135" i="1"/>
  <c r="AB111" i="1"/>
  <c r="AF111" i="1"/>
  <c r="AG111" i="1"/>
  <c r="AB108" i="1"/>
  <c r="AG108" i="1"/>
  <c r="Z108" i="1"/>
  <c r="AH108" i="1"/>
  <c r="AG218" i="1"/>
  <c r="Z218" i="1"/>
  <c r="AH218" i="1"/>
  <c r="AB207" i="1"/>
  <c r="AB202" i="1"/>
  <c r="Z188" i="1"/>
  <c r="AH188" i="1"/>
  <c r="AB183" i="1"/>
  <c r="AF183" i="1"/>
  <c r="AB180" i="1"/>
  <c r="AG174" i="1"/>
  <c r="Z174" i="1"/>
  <c r="AH174" i="1"/>
  <c r="Z164" i="1"/>
  <c r="AH164" i="1"/>
  <c r="AB158" i="1"/>
  <c r="AB155" i="1"/>
  <c r="AF155" i="1"/>
  <c r="AB148" i="1"/>
  <c r="AG110" i="1"/>
  <c r="AF110" i="1"/>
  <c r="AH110" i="1"/>
  <c r="Z110" i="1"/>
  <c r="AF108" i="1"/>
  <c r="Z230" i="1"/>
  <c r="AH230" i="1"/>
  <c r="AG214" i="1"/>
  <c r="Z214" i="1"/>
  <c r="AH214" i="1"/>
  <c r="AB203" i="1"/>
  <c r="AB198" i="1"/>
  <c r="Z191" i="1"/>
  <c r="AB186" i="1"/>
  <c r="AG178" i="1"/>
  <c r="Z178" i="1"/>
  <c r="AH178" i="1"/>
  <c r="Z171" i="1"/>
  <c r="Z168" i="1"/>
  <c r="AH168" i="1"/>
  <c r="AB162" i="1"/>
  <c r="AB159" i="1"/>
  <c r="AF159" i="1"/>
  <c r="AB152" i="1"/>
  <c r="AG146" i="1"/>
  <c r="Z146" i="1"/>
  <c r="AH146" i="1"/>
  <c r="Z131" i="1"/>
  <c r="AB127" i="1"/>
  <c r="AF127" i="1"/>
  <c r="AG127" i="1"/>
  <c r="AB115" i="1"/>
  <c r="AF115" i="1"/>
  <c r="AG115" i="1"/>
  <c r="Z241" i="1"/>
  <c r="AB235" i="1"/>
  <c r="Z231" i="1"/>
  <c r="Z219" i="1"/>
  <c r="AG210" i="1"/>
  <c r="Z210" i="1"/>
  <c r="AH210" i="1"/>
  <c r="AH208" i="1"/>
  <c r="AB199" i="1"/>
  <c r="AH191" i="1"/>
  <c r="AB187" i="1"/>
  <c r="AF187" i="1"/>
  <c r="Z175" i="1"/>
  <c r="Z172" i="1"/>
  <c r="AH172" i="1"/>
  <c r="AB163" i="1"/>
  <c r="AF163" i="1"/>
  <c r="AG150" i="1"/>
  <c r="Z150" i="1"/>
  <c r="AH150" i="1"/>
  <c r="Z143" i="1"/>
  <c r="AB139" i="1"/>
  <c r="AF139" i="1"/>
  <c r="AG139" i="1"/>
  <c r="Z68" i="1"/>
  <c r="AH68" i="1"/>
  <c r="AG68" i="1"/>
  <c r="AB68" i="1"/>
  <c r="AB95" i="1"/>
  <c r="AF95" i="1"/>
  <c r="AG82" i="1"/>
  <c r="Z82" i="1"/>
  <c r="AH82" i="1"/>
  <c r="Z72" i="1"/>
  <c r="AH72" i="1"/>
  <c r="AB63" i="1"/>
  <c r="AF63" i="1"/>
  <c r="AG50" i="1"/>
  <c r="Z50" i="1"/>
  <c r="AH50" i="1"/>
  <c r="Z40" i="1"/>
  <c r="AH40" i="1"/>
  <c r="AB35" i="1"/>
  <c r="AF35" i="1"/>
  <c r="AG35" i="1"/>
  <c r="AH140" i="1"/>
  <c r="AH136" i="1"/>
  <c r="AH132" i="1"/>
  <c r="AH128" i="1"/>
  <c r="AH124" i="1"/>
  <c r="AH120" i="1"/>
  <c r="AH116" i="1"/>
  <c r="AH112" i="1"/>
  <c r="AB99" i="1"/>
  <c r="AG86" i="1"/>
  <c r="Z86" i="1"/>
  <c r="AH86" i="1"/>
  <c r="Z76" i="1"/>
  <c r="AH76" i="1"/>
  <c r="AB67" i="1"/>
  <c r="AF67" i="1"/>
  <c r="AG54" i="1"/>
  <c r="Z54" i="1"/>
  <c r="AH54" i="1"/>
  <c r="Z44" i="1"/>
  <c r="AH44" i="1"/>
  <c r="Z80" i="1"/>
  <c r="AH80" i="1"/>
  <c r="AB71" i="1"/>
  <c r="AF71" i="1"/>
  <c r="AG58" i="1"/>
  <c r="Z58" i="1"/>
  <c r="AH58" i="1"/>
  <c r="Z48" i="1"/>
  <c r="AK48" i="1" s="1"/>
  <c r="AH48" i="1"/>
  <c r="AB39" i="1"/>
  <c r="AF39" i="1"/>
  <c r="Z84" i="1"/>
  <c r="AH84" i="1"/>
  <c r="AB75" i="1"/>
  <c r="AF75" i="1"/>
  <c r="AG62" i="1"/>
  <c r="Z62" i="1"/>
  <c r="AH62" i="1"/>
  <c r="Z52" i="1"/>
  <c r="AH52" i="1"/>
  <c r="AB43" i="1"/>
  <c r="AF43" i="1"/>
  <c r="AG98" i="1"/>
  <c r="Z98" i="1"/>
  <c r="AH98" i="1"/>
  <c r="Z88" i="1"/>
  <c r="AH88" i="1"/>
  <c r="AB82" i="1"/>
  <c r="AB79" i="1"/>
  <c r="AF79" i="1"/>
  <c r="AB72" i="1"/>
  <c r="AG66" i="1"/>
  <c r="Z66" i="1"/>
  <c r="AH66" i="1"/>
  <c r="Z56" i="1"/>
  <c r="AH56" i="1"/>
  <c r="AB50" i="1"/>
  <c r="AB47" i="1"/>
  <c r="AF47" i="1"/>
  <c r="AB40" i="1"/>
  <c r="AB27" i="1"/>
  <c r="AF27" i="1"/>
  <c r="AG27" i="1"/>
  <c r="AH142" i="1"/>
  <c r="Z142" i="1"/>
  <c r="AH138" i="1"/>
  <c r="Z138" i="1"/>
  <c r="AH134" i="1"/>
  <c r="Z134" i="1"/>
  <c r="AH130" i="1"/>
  <c r="Z130" i="1"/>
  <c r="AH126" i="1"/>
  <c r="Z126" i="1"/>
  <c r="AH122" i="1"/>
  <c r="Z122" i="1"/>
  <c r="AH118" i="1"/>
  <c r="Z118" i="1"/>
  <c r="AH114" i="1"/>
  <c r="Z114" i="1"/>
  <c r="AH107" i="1"/>
  <c r="Z107" i="1"/>
  <c r="Z95" i="1"/>
  <c r="Z92" i="1"/>
  <c r="AH92" i="1"/>
  <c r="AB86" i="1"/>
  <c r="AB83" i="1"/>
  <c r="AF83" i="1"/>
  <c r="AB76" i="1"/>
  <c r="AG70" i="1"/>
  <c r="Z70" i="1"/>
  <c r="AH70" i="1"/>
  <c r="Z63" i="1"/>
  <c r="Z60" i="1"/>
  <c r="AH60" i="1"/>
  <c r="AB54" i="1"/>
  <c r="AB51" i="1"/>
  <c r="AF51" i="1"/>
  <c r="AB44" i="1"/>
  <c r="AG38" i="1"/>
  <c r="Z38" i="1"/>
  <c r="AH38" i="1"/>
  <c r="Z35" i="1"/>
  <c r="AG107" i="1"/>
  <c r="AH104" i="1"/>
  <c r="Z99" i="1"/>
  <c r="Z96" i="1"/>
  <c r="AH96" i="1"/>
  <c r="AB87" i="1"/>
  <c r="AF87" i="1"/>
  <c r="AB80" i="1"/>
  <c r="AG74" i="1"/>
  <c r="Z74" i="1"/>
  <c r="AH74" i="1"/>
  <c r="Z67" i="1"/>
  <c r="Z64" i="1"/>
  <c r="AH64" i="1"/>
  <c r="AB58" i="1"/>
  <c r="AB55" i="1"/>
  <c r="AF55" i="1"/>
  <c r="AB48" i="1"/>
  <c r="AG42" i="1"/>
  <c r="Z42" i="1"/>
  <c r="AH42" i="1"/>
  <c r="AB31" i="1"/>
  <c r="AF31" i="1"/>
  <c r="AG31" i="1"/>
  <c r="AG23" i="1"/>
  <c r="AH36" i="1"/>
  <c r="AH32" i="1"/>
  <c r="AH28" i="1"/>
  <c r="AH24" i="1"/>
  <c r="AF23" i="1"/>
  <c r="AH20" i="1"/>
  <c r="AF19" i="1"/>
  <c r="AB18" i="1"/>
  <c r="AH34" i="1"/>
  <c r="Z34" i="1"/>
  <c r="AH30" i="1"/>
  <c r="Z30" i="1"/>
  <c r="AH26" i="1"/>
  <c r="Z26" i="1"/>
  <c r="AB23" i="1"/>
  <c r="AH22" i="1"/>
  <c r="Z22" i="1"/>
  <c r="AB19" i="1"/>
  <c r="AH18" i="1"/>
  <c r="Z18" i="1"/>
  <c r="AG16" i="1"/>
  <c r="V13" i="1"/>
  <c r="E1" i="1" s="1"/>
  <c r="C6" i="1"/>
  <c r="AG15" i="1"/>
  <c r="AH15" i="1"/>
  <c r="C17" i="1"/>
  <c r="D17" i="1" s="1"/>
  <c r="C32" i="1"/>
  <c r="D32" i="1" s="1"/>
  <c r="C21" i="1"/>
  <c r="D21" i="1" s="1"/>
  <c r="C23" i="1"/>
  <c r="D23" i="1" s="1"/>
  <c r="C30" i="1"/>
  <c r="D30" i="1" s="1"/>
  <c r="AK46" i="1" l="1"/>
  <c r="AK49" i="1"/>
  <c r="AK54" i="1"/>
  <c r="AK47" i="1"/>
  <c r="AK51" i="1"/>
  <c r="AK45" i="1"/>
  <c r="AK44" i="1"/>
  <c r="AK42" i="1"/>
  <c r="AK50" i="1"/>
  <c r="AK56" i="1"/>
  <c r="AK55" i="1"/>
  <c r="AK53" i="1"/>
  <c r="AK52" i="1"/>
  <c r="AK43" i="1"/>
  <c r="AK24" i="1"/>
  <c r="AK23" i="1"/>
  <c r="AK31" i="1"/>
  <c r="AK28" i="1"/>
  <c r="AK18" i="1"/>
  <c r="AK32" i="1"/>
  <c r="AK36" i="1"/>
  <c r="AK26" i="1"/>
  <c r="AK16" i="1"/>
  <c r="AK21" i="1"/>
  <c r="AK34" i="1"/>
  <c r="AK37" i="1"/>
  <c r="AK25" i="1"/>
  <c r="AK27" i="1"/>
  <c r="AK20" i="1"/>
  <c r="C27" i="1"/>
  <c r="D27" i="1" s="1"/>
  <c r="AK30" i="1"/>
  <c r="AK38" i="1"/>
  <c r="AK17" i="1"/>
  <c r="AK19" i="1"/>
  <c r="AK35" i="1"/>
  <c r="AK22" i="1"/>
  <c r="AK33" i="1"/>
  <c r="AK29" i="1"/>
  <c r="AK15" i="1"/>
  <c r="AK40" i="1"/>
  <c r="AK41" i="1"/>
  <c r="AK39" i="1"/>
  <c r="C34" i="1"/>
  <c r="D34" i="1" s="1"/>
  <c r="A1" i="1" l="1"/>
  <c r="C15" i="1" s="1"/>
  <c r="D15" i="1" s="1"/>
  <c r="C26" i="1" l="1"/>
  <c r="D26" i="1" s="1"/>
  <c r="J1" i="1" l="1"/>
  <c r="A1" i="3"/>
  <c r="K1" i="1" l="1"/>
</calcChain>
</file>

<file path=xl/sharedStrings.xml><?xml version="1.0" encoding="utf-8"?>
<sst xmlns="http://schemas.openxmlformats.org/spreadsheetml/2006/main" count="101" uniqueCount="87">
  <si>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</si>
  <si>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</si>
  <si>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</si>
  <si>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</si>
  <si>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</si>
  <si>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</si>
  <si>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</si>
  <si>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</si>
  <si>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</si>
  <si>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</si>
  <si>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</si>
  <si>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</si>
  <si>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</si>
  <si>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</si>
  <si>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</si>
  <si>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</si>
  <si>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</si>
  <si>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</si>
  <si>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</si>
  <si>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</si>
  <si>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</si>
  <si>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</si>
  <si>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</si>
  <si>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</si>
  <si>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</si>
  <si>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</si>
  <si>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</si>
  <si>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</si>
  <si>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</si>
  <si>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</si>
  <si>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</si>
  <si>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</si>
  <si>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</si>
  <si>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</si>
  <si>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</si>
  <si>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</si>
  <si>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</si>
  <si>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</si>
  <si>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</si>
  <si>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</si>
  <si>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</si>
  <si>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</si>
  <si>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</si>
  <si>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</si>
  <si>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</si>
  <si>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</si>
  <si>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</si>
  <si>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</si>
  <si>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</si>
  <si>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</si>
  <si>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</si>
  <si>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</si>
  <si>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</si>
  <si>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</si>
  <si>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</si>
  <si>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</si>
  <si>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</si>
  <si>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</si>
  <si>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</si>
  <si>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ESTAIS NO TRONCO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</si>
  <si>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</si>
  <si>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</si>
  <si>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</si>
  <si>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</si>
  <si>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</si>
  <si>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</si>
  <si>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</si>
  <si>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</si>
  <si>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</si>
  <si>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</si>
  <si>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</si>
  <si>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</si>
  <si>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</si>
  <si>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</si>
  <si>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</si>
  <si>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</si>
  <si>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</si>
  <si>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</si>
  <si>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</si>
  <si>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</si>
  <si>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V 3.2</t>
  </si>
  <si>
    <t>E0</t>
  </si>
  <si>
    <t>V1</t>
  </si>
  <si>
    <t>TR</t>
  </si>
  <si>
    <t>d</t>
  </si>
  <si>
    <t>u1</t>
  </si>
  <si>
    <t>u3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</si>
</sst>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2"/>
      <color theme="5" tint="0.3999755851924192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4" tint="-0.499984740745262"/>
      <name val="Calibri"/>
      <family val="2"/>
      <charset val="1"/>
    </font>
    <font>
      <sz val="12"/>
      <color theme="4" tint="-0.499984740745262"/>
      <name val="Bookman Old Style"/>
      <family val="1"/>
      <charset val="1"/>
    </font>
    <font>
      <b/>
      <sz val="12"/>
      <color theme="4" tint="-0.499984740745262"/>
      <name val="Bookman Old Style"/>
      <family val="1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2"/>
      <color theme="4" tint="-0.499984740745262"/>
      <name val="Bookman Old Style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FFFC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5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6" fillId="4" borderId="4" xfId="0" applyFont="1" applyFill="1" applyBorder="1" applyAlignment="1" applyProtection="1">
      <alignment horizontal="center" vertical="center"/>
      <protection hidden="1"/>
    </xf>
    <xf numFmtId="0" fontId="6" fillId="4" borderId="3" xfId="0" applyFont="1" applyFill="1" applyBorder="1" applyAlignment="1" applyProtection="1">
      <alignment horizontal="center" vertical="center"/>
      <protection hidden="1"/>
    </xf>
    <xf numFmtId="0" fontId="6" fillId="4" borderId="16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18" xfId="0" applyFont="1" applyFill="1" applyBorder="1" applyAlignment="1" applyProtection="1">
      <alignment horizontal="center" vertical="center" wrapText="1"/>
      <protection hidden="1"/>
    </xf>
    <xf numFmtId="0" fontId="6" fillId="4" borderId="19" xfId="0" applyFont="1" applyFill="1" applyBorder="1" applyAlignment="1" applyProtection="1">
      <alignment horizontal="center" vertical="center" wrapText="1"/>
      <protection hidden="1"/>
    </xf>
    <xf numFmtId="0" fontId="6" fillId="4" borderId="20" xfId="0" applyFont="1" applyFill="1" applyBorder="1" applyAlignment="1" applyProtection="1">
      <alignment horizontal="center" vertical="center" wrapText="1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10" fillId="2" borderId="6" xfId="1" applyFont="1" applyFill="1" applyBorder="1" applyAlignment="1" applyProtection="1">
      <alignment horizontal="center" vertical="center"/>
      <protection locked="0" hidden="1"/>
    </xf>
    <xf numFmtId="0" fontId="10" fillId="2" borderId="5" xfId="1" applyFont="1" applyFill="1" applyBorder="1" applyAlignment="1" applyProtection="1">
      <alignment horizontal="center" vertical="center"/>
      <protection locked="0" hidden="1"/>
    </xf>
    <xf numFmtId="0" fontId="10" fillId="2" borderId="1" xfId="1" applyFont="1" applyFill="1" applyBorder="1" applyAlignment="1" applyProtection="1">
      <alignment horizontal="center" vertical="center"/>
      <protection locked="0" hidden="1"/>
    </xf>
    <xf numFmtId="0" fontId="10" fillId="2" borderId="28" xfId="1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0" fontId="9" fillId="3" borderId="1" xfId="1" applyFont="1" applyFill="1" applyBorder="1" applyAlignment="1" applyProtection="1">
      <alignment horizontal="center" vertical="center"/>
      <protection locked="0" hidden="1"/>
    </xf>
    <xf numFmtId="0" fontId="13" fillId="2" borderId="1" xfId="0" applyFont="1" applyFill="1" applyBorder="1" applyAlignment="1" applyProtection="1">
      <alignment horizontal="center" vertical="center"/>
      <protection locked="0" hidden="1"/>
    </xf>
    <xf numFmtId="0" fontId="14" fillId="2" borderId="1" xfId="0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10" fillId="2" borderId="9" xfId="1" applyFont="1" applyFill="1" applyBorder="1" applyAlignment="1" applyProtection="1">
      <alignment horizontal="center" vertical="center"/>
      <protection locked="0" hidden="1"/>
    </xf>
    <xf numFmtId="0" fontId="10" fillId="2" borderId="7" xfId="1" applyFont="1" applyFill="1" applyBorder="1" applyAlignment="1" applyProtection="1">
      <alignment horizontal="center" vertical="center"/>
      <protection locked="0" hidden="1"/>
    </xf>
    <xf numFmtId="0" fontId="10" fillId="2" borderId="8" xfId="1" applyFont="1" applyFill="1" applyBorder="1" applyAlignment="1" applyProtection="1">
      <alignment horizontal="center" vertical="center"/>
      <protection locked="0" hidden="1"/>
    </xf>
    <xf numFmtId="0" fontId="4" fillId="5" borderId="0" xfId="0" applyFont="1" applyFill="1" applyAlignment="1" applyProtection="1">
      <alignment horizontal="center" vertical="center" wrapText="1"/>
      <protection hidden="1"/>
    </xf>
    <xf numFmtId="0" fontId="4" fillId="5" borderId="22" xfId="0" applyFont="1" applyFill="1" applyBorder="1" applyAlignment="1" applyProtection="1">
      <alignment horizontal="center" vertical="center"/>
      <protection hidden="1"/>
    </xf>
    <xf numFmtId="0" fontId="4" fillId="5" borderId="26" xfId="0" applyFont="1" applyFill="1" applyBorder="1" applyAlignment="1" applyProtection="1">
      <alignment horizontal="center" vertical="center"/>
      <protection hidden="1"/>
    </xf>
    <xf numFmtId="0" fontId="4" fillId="5" borderId="21" xfId="0" applyFont="1" applyFill="1" applyBorder="1" applyAlignment="1" applyProtection="1">
      <alignment horizontal="center" vertical="center"/>
      <protection hidden="1"/>
    </xf>
    <xf numFmtId="0" fontId="4" fillId="6" borderId="22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4" fillId="6" borderId="26" xfId="0" applyFont="1" applyFill="1" applyBorder="1" applyAlignment="1" applyProtection="1">
      <alignment horizontal="center" vertical="center"/>
      <protection hidden="1"/>
    </xf>
    <xf numFmtId="0" fontId="7" fillId="4" borderId="29" xfId="0" applyFont="1" applyFill="1" applyBorder="1" applyAlignment="1" applyProtection="1">
      <alignment horizontal="center" vertical="center"/>
      <protection hidden="1"/>
    </xf>
    <xf numFmtId="0" fontId="15" fillId="6" borderId="12" xfId="0" applyFont="1" applyFill="1" applyBorder="1" applyAlignment="1" applyProtection="1">
      <alignment horizontal="center" vertical="center"/>
      <protection locked="0"/>
    </xf>
    <xf numFmtId="0" fontId="15" fillId="6" borderId="14" xfId="0" applyFont="1" applyFill="1" applyBorder="1" applyAlignment="1" applyProtection="1">
      <alignment horizontal="center" vertical="center"/>
      <protection locked="0"/>
    </xf>
    <xf numFmtId="0" fontId="15" fillId="6" borderId="10" xfId="0" applyFont="1" applyFill="1" applyBorder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/>
      <protection hidden="1"/>
    </xf>
    <xf numFmtId="0" fontId="6" fillId="4" borderId="13" xfId="0" applyFont="1" applyFill="1" applyBorder="1" applyAlignment="1" applyProtection="1">
      <alignment horizontal="center" vertical="center"/>
      <protection hidden="1"/>
    </xf>
    <xf numFmtId="0" fontId="16" fillId="6" borderId="25" xfId="0" applyFont="1" applyFill="1" applyBorder="1" applyAlignment="1">
      <alignment horizontal="center" vertical="center"/>
    </xf>
    <xf numFmtId="0" fontId="6" fillId="4" borderId="23" xfId="0" applyFont="1" applyFill="1" applyBorder="1" applyAlignment="1" applyProtection="1">
      <alignment horizontal="center" vertical="center" wrapText="1"/>
      <protection hidden="1"/>
    </xf>
    <xf numFmtId="0" fontId="6" fillId="4" borderId="24" xfId="0" applyFont="1" applyFill="1" applyBorder="1" applyAlignment="1" applyProtection="1">
      <alignment horizontal="center" vertical="center" wrapText="1"/>
      <protection hidden="1"/>
    </xf>
    <xf numFmtId="0" fontId="6" fillId="4" borderId="11" xfId="0" applyFont="1" applyFill="1" applyBorder="1" applyAlignment="1" applyProtection="1">
      <alignment horizontal="center" vertical="center"/>
      <protection hidden="1"/>
    </xf>
    <xf numFmtId="0" fontId="17" fillId="4" borderId="3" xfId="0" applyFont="1" applyFill="1" applyBorder="1" applyAlignment="1" applyProtection="1">
      <alignment horizontal="center" vertical="center"/>
      <protection hidden="1"/>
    </xf>
    <xf numFmtId="0" fontId="17" fillId="4" borderId="4" xfId="0" applyFont="1" applyFill="1" applyBorder="1" applyAlignment="1" applyProtection="1">
      <alignment horizontal="center" vertical="center"/>
      <protection hidden="1"/>
    </xf>
    <xf numFmtId="0" fontId="6" fillId="4" borderId="2" xfId="0" applyFont="1" applyFill="1" applyBorder="1" applyAlignment="1" applyProtection="1">
      <alignment horizontal="center" vertical="center"/>
      <protection hidden="1"/>
    </xf>
    <xf numFmtId="0" fontId="5" fillId="4" borderId="3" xfId="0" applyFont="1" applyFill="1" applyBorder="1" applyAlignment="1" applyProtection="1">
      <alignment horizontal="center" vertical="center"/>
      <protection hidden="1"/>
    </xf>
    <xf numFmtId="0" fontId="18" fillId="4" borderId="2" xfId="0" applyFont="1" applyFill="1" applyBorder="1" applyAlignment="1" applyProtection="1">
      <alignment horizontal="center" vertical="center" wrapText="1"/>
      <protection hidden="1"/>
    </xf>
    <xf numFmtId="0" fontId="18" fillId="4" borderId="15" xfId="0" applyFont="1" applyFill="1" applyBorder="1" applyAlignment="1" applyProtection="1">
      <alignment horizontal="center" vertical="center" wrapText="1"/>
      <protection hidden="1"/>
    </xf>
    <xf numFmtId="0" fontId="18" fillId="4" borderId="11" xfId="0" applyFont="1" applyFill="1" applyBorder="1" applyAlignment="1" applyProtection="1">
      <alignment horizontal="center" vertical="center"/>
      <protection hidden="1"/>
    </xf>
    <xf numFmtId="0" fontId="18" fillId="4" borderId="1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8E313219-0AA6-411C-8992-94E9429BF451}"/>
  </cellStyles>
  <dxfs count="6">
    <dxf>
      <fill>
        <patternFill>
          <bgColor rgb="FFC0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</xdr:colOff>
      <xdr:row>11</xdr:row>
      <xdr:rowOff>132565</xdr:rowOff>
    </xdr:from>
    <xdr:to>
      <xdr:col>2</xdr:col>
      <xdr:colOff>524770</xdr:colOff>
      <xdr:row>13</xdr:row>
      <xdr:rowOff>507737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347382" y="1858271"/>
          <a:ext cx="1354006" cy="7897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580094" y="224117"/>
          <a:ext cx="1264024" cy="1479176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 refreshError="1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 refreshError="1"/>
      <sheetData sheetId="1" refreshError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 refreshError="1">
        <row r="2">
          <cell r="B2">
            <v>1112223335</v>
          </cell>
        </row>
        <row r="45">
          <cell r="D45" t="str">
            <v>Vieira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 refreshError="1"/>
      <sheetData sheetId="5">
        <row r="5">
          <cell r="D5" t="str">
            <v>Poste de aço para desvio de ramal (pontalete) até 7 metros de altura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XFC515"/>
  <sheetViews>
    <sheetView tabSelected="1" zoomScaleNormal="100" workbookViewId="0">
      <pane ySplit="14" topLeftCell="A15" activePane="bottomLeft" state="frozen"/>
      <selection pane="bottomLeft" activeCell="B4" sqref="B4"/>
    </sheetView>
  </sheetViews>
  <sheetFormatPr defaultColWidth="0" defaultRowHeight="0" customHeight="1" zeroHeight="1" x14ac:dyDescent="0.25"/>
  <cols>
    <col min="1" max="1" width="2.5703125" style="3" customWidth="1"/>
    <col min="2" max="2" width="13" style="3" customWidth="1"/>
    <col min="3" max="3" width="9.28515625" style="3" customWidth="1"/>
    <col min="4" max="4" width="4.140625" style="29" customWidth="1"/>
    <col min="5" max="5" width="12.85546875" style="3" customWidth="1"/>
    <col min="6" max="6" width="13.7109375" style="3" bestFit="1" customWidth="1"/>
    <col min="7" max="7" width="9.140625" style="3" customWidth="1"/>
    <col min="8" max="8" width="11.85546875" style="3" customWidth="1"/>
    <col min="9" max="9" width="10.85546875" style="3" bestFit="1" customWidth="1"/>
    <col min="10" max="10" width="10" style="3" customWidth="1"/>
    <col min="11" max="11" width="9" style="3" customWidth="1"/>
    <col min="12" max="12" width="14" style="3" customWidth="1"/>
    <col min="13" max="15" width="11.140625" style="3" bestFit="1" customWidth="1"/>
    <col min="16" max="16" width="7.7109375" style="3" customWidth="1"/>
    <col min="17" max="17" width="10.5703125" style="3" customWidth="1"/>
    <col min="18" max="18" width="21.140625" style="3" bestFit="1" customWidth="1"/>
    <col min="19" max="19" width="9.7109375" style="3" bestFit="1" customWidth="1"/>
    <col min="20" max="20" width="9.7109375" style="3" customWidth="1"/>
    <col min="21" max="57" width="9.7109375" style="3" hidden="1" customWidth="1"/>
    <col min="58" max="59" width="4.28515625" style="3" hidden="1" customWidth="1"/>
    <col min="60" max="16383" width="0" style="3" hidden="1"/>
    <col min="16384" max="16384" width="5.140625" style="3" hidden="1" customWidth="1"/>
  </cols>
  <sheetData>
    <row r="1" spans="1:37" ht="15.75" customHeight="1" thickBot="1" x14ac:dyDescent="0.3">
      <c r="A1" s="3" t="str">
        <f>_xlfn.CONCAT(AK15:AK514)</f>
        <v xml:space="preserve">send, E0 1  11600809654E0904502600220{enter}{enter}
send, E0 V1 0000901002600440{enter}{enter}
send, V1 E0 216020{enter}
send, V1 2  11600804011D0912202600440{enter}{enter}
send, V1 TR 0090912002600880{enter}{enter}
</v>
      </c>
      <c r="E1" s="3" t="str">
        <f>IF(LEN(V13)=3,V13,IF(LEN(V13)=2,_xlfn.CONCAT("0",V13),_xlfn.CONCAT("00",V13)))</f>
        <v>005</v>
      </c>
      <c r="J1" s="3" t="str">
        <f>_xlfn.CONCAT(D15:D34)</f>
        <v xml:space="preserve">^+G::
send, RRRCCG{enter}500{enter}dwild{enter}24456789005{enter}
send, E0 1  11600809654E0904502600220{enter}{enter}
send, E0 V1 0000901002600440{enter}{enter}
send, V1 E0 216020{enter}
send, V1 2  11600804011D0912202600440{enter}{enter}
send, V1 TR 0090912002600880{enter}{enter}
return
^+A::
send, RRRCCP244567894M{enter}{enter}
return
^+B::
send, RRRCM24456789T1FS4M{enter}{enter}
return
^+C::
send, RRRCP244567891FS4M{enter}{enter}
return
^+V::
send, RRRTF24456789{enter}{enter}
return
^Q::
send, RRRCCG{enter}500{enter}dwild{enter}24456789005{enter}
send, E0 1  11600809654E0904502600220{enter}{enter}
send, E0 V1 0000901002600440{enter}{enter}
send, V1 E0 216020{enter}
send, V1 2  11600804011D0912202600440{enter}{enter}
send, V1 TR 0090912002600880{enter}{enter}
send, RRRCCP244567894M{enter}{enter}
send, RRRCM24456789T1FS4M{enter}{enter}
send, RRRCP244567891FS4M{enter}{enter}
send, RRRTF24456789{enter}{enter}
return
^+L::
send, RRRLL6562024456789Td1124456789OG{enter}1013.8CAA034010N{enter}{enter}09654ED11300D11300u1{enter}u3{enter}0202A120{enter}123456789{enter}N
return
^W::
send, RRRLL6562024456789Td1124456789OG{enter}1013.8CAA034010N{enter}{enter}09654ED11300D11300u1{enter}u3{enter}0202A120{enter}123456789{enter}N
return
^+T::
send, RRRLETTR456789SI4M1S{enter}S
return
^+M::
send, RRRLMATR456789I4M{enter}
return
^R::
send, RRRLETTR456789SI4M1S{enter}S
send, RRRLMATR456789I4M{enter}
return
</v>
      </c>
      <c r="K1" s="3" t="e">
        <f>_xlfn.CONCAT("
",#REF!,"
")</f>
        <v>#REF!</v>
      </c>
    </row>
    <row r="2" spans="1:37" ht="15" customHeight="1" thickTop="1" thickBot="1" x14ac:dyDescent="0.3">
      <c r="B2" s="40" t="s">
        <v>0</v>
      </c>
      <c r="C2" s="40" t="s">
        <v>62</v>
      </c>
      <c r="E2" s="43" t="s">
        <v>78</v>
      </c>
      <c r="G2" s="40" t="s">
        <v>1</v>
      </c>
      <c r="H2" s="40" t="s">
        <v>2</v>
      </c>
      <c r="I2" s="40" t="s">
        <v>3</v>
      </c>
      <c r="N2" s="40" t="s">
        <v>4</v>
      </c>
      <c r="O2" s="40" t="s">
        <v>5</v>
      </c>
      <c r="P2" s="40" t="s">
        <v>6</v>
      </c>
      <c r="Q2" s="40" t="s">
        <v>74</v>
      </c>
      <c r="R2" s="40" t="s">
        <v>7</v>
      </c>
      <c r="T2" s="3" t="s">
        <v>8</v>
      </c>
    </row>
    <row r="3" spans="1:37" ht="15" hidden="1" customHeight="1" thickBot="1" x14ac:dyDescent="0.3">
      <c r="B3" s="30" t="str">
        <f>RIGHT(B4,6)</f>
        <v>456789</v>
      </c>
      <c r="C3" s="31" t="str">
        <f>RIGHT(C4,2)</f>
        <v>24</v>
      </c>
      <c r="E3" s="44"/>
      <c r="G3" s="30">
        <f>IF(LEN(G4)=3,G4,IF(LEN(G4)=2,_xlfn.CONCAT("0",G4),_xlfn.CONCAT("00",G4)))</f>
        <v>656</v>
      </c>
      <c r="I3" s="31">
        <f>IF(LEN(I4)=2,I4,IF(LEN(I4)=1,_xlfn.CONCAT("0",I4),_xlfn.CONCAT("11")))</f>
        <v>11</v>
      </c>
      <c r="N3" s="30">
        <f>IF(N4&gt;3,3,IF(N4&lt;1,1,N4))</f>
        <v>1</v>
      </c>
      <c r="O3" s="3" t="str">
        <f>_xlfn.CONCAT("0",LEFT(O4,2),".",RIGHT(O4,1))</f>
        <v>013.8</v>
      </c>
      <c r="P3" s="3" t="str">
        <f>IF(LEN(P4)=3,P4,IF(LEN(P4)=2,_xlfn.CONCAT("0",P4),_xlfn.CONCAT("00",P4)))</f>
        <v>034</v>
      </c>
      <c r="Q3" s="3" t="str">
        <f>IF(Q4="C","C",IF(Q4="T","T","N"))</f>
        <v>N</v>
      </c>
      <c r="R3" s="31" t="str">
        <f>IF(LEN(R4)=3,R4,IF(LEN(R4)=2,_xlfn.CONCAT("0",R4),_xlfn.CONCAT("00",R4)))</f>
        <v>010</v>
      </c>
      <c r="T3" s="3" t="str">
        <f>IF(T4="N",_xlfn.CONCAT(A9,A9,"E"),"N")</f>
        <v>N</v>
      </c>
    </row>
    <row r="4" spans="1:37" ht="15.75" customHeight="1" thickBot="1" x14ac:dyDescent="0.3">
      <c r="B4" s="37">
        <v>123456789</v>
      </c>
      <c r="C4" s="37">
        <v>2024</v>
      </c>
      <c r="E4" s="44"/>
      <c r="G4" s="37">
        <v>656</v>
      </c>
      <c r="H4" s="37" t="s">
        <v>84</v>
      </c>
      <c r="I4" s="37">
        <v>11</v>
      </c>
      <c r="N4" s="37">
        <v>1</v>
      </c>
      <c r="O4" s="37" t="s">
        <v>10</v>
      </c>
      <c r="P4" s="37">
        <v>34</v>
      </c>
      <c r="Q4" s="37">
        <v>170</v>
      </c>
      <c r="R4" s="37">
        <v>10</v>
      </c>
      <c r="T4" s="3" t="s">
        <v>58</v>
      </c>
    </row>
    <row r="5" spans="1:37" ht="15" customHeight="1" thickBot="1" x14ac:dyDescent="0.3">
      <c r="E5" s="42" t="str">
        <f>RIGHT(B4,6)</f>
        <v>456789</v>
      </c>
    </row>
    <row r="6" spans="1:37" ht="17.25" thickTop="1" thickBot="1" x14ac:dyDescent="0.3">
      <c r="B6" s="3" t="str">
        <f>B3</f>
        <v>456789</v>
      </c>
      <c r="C6" s="3" t="str">
        <f>C3</f>
        <v>24</v>
      </c>
      <c r="F6" s="32"/>
      <c r="G6" s="40" t="s">
        <v>11</v>
      </c>
      <c r="H6" s="40" t="s">
        <v>12</v>
      </c>
      <c r="I6" s="40" t="s">
        <v>13</v>
      </c>
      <c r="M6" s="52" t="s">
        <v>17</v>
      </c>
      <c r="N6" s="40" t="s">
        <v>14</v>
      </c>
      <c r="O6" s="40" t="s">
        <v>15</v>
      </c>
      <c r="Q6" s="50" t="s">
        <v>59</v>
      </c>
      <c r="R6" s="41" t="s">
        <v>21</v>
      </c>
      <c r="S6" s="40" t="s">
        <v>20</v>
      </c>
      <c r="U6" s="3" t="s">
        <v>75</v>
      </c>
    </row>
    <row r="7" spans="1:37" ht="16.5" thickBot="1" x14ac:dyDescent="0.3">
      <c r="F7" s="40" t="s">
        <v>16</v>
      </c>
      <c r="G7" s="37" t="s">
        <v>84</v>
      </c>
      <c r="H7" s="37">
        <v>11</v>
      </c>
      <c r="I7" s="37">
        <v>300</v>
      </c>
      <c r="M7" s="53"/>
      <c r="N7" s="39" t="s">
        <v>85</v>
      </c>
      <c r="O7" s="39" t="s">
        <v>86</v>
      </c>
      <c r="Q7" s="51"/>
      <c r="R7" s="39">
        <v>2</v>
      </c>
      <c r="S7" s="39">
        <v>2</v>
      </c>
      <c r="U7" s="3" t="str">
        <f>IF(AE15="",_xlfn.CONCAT(AJ14,AJ14),_xlfn.CONCAT(AC15,AD15,AE15))</f>
        <v>09654E</v>
      </c>
    </row>
    <row r="8" spans="1:37" ht="15.75" hidden="1" thickBot="1" x14ac:dyDescent="0.3">
      <c r="A8" s="3" t="str">
        <f>"send, "</f>
        <v xml:space="preserve">send, </v>
      </c>
      <c r="F8" s="36"/>
      <c r="G8" s="33" t="str">
        <f>IF(G7="C","C",IF(G7="M","M","D"))</f>
        <v>D</v>
      </c>
      <c r="H8" s="34">
        <f>IF(LEN(H7)=2,H7,IF(LEN(H7)=1,_xlfn.CONCAT("0",H7),_xlfn.CONCAT("11")))</f>
        <v>11</v>
      </c>
      <c r="I8" s="35">
        <f>IF(I7=600,I7,IF(I7=150,150,300))</f>
        <v>300</v>
      </c>
      <c r="N8" s="3" t="str">
        <f>_xlfn.CONCAT(LEFT(N7,2),$A$9)</f>
        <v>u1{enter}</v>
      </c>
      <c r="O8" s="3" t="str">
        <f>_xlfn.CONCAT(LEFT(O7,2),$A$9)</f>
        <v>u3{enter}</v>
      </c>
      <c r="P8" s="3">
        <v>21</v>
      </c>
      <c r="R8" s="3" t="str">
        <f>IF(LEN(R7)=2,R7,_xlfn.CONCAT("0",R7))</f>
        <v>02</v>
      </c>
      <c r="S8" s="3" t="str">
        <f>IF(LEN(S7)=2,S7,_xlfn.CONCAT("0",S7))</f>
        <v>02</v>
      </c>
    </row>
    <row r="9" spans="1:37" ht="16.5" thickBot="1" x14ac:dyDescent="0.3">
      <c r="A9" s="3" t="s">
        <v>18</v>
      </c>
      <c r="F9" s="40" t="s">
        <v>19</v>
      </c>
      <c r="G9" s="37" t="s">
        <v>84</v>
      </c>
      <c r="H9" s="37">
        <v>11</v>
      </c>
      <c r="I9" s="38">
        <v>300</v>
      </c>
      <c r="P9" s="3">
        <v>34</v>
      </c>
      <c r="Q9" s="3">
        <v>95</v>
      </c>
    </row>
    <row r="10" spans="1:37" ht="15" x14ac:dyDescent="0.25">
      <c r="G10" s="3" t="str">
        <f>IF(G9="C","C",IF(G9="M","M","D"))</f>
        <v>D</v>
      </c>
      <c r="H10" s="3">
        <f>IF(LEN(H9)=2,H9,IF(LEN(H9)=1,_xlfn.CONCAT("0",H9),_xlfn.CONCAT("11")))</f>
        <v>11</v>
      </c>
      <c r="I10" s="3">
        <f>IF(I9=600,I9,IF(I9=150,150,300))</f>
        <v>300</v>
      </c>
      <c r="O10" s="3" t="s">
        <v>10</v>
      </c>
      <c r="P10" s="3">
        <v>53</v>
      </c>
      <c r="Q10" s="3">
        <v>170</v>
      </c>
    </row>
    <row r="11" spans="1:37" ht="15" customHeight="1" x14ac:dyDescent="0.25">
      <c r="L11" s="3" t="s">
        <v>9</v>
      </c>
      <c r="N11" s="3">
        <v>1</v>
      </c>
      <c r="O11" s="3" t="s">
        <v>60</v>
      </c>
      <c r="P11" s="3">
        <v>107</v>
      </c>
      <c r="Q11" s="3">
        <v>300</v>
      </c>
    </row>
    <row r="12" spans="1:37" ht="15.75" customHeight="1" thickBot="1" x14ac:dyDescent="0.3">
      <c r="K12" s="11" t="s">
        <v>80</v>
      </c>
      <c r="L12" s="3" t="s">
        <v>76</v>
      </c>
      <c r="N12" s="3">
        <v>3</v>
      </c>
      <c r="O12" s="3" t="s">
        <v>61</v>
      </c>
      <c r="P12" s="3">
        <v>170</v>
      </c>
      <c r="Q12" s="3" t="str">
        <f>IF(Q4=95,"C",IF(Q4=300,"T","N"))</f>
        <v>N</v>
      </c>
    </row>
    <row r="13" spans="1:37" ht="16.5" customHeight="1" thickBot="1" x14ac:dyDescent="0.3">
      <c r="C13" s="3" t="s">
        <v>22</v>
      </c>
      <c r="D13" s="29" t="s">
        <v>23</v>
      </c>
      <c r="E13" s="48"/>
      <c r="F13" s="49"/>
      <c r="G13" s="49"/>
      <c r="H13" s="49"/>
      <c r="I13" s="49"/>
      <c r="J13" s="45" t="s">
        <v>24</v>
      </c>
      <c r="K13" s="46"/>
      <c r="L13" s="47"/>
      <c r="M13" s="45" t="s">
        <v>25</v>
      </c>
      <c r="N13" s="47"/>
      <c r="O13" s="45" t="s">
        <v>26</v>
      </c>
      <c r="P13" s="46"/>
      <c r="Q13" s="47"/>
      <c r="R13" s="5"/>
      <c r="S13" s="4"/>
      <c r="V13" s="3">
        <f>SUM(V15:V514)</f>
        <v>5</v>
      </c>
    </row>
    <row r="14" spans="1:37" ht="48" customHeight="1" x14ac:dyDescent="0.25">
      <c r="E14" s="6" t="s">
        <v>27</v>
      </c>
      <c r="F14" s="7" t="s">
        <v>28</v>
      </c>
      <c r="G14" s="7" t="s">
        <v>29</v>
      </c>
      <c r="H14" s="7" t="s">
        <v>79</v>
      </c>
      <c r="I14" s="8" t="s">
        <v>30</v>
      </c>
      <c r="J14" s="6" t="s">
        <v>31</v>
      </c>
      <c r="K14" s="7" t="s">
        <v>32</v>
      </c>
      <c r="L14" s="9" t="s">
        <v>33</v>
      </c>
      <c r="M14" s="6" t="s">
        <v>31</v>
      </c>
      <c r="N14" s="9" t="s">
        <v>32</v>
      </c>
      <c r="O14" s="6" t="s">
        <v>34</v>
      </c>
      <c r="P14" s="7" t="s">
        <v>35</v>
      </c>
      <c r="Q14" s="9" t="s">
        <v>36</v>
      </c>
      <c r="R14" s="10" t="s">
        <v>37</v>
      </c>
      <c r="S14" s="9" t="s">
        <v>38</v>
      </c>
      <c r="T14" s="29"/>
      <c r="U14" s="29"/>
      <c r="V14" s="29" t="s">
        <v>39</v>
      </c>
      <c r="W14" s="29"/>
      <c r="X14" s="29" t="s">
        <v>40</v>
      </c>
      <c r="Y14" s="29" t="s">
        <v>41</v>
      </c>
      <c r="Z14" s="29" t="s">
        <v>42</v>
      </c>
      <c r="AA14" s="29" t="s">
        <v>43</v>
      </c>
      <c r="AB14" s="29" t="s">
        <v>63</v>
      </c>
      <c r="AC14" s="29" t="s">
        <v>64</v>
      </c>
      <c r="AD14" s="29"/>
      <c r="AE14" s="29"/>
      <c r="AF14" s="29" t="s">
        <v>65</v>
      </c>
      <c r="AG14" s="29"/>
      <c r="AH14" s="29" t="s">
        <v>35</v>
      </c>
      <c r="AI14" s="29" t="s">
        <v>66</v>
      </c>
      <c r="AJ14" s="29" t="str">
        <f>A9</f>
        <v>{enter}</v>
      </c>
      <c r="AK14" s="29" t="s">
        <v>44</v>
      </c>
    </row>
    <row r="15" spans="1:37" ht="15" customHeight="1" x14ac:dyDescent="0.25">
      <c r="A15" s="3" t="s">
        <v>45</v>
      </c>
      <c r="B15" s="3" t="s">
        <v>77</v>
      </c>
      <c r="C15" s="3" t="str">
        <f>_xlfn.CONCAT($A$8,"RRR",A15,A9,"500",A9,"dwild",A9,$C$3,$B$3,DADOS!E1,A9,"
",DADOS!A1)</f>
        <v xml:space="preserve">send, RRRCCG{enter}500{enter}dwild{enter}24456789005{enter}
send, E0 1  11600809654E0904502600220{enter}{enter}
send, E0 V1 0000901002600440{enter}{enter}
send, V1 E0 216020{enter}
send, V1 2  11600804011D0912202600440{enter}{enter}
send, V1 TR 0090912002600880{enter}{enter}
</v>
      </c>
      <c r="D15" s="29" t="str">
        <f>_xlfn.CONCAT("^+",B15,"::
",C15,"
return","
")</f>
        <v xml:space="preserve">^+G::
send, RRRCCG{enter}500{enter}dwild{enter}24456789005{enter}
send, E0 1  11600809654E0904502600220{enter}{enter}
send, E0 V1 0000901002600440{enter}{enter}
send, V1 E0 216020{enter}
send, V1 2  11600804011D0912202600440{enter}{enter}
send, V1 TR 0090912002600880{enter}{enter}
return
</v>
      </c>
      <c r="E15" s="12" t="s">
        <v>81</v>
      </c>
      <c r="F15" s="12">
        <v>1</v>
      </c>
      <c r="G15" s="12">
        <v>1</v>
      </c>
      <c r="H15" s="12">
        <v>160</v>
      </c>
      <c r="I15" s="13">
        <v>8</v>
      </c>
      <c r="J15" s="14">
        <v>96</v>
      </c>
      <c r="K15" s="12">
        <v>54</v>
      </c>
      <c r="L15" s="15" t="s">
        <v>76</v>
      </c>
      <c r="M15" s="16">
        <v>90</v>
      </c>
      <c r="N15" s="15">
        <v>45</v>
      </c>
      <c r="O15" s="16"/>
      <c r="P15" s="17">
        <v>2600</v>
      </c>
      <c r="Q15" s="15"/>
      <c r="R15" s="18">
        <v>22</v>
      </c>
      <c r="S15" s="19">
        <v>1</v>
      </c>
      <c r="V15" s="3">
        <f t="shared" ref="V15:V78" si="0">IF(E15="",0,1)</f>
        <v>1</v>
      </c>
      <c r="X15" s="3" t="str">
        <f t="shared" ref="X15:X78" si="1">_xlfn.CONCAT(E15,IF(LEN(E15)=1,"  ",IF(LEN(E15)=2," ","")))</f>
        <v xml:space="preserve">E0 </v>
      </c>
      <c r="Y15" s="3" t="str">
        <f t="shared" ref="Y15:Y78" si="2">_xlfn.CONCAT(F15,IF(LEN(F15)=1,"  ",IF(LEN(F15)=2," ","")))</f>
        <v xml:space="preserve">1  </v>
      </c>
      <c r="Z15" s="3">
        <f t="shared" ref="Z15:Z78" si="3">IF(V15=0,"",G15)</f>
        <v>1</v>
      </c>
      <c r="AA15" s="3">
        <f>IF(OR(G15=0,G15=4),"",H15)</f>
        <v>160</v>
      </c>
      <c r="AB15" s="3" t="str">
        <f t="shared" ref="AB15:AB78" si="4">IF(V15=0,"",IF(LEN(I15)=1,_xlfn.CONCAT(0,I15),I15))</f>
        <v>08</v>
      </c>
      <c r="AC15" s="3" t="str">
        <f t="shared" ref="AC15:AC78" si="5">IF(I15=20,"",(IF(I15=8,IF(LEN(J15)=1,_xlfn.CONCAT("00",J15),IF(LEN(J15)=2,_xlfn.CONCAT("0",J15),J15)),"")))</f>
        <v>096</v>
      </c>
      <c r="AD15" s="3">
        <f t="shared" ref="AD15:AD78" si="6">IF(I15=20,"",IF(I15=8,IF(LEN(K15)=1,_xlfn.CONCAT(0,K15),K15),""))</f>
        <v>54</v>
      </c>
      <c r="AE15" s="3" t="str">
        <f t="shared" ref="AE15:AE78" si="7">IF(I15=8,L15,"")</f>
        <v>E</v>
      </c>
      <c r="AF15" s="3" t="str">
        <f t="shared" ref="AF15:AF78" si="8">IF(V15=0,"",IF($I15=20,"",IF(LEN(M15)=1,_xlfn.CONCAT("00",M15),IF(LEN(M15)=2,_xlfn.CONCAT("0",M15),M15))))</f>
        <v>090</v>
      </c>
      <c r="AG15" s="3">
        <f t="shared" ref="AG15:AG78" si="9">IF(V15=0,"",IF($I15=20,"",IF(LEN(N15)=1,_xlfn.CONCAT(0,N15),N15)))</f>
        <v>45</v>
      </c>
      <c r="AH15" s="3" t="str">
        <f t="shared" ref="AH15:AH78" si="10">IF(V15=0,"",IF($I15=20,"",IF(LEN(P15)=3,_xlfn.CONCAT("00",P15),_xlfn.CONCAT("0",P15))))</f>
        <v>02600</v>
      </c>
      <c r="AI15" s="3" t="str">
        <f t="shared" ref="AI15:AI78" si="11">IF(V15=0,"",IF(I15=20,"",_xlfn.CONCAT(R15,"0",$AJ$14)))</f>
        <v>220{enter}</v>
      </c>
      <c r="AJ15" s="3" t="str">
        <f t="shared" ref="AJ15:AJ78" si="12">IF(V15=0,"",IF(LEN(R15)&lt;4,$AJ$14,""))</f>
        <v>{enter}</v>
      </c>
      <c r="AK15" s="3" t="str">
        <f>IF(V15=0,"",_xlfn.CONCAT(DADOS!$A$8,X15:AJ15,"
"))</f>
        <v xml:space="preserve">send, E0 1  11600809654E0904502600220{enter}{enter}
</v>
      </c>
    </row>
    <row r="16" spans="1:37" ht="15" customHeight="1" x14ac:dyDescent="0.25">
      <c r="E16" s="12" t="s">
        <v>81</v>
      </c>
      <c r="F16" s="12" t="s">
        <v>82</v>
      </c>
      <c r="G16" s="12">
        <v>0</v>
      </c>
      <c r="H16" s="12">
        <v>160</v>
      </c>
      <c r="I16" s="13">
        <v>0</v>
      </c>
      <c r="J16" s="14"/>
      <c r="K16" s="12"/>
      <c r="L16" s="15"/>
      <c r="M16" s="16">
        <v>90</v>
      </c>
      <c r="N16" s="15">
        <v>10</v>
      </c>
      <c r="O16" s="16"/>
      <c r="P16" s="17">
        <v>2600</v>
      </c>
      <c r="Q16" s="15"/>
      <c r="R16" s="18">
        <v>44</v>
      </c>
      <c r="S16" s="20">
        <v>2</v>
      </c>
      <c r="V16" s="3">
        <f t="shared" si="0"/>
        <v>1</v>
      </c>
      <c r="X16" s="3" t="str">
        <f t="shared" si="1"/>
        <v xml:space="preserve">E0 </v>
      </c>
      <c r="Y16" s="3" t="str">
        <f t="shared" si="2"/>
        <v xml:space="preserve">V1 </v>
      </c>
      <c r="Z16" s="3">
        <f t="shared" si="3"/>
        <v>0</v>
      </c>
      <c r="AA16" s="3" t="str">
        <f t="shared" ref="AA16:AA79" si="13">IF(OR(G16=0,G16=4),"",H16)</f>
        <v/>
      </c>
      <c r="AB16" s="3" t="str">
        <f t="shared" si="4"/>
        <v>00</v>
      </c>
      <c r="AC16" s="3" t="str">
        <f t="shared" si="5"/>
        <v/>
      </c>
      <c r="AD16" s="3" t="str">
        <f t="shared" si="6"/>
        <v/>
      </c>
      <c r="AE16" s="3" t="str">
        <f t="shared" si="7"/>
        <v/>
      </c>
      <c r="AF16" s="3" t="str">
        <f t="shared" si="8"/>
        <v>090</v>
      </c>
      <c r="AG16" s="3">
        <f t="shared" si="9"/>
        <v>10</v>
      </c>
      <c r="AH16" s="3" t="str">
        <f t="shared" si="10"/>
        <v>02600</v>
      </c>
      <c r="AI16" s="3" t="str">
        <f t="shared" si="11"/>
        <v>440{enter}</v>
      </c>
      <c r="AJ16" s="3" t="str">
        <f t="shared" si="12"/>
        <v>{enter}</v>
      </c>
      <c r="AK16" s="3" t="str">
        <f>IF(V16=0,"",_xlfn.CONCAT(DADOS!$A$8,X16:AJ16,"
"))</f>
        <v xml:space="preserve">send, E0 V1 0000901002600440{enter}{enter}
</v>
      </c>
    </row>
    <row r="17" spans="1:37" ht="15" customHeight="1" x14ac:dyDescent="0.25">
      <c r="A17" s="3" t="s">
        <v>46</v>
      </c>
      <c r="B17" s="3" t="s">
        <v>67</v>
      </c>
      <c r="C17" s="3" t="str">
        <f>_xlfn.CONCAT($A$8,"RRR",A17,$C$3,$B$3,"4M",A9,A9,"
")</f>
        <v xml:space="preserve">send, RRRCCP244567894M{enter}{enter}
</v>
      </c>
      <c r="D17" s="29" t="str">
        <f>_xlfn.CONCAT("^+",B17,"::
",C17,"
return","
")</f>
        <v xml:space="preserve">^+A::
send, RRRCCP244567894M{enter}{enter}
return
</v>
      </c>
      <c r="E17" s="12" t="s">
        <v>82</v>
      </c>
      <c r="F17" s="12" t="s">
        <v>81</v>
      </c>
      <c r="G17" s="12">
        <v>2</v>
      </c>
      <c r="H17" s="12">
        <v>160</v>
      </c>
      <c r="I17" s="13">
        <v>20</v>
      </c>
      <c r="J17" s="14"/>
      <c r="K17" s="12"/>
      <c r="L17" s="15"/>
      <c r="M17" s="16"/>
      <c r="N17" s="15"/>
      <c r="O17" s="16"/>
      <c r="P17" s="17"/>
      <c r="Q17" s="15"/>
      <c r="R17" s="18"/>
      <c r="S17" s="20">
        <v>3</v>
      </c>
      <c r="V17" s="3">
        <f t="shared" si="0"/>
        <v>1</v>
      </c>
      <c r="X17" s="3" t="str">
        <f t="shared" si="1"/>
        <v xml:space="preserve">V1 </v>
      </c>
      <c r="Y17" s="3" t="str">
        <f t="shared" si="2"/>
        <v xml:space="preserve">E0 </v>
      </c>
      <c r="Z17" s="3">
        <f t="shared" si="3"/>
        <v>2</v>
      </c>
      <c r="AA17" s="3">
        <f t="shared" si="13"/>
        <v>160</v>
      </c>
      <c r="AB17" s="3">
        <f t="shared" si="4"/>
        <v>20</v>
      </c>
      <c r="AC17" s="3" t="str">
        <f t="shared" si="5"/>
        <v/>
      </c>
      <c r="AD17" s="3" t="str">
        <f t="shared" si="6"/>
        <v/>
      </c>
      <c r="AE17" s="3" t="str">
        <f t="shared" si="7"/>
        <v/>
      </c>
      <c r="AF17" s="3" t="str">
        <f t="shared" si="8"/>
        <v/>
      </c>
      <c r="AG17" s="3" t="str">
        <f t="shared" si="9"/>
        <v/>
      </c>
      <c r="AH17" s="3" t="str">
        <f t="shared" si="10"/>
        <v/>
      </c>
      <c r="AI17" s="3" t="str">
        <f t="shared" si="11"/>
        <v/>
      </c>
      <c r="AJ17" s="3" t="str">
        <f t="shared" si="12"/>
        <v>{enter}</v>
      </c>
      <c r="AK17" s="3" t="str">
        <f>IF(V17=0,"",_xlfn.CONCAT(DADOS!$A$8,X17:AJ17,"
"))</f>
        <v xml:space="preserve">send, V1 E0 216020{enter}
</v>
      </c>
    </row>
    <row r="18" spans="1:37" ht="15" customHeight="1" x14ac:dyDescent="0.25">
      <c r="E18" s="12" t="s">
        <v>82</v>
      </c>
      <c r="F18" s="12">
        <v>2</v>
      </c>
      <c r="G18" s="12">
        <v>1</v>
      </c>
      <c r="H18" s="12">
        <v>160</v>
      </c>
      <c r="I18" s="13">
        <v>8</v>
      </c>
      <c r="J18" s="14">
        <v>40</v>
      </c>
      <c r="K18" s="12">
        <v>11</v>
      </c>
      <c r="L18" s="15" t="s">
        <v>9</v>
      </c>
      <c r="M18" s="16">
        <v>91</v>
      </c>
      <c r="N18" s="15">
        <v>22</v>
      </c>
      <c r="O18" s="16"/>
      <c r="P18" s="17">
        <v>2600</v>
      </c>
      <c r="Q18" s="15"/>
      <c r="R18" s="18">
        <v>44</v>
      </c>
      <c r="S18" s="20">
        <v>4</v>
      </c>
      <c r="V18" s="3">
        <f t="shared" si="0"/>
        <v>1</v>
      </c>
      <c r="X18" s="3" t="str">
        <f t="shared" si="1"/>
        <v xml:space="preserve">V1 </v>
      </c>
      <c r="Y18" s="3" t="str">
        <f t="shared" si="2"/>
        <v xml:space="preserve">2  </v>
      </c>
      <c r="Z18" s="3">
        <f t="shared" si="3"/>
        <v>1</v>
      </c>
      <c r="AA18" s="3">
        <f t="shared" si="13"/>
        <v>160</v>
      </c>
      <c r="AB18" s="3" t="str">
        <f t="shared" si="4"/>
        <v>08</v>
      </c>
      <c r="AC18" s="3" t="str">
        <f t="shared" si="5"/>
        <v>040</v>
      </c>
      <c r="AD18" s="3">
        <f t="shared" si="6"/>
        <v>11</v>
      </c>
      <c r="AE18" s="3" t="str">
        <f t="shared" si="7"/>
        <v>D</v>
      </c>
      <c r="AF18" s="3" t="str">
        <f t="shared" si="8"/>
        <v>091</v>
      </c>
      <c r="AG18" s="3">
        <f t="shared" si="9"/>
        <v>22</v>
      </c>
      <c r="AH18" s="3" t="str">
        <f t="shared" si="10"/>
        <v>02600</v>
      </c>
      <c r="AI18" s="3" t="str">
        <f t="shared" si="11"/>
        <v>440{enter}</v>
      </c>
      <c r="AJ18" s="3" t="str">
        <f t="shared" si="12"/>
        <v>{enter}</v>
      </c>
      <c r="AK18" s="3" t="str">
        <f>IF(V18=0,"",_xlfn.CONCAT(DADOS!$A$8,X18:AJ18,"
"))</f>
        <v xml:space="preserve">send, V1 2  11600804011D0912202600440{enter}{enter}
</v>
      </c>
    </row>
    <row r="19" spans="1:37" ht="15" customHeight="1" x14ac:dyDescent="0.25">
      <c r="A19" s="3" t="s">
        <v>47</v>
      </c>
      <c r="B19" s="3" t="s">
        <v>68</v>
      </c>
      <c r="C19" s="3" t="str">
        <f>_xlfn.CONCAT($A$8,"RRR",A19,$C$3,$B$3,"T1FS4M",A9,A9,"
")</f>
        <v xml:space="preserve">send, RRRCM24456789T1FS4M{enter}{enter}
</v>
      </c>
      <c r="D19" s="29" t="str">
        <f>_xlfn.CONCAT("^+",B19,"::
",C19,"
return","
")</f>
        <v xml:space="preserve">^+B::
send, RRRCM24456789T1FS4M{enter}{enter}
return
</v>
      </c>
      <c r="E19" s="12" t="s">
        <v>82</v>
      </c>
      <c r="F19" s="12" t="s">
        <v>83</v>
      </c>
      <c r="G19" s="12">
        <v>0</v>
      </c>
      <c r="H19" s="12">
        <v>160</v>
      </c>
      <c r="I19" s="13">
        <v>9</v>
      </c>
      <c r="J19" s="14"/>
      <c r="K19" s="12"/>
      <c r="L19" s="15"/>
      <c r="M19" s="16">
        <v>91</v>
      </c>
      <c r="N19" s="15">
        <v>20</v>
      </c>
      <c r="O19" s="16"/>
      <c r="P19" s="17">
        <v>2600</v>
      </c>
      <c r="Q19" s="15"/>
      <c r="R19" s="18">
        <v>88</v>
      </c>
      <c r="S19" s="20">
        <v>5</v>
      </c>
      <c r="V19" s="3">
        <f t="shared" si="0"/>
        <v>1</v>
      </c>
      <c r="X19" s="3" t="str">
        <f t="shared" si="1"/>
        <v xml:space="preserve">V1 </v>
      </c>
      <c r="Y19" s="3" t="str">
        <f t="shared" si="2"/>
        <v xml:space="preserve">TR </v>
      </c>
      <c r="Z19" s="3">
        <f t="shared" si="3"/>
        <v>0</v>
      </c>
      <c r="AA19" s="3" t="str">
        <f t="shared" si="13"/>
        <v/>
      </c>
      <c r="AB19" s="3" t="str">
        <f t="shared" si="4"/>
        <v>09</v>
      </c>
      <c r="AC19" s="3" t="str">
        <f t="shared" si="5"/>
        <v/>
      </c>
      <c r="AD19" s="3" t="str">
        <f t="shared" si="6"/>
        <v/>
      </c>
      <c r="AE19" s="3" t="str">
        <f t="shared" si="7"/>
        <v/>
      </c>
      <c r="AF19" s="3" t="str">
        <f t="shared" si="8"/>
        <v>091</v>
      </c>
      <c r="AG19" s="3">
        <f t="shared" si="9"/>
        <v>20</v>
      </c>
      <c r="AH19" s="3" t="str">
        <f t="shared" si="10"/>
        <v>02600</v>
      </c>
      <c r="AI19" s="3" t="str">
        <f t="shared" si="11"/>
        <v>880{enter}</v>
      </c>
      <c r="AJ19" s="3" t="str">
        <f t="shared" si="12"/>
        <v>{enter}</v>
      </c>
      <c r="AK19" s="3" t="str">
        <f>IF(V19=0,"",_xlfn.CONCAT(DADOS!$A$8,X19:AJ19,"
"))</f>
        <v xml:space="preserve">send, V1 TR 0090912002600880{enter}{enter}
</v>
      </c>
    </row>
    <row r="20" spans="1:37" ht="15" customHeight="1" x14ac:dyDescent="0.25">
      <c r="E20" s="12"/>
      <c r="F20" s="12"/>
      <c r="G20" s="12"/>
      <c r="H20" s="12"/>
      <c r="I20" s="13"/>
      <c r="J20" s="14"/>
      <c r="K20" s="12"/>
      <c r="L20" s="15"/>
      <c r="M20" s="16"/>
      <c r="N20" s="15"/>
      <c r="O20" s="16"/>
      <c r="P20" s="17"/>
      <c r="Q20" s="15"/>
      <c r="R20" s="18"/>
      <c r="S20" s="20">
        <v>6</v>
      </c>
      <c r="V20" s="3">
        <f t="shared" si="0"/>
        <v>0</v>
      </c>
      <c r="X20" s="3" t="str">
        <f t="shared" si="1"/>
        <v/>
      </c>
      <c r="Y20" s="3" t="str">
        <f t="shared" si="2"/>
        <v/>
      </c>
      <c r="Z20" s="3" t="str">
        <f t="shared" si="3"/>
        <v/>
      </c>
      <c r="AA20" s="3" t="str">
        <f t="shared" si="13"/>
        <v/>
      </c>
      <c r="AB20" s="3" t="str">
        <f t="shared" si="4"/>
        <v/>
      </c>
      <c r="AC20" s="3" t="str">
        <f t="shared" si="5"/>
        <v/>
      </c>
      <c r="AD20" s="3" t="str">
        <f t="shared" si="6"/>
        <v/>
      </c>
      <c r="AE20" s="3" t="str">
        <f t="shared" si="7"/>
        <v/>
      </c>
      <c r="AF20" s="3" t="str">
        <f t="shared" si="8"/>
        <v/>
      </c>
      <c r="AG20" s="3" t="str">
        <f t="shared" si="9"/>
        <v/>
      </c>
      <c r="AH20" s="3" t="str">
        <f t="shared" si="10"/>
        <v/>
      </c>
      <c r="AI20" s="3" t="str">
        <f t="shared" si="11"/>
        <v/>
      </c>
      <c r="AJ20" s="3" t="str">
        <f t="shared" si="12"/>
        <v/>
      </c>
      <c r="AK20" s="3" t="str">
        <f>IF(V20=0,"",_xlfn.CONCAT(DADOS!$A$8,X20:AJ20,"
"))</f>
        <v/>
      </c>
    </row>
    <row r="21" spans="1:37" ht="15" customHeight="1" x14ac:dyDescent="0.25">
      <c r="A21" s="3" t="s">
        <v>48</v>
      </c>
      <c r="B21" s="3" t="s">
        <v>69</v>
      </c>
      <c r="C21" s="3" t="str">
        <f>_xlfn.CONCAT($A$8,"RRR",A21,$C$3,$B$3,"1FS4M",A9,A9,"
")</f>
        <v xml:space="preserve">send, RRRCP244567891FS4M{enter}{enter}
</v>
      </c>
      <c r="D21" s="29" t="str">
        <f>_xlfn.CONCAT("^+",B21,"::
",C21,"
return","
")</f>
        <v xml:space="preserve">^+C::
send, RRRCP244567891FS4M{enter}{enter}
return
</v>
      </c>
      <c r="E21" s="12"/>
      <c r="F21" s="21"/>
      <c r="G21" s="12"/>
      <c r="H21" s="12"/>
      <c r="I21" s="13"/>
      <c r="J21" s="14"/>
      <c r="K21" s="12"/>
      <c r="L21" s="15"/>
      <c r="M21" s="16"/>
      <c r="N21" s="15"/>
      <c r="O21" s="16"/>
      <c r="P21" s="17"/>
      <c r="Q21" s="15"/>
      <c r="R21" s="18"/>
      <c r="S21" s="20">
        <v>7</v>
      </c>
      <c r="V21" s="3">
        <f t="shared" si="0"/>
        <v>0</v>
      </c>
      <c r="X21" s="3" t="str">
        <f t="shared" si="1"/>
        <v/>
      </c>
      <c r="Y21" s="3" t="str">
        <f t="shared" si="2"/>
        <v/>
      </c>
      <c r="Z21" s="3" t="str">
        <f t="shared" si="3"/>
        <v/>
      </c>
      <c r="AA21" s="3" t="str">
        <f t="shared" si="13"/>
        <v/>
      </c>
      <c r="AB21" s="3" t="str">
        <f t="shared" si="4"/>
        <v/>
      </c>
      <c r="AC21" s="3" t="str">
        <f t="shared" si="5"/>
        <v/>
      </c>
      <c r="AD21" s="3" t="str">
        <f t="shared" si="6"/>
        <v/>
      </c>
      <c r="AE21" s="3" t="str">
        <f t="shared" si="7"/>
        <v/>
      </c>
      <c r="AF21" s="3" t="str">
        <f t="shared" si="8"/>
        <v/>
      </c>
      <c r="AG21" s="3" t="str">
        <f t="shared" si="9"/>
        <v/>
      </c>
      <c r="AH21" s="3" t="str">
        <f t="shared" si="10"/>
        <v/>
      </c>
      <c r="AI21" s="3" t="str">
        <f t="shared" si="11"/>
        <v/>
      </c>
      <c r="AJ21" s="3" t="str">
        <f t="shared" si="12"/>
        <v/>
      </c>
      <c r="AK21" s="3" t="str">
        <f>IF(V21=0,"",_xlfn.CONCAT(DADOS!$A$8,X21:AJ21,"
"))</f>
        <v/>
      </c>
    </row>
    <row r="22" spans="1:37" ht="15" customHeight="1" x14ac:dyDescent="0.25">
      <c r="E22" s="22"/>
      <c r="F22" s="22"/>
      <c r="G22" s="12"/>
      <c r="H22" s="22"/>
      <c r="I22" s="13"/>
      <c r="J22" s="14"/>
      <c r="K22" s="12"/>
      <c r="L22" s="15"/>
      <c r="M22" s="16"/>
      <c r="N22" s="15"/>
      <c r="O22" s="16"/>
      <c r="P22" s="17"/>
      <c r="Q22" s="15"/>
      <c r="R22" s="18"/>
      <c r="S22" s="20">
        <v>8</v>
      </c>
      <c r="V22" s="3">
        <f t="shared" si="0"/>
        <v>0</v>
      </c>
      <c r="X22" s="3" t="str">
        <f t="shared" si="1"/>
        <v/>
      </c>
      <c r="Y22" s="3" t="str">
        <f t="shared" si="2"/>
        <v/>
      </c>
      <c r="Z22" s="3" t="str">
        <f t="shared" si="3"/>
        <v/>
      </c>
      <c r="AA22" s="3" t="str">
        <f t="shared" si="13"/>
        <v/>
      </c>
      <c r="AB22" s="3" t="str">
        <f t="shared" si="4"/>
        <v/>
      </c>
      <c r="AC22" s="3" t="str">
        <f t="shared" si="5"/>
        <v/>
      </c>
      <c r="AD22" s="3" t="str">
        <f t="shared" si="6"/>
        <v/>
      </c>
      <c r="AE22" s="3" t="str">
        <f t="shared" si="7"/>
        <v/>
      </c>
      <c r="AF22" s="3" t="str">
        <f t="shared" si="8"/>
        <v/>
      </c>
      <c r="AG22" s="3" t="str">
        <f t="shared" si="9"/>
        <v/>
      </c>
      <c r="AH22" s="3" t="str">
        <f t="shared" si="10"/>
        <v/>
      </c>
      <c r="AI22" s="3" t="str">
        <f t="shared" si="11"/>
        <v/>
      </c>
      <c r="AJ22" s="3" t="str">
        <f t="shared" si="12"/>
        <v/>
      </c>
      <c r="AK22" s="3" t="str">
        <f>IF(V22=0,"",_xlfn.CONCAT(DADOS!$A$8,X22:AJ22,"
"))</f>
        <v/>
      </c>
    </row>
    <row r="23" spans="1:37" ht="15" customHeight="1" x14ac:dyDescent="0.25">
      <c r="A23" s="3" t="s">
        <v>49</v>
      </c>
      <c r="B23" s="3" t="s">
        <v>70</v>
      </c>
      <c r="C23" s="3" t="str">
        <f>_xlfn.CONCAT($A$8,"RRR",A23,$C$3,$B$3,A9,A9,"
")</f>
        <v xml:space="preserve">send, RRRTF24456789{enter}{enter}
</v>
      </c>
      <c r="D23" s="29" t="str">
        <f>_xlfn.CONCAT("^+",B23,"::
",C23,"
return","
")</f>
        <v xml:space="preserve">^+V::
send, RRRTF24456789{enter}{enter}
return
</v>
      </c>
      <c r="E23" s="22"/>
      <c r="F23" s="22"/>
      <c r="G23" s="12"/>
      <c r="H23" s="22"/>
      <c r="I23" s="13"/>
      <c r="J23" s="14"/>
      <c r="K23" s="12"/>
      <c r="L23" s="15"/>
      <c r="M23" s="16"/>
      <c r="N23" s="15"/>
      <c r="O23" s="16"/>
      <c r="P23" s="17"/>
      <c r="Q23" s="15"/>
      <c r="R23" s="18"/>
      <c r="S23" s="20">
        <v>9</v>
      </c>
      <c r="V23" s="3">
        <f t="shared" si="0"/>
        <v>0</v>
      </c>
      <c r="X23" s="3" t="str">
        <f t="shared" si="1"/>
        <v/>
      </c>
      <c r="Y23" s="3" t="str">
        <f t="shared" si="2"/>
        <v/>
      </c>
      <c r="Z23" s="3" t="str">
        <f t="shared" si="3"/>
        <v/>
      </c>
      <c r="AA23" s="3" t="str">
        <f t="shared" si="13"/>
        <v/>
      </c>
      <c r="AB23" s="3" t="str">
        <f t="shared" si="4"/>
        <v/>
      </c>
      <c r="AC23" s="3" t="str">
        <f t="shared" si="5"/>
        <v/>
      </c>
      <c r="AD23" s="3" t="str">
        <f t="shared" si="6"/>
        <v/>
      </c>
      <c r="AE23" s="3" t="str">
        <f t="shared" si="7"/>
        <v/>
      </c>
      <c r="AF23" s="3" t="str">
        <f t="shared" si="8"/>
        <v/>
      </c>
      <c r="AG23" s="3" t="str">
        <f t="shared" si="9"/>
        <v/>
      </c>
      <c r="AH23" s="3" t="str">
        <f t="shared" si="10"/>
        <v/>
      </c>
      <c r="AI23" s="3" t="str">
        <f t="shared" si="11"/>
        <v/>
      </c>
      <c r="AJ23" s="3" t="str">
        <f t="shared" si="12"/>
        <v/>
      </c>
      <c r="AK23" s="3" t="str">
        <f>IF(V23=0,"",_xlfn.CONCAT(DADOS!$A$8,X23:AJ23,"
"))</f>
        <v/>
      </c>
    </row>
    <row r="24" spans="1:37" ht="15.75" x14ac:dyDescent="0.25">
      <c r="E24" s="22"/>
      <c r="F24" s="22"/>
      <c r="G24" s="12"/>
      <c r="H24" s="22"/>
      <c r="I24" s="13"/>
      <c r="J24" s="14"/>
      <c r="K24" s="12"/>
      <c r="L24" s="15"/>
      <c r="M24" s="16"/>
      <c r="N24" s="15"/>
      <c r="O24" s="16"/>
      <c r="P24" s="17"/>
      <c r="Q24" s="15"/>
      <c r="R24" s="18"/>
      <c r="S24" s="20">
        <v>10</v>
      </c>
      <c r="V24" s="3">
        <f t="shared" si="0"/>
        <v>0</v>
      </c>
      <c r="X24" s="3" t="str">
        <f t="shared" si="1"/>
        <v/>
      </c>
      <c r="Y24" s="3" t="str">
        <f t="shared" si="2"/>
        <v/>
      </c>
      <c r="Z24" s="3" t="str">
        <f t="shared" si="3"/>
        <v/>
      </c>
      <c r="AA24" s="3" t="str">
        <f t="shared" si="13"/>
        <v/>
      </c>
      <c r="AB24" s="3" t="str">
        <f t="shared" si="4"/>
        <v/>
      </c>
      <c r="AC24" s="3" t="str">
        <f t="shared" si="5"/>
        <v/>
      </c>
      <c r="AD24" s="3" t="str">
        <f t="shared" si="6"/>
        <v/>
      </c>
      <c r="AE24" s="3" t="str">
        <f t="shared" si="7"/>
        <v/>
      </c>
      <c r="AF24" s="3" t="str">
        <f t="shared" si="8"/>
        <v/>
      </c>
      <c r="AG24" s="3" t="str">
        <f t="shared" si="9"/>
        <v/>
      </c>
      <c r="AH24" s="3" t="str">
        <f t="shared" si="10"/>
        <v/>
      </c>
      <c r="AI24" s="3" t="str">
        <f t="shared" si="11"/>
        <v/>
      </c>
      <c r="AJ24" s="3" t="str">
        <f t="shared" si="12"/>
        <v/>
      </c>
      <c r="AK24" s="3" t="str">
        <f>IF(V24=0,"",_xlfn.CONCAT(DADOS!$A$8,X24:AJ24,"
"))</f>
        <v/>
      </c>
    </row>
    <row r="25" spans="1:37" ht="15" customHeight="1" x14ac:dyDescent="0.25">
      <c r="E25" s="22"/>
      <c r="F25" s="22"/>
      <c r="G25" s="12"/>
      <c r="H25" s="22"/>
      <c r="I25" s="13"/>
      <c r="J25" s="14"/>
      <c r="K25" s="12"/>
      <c r="L25" s="15"/>
      <c r="M25" s="16"/>
      <c r="N25" s="15"/>
      <c r="O25" s="16"/>
      <c r="P25" s="17"/>
      <c r="Q25" s="15"/>
      <c r="R25" s="18"/>
      <c r="S25" s="20">
        <v>11</v>
      </c>
      <c r="V25" s="3">
        <f t="shared" si="0"/>
        <v>0</v>
      </c>
      <c r="X25" s="3" t="str">
        <f t="shared" si="1"/>
        <v/>
      </c>
      <c r="Y25" s="3" t="str">
        <f t="shared" si="2"/>
        <v/>
      </c>
      <c r="Z25" s="3" t="str">
        <f t="shared" si="3"/>
        <v/>
      </c>
      <c r="AA25" s="3" t="str">
        <f t="shared" si="13"/>
        <v/>
      </c>
      <c r="AB25" s="3" t="str">
        <f t="shared" si="4"/>
        <v/>
      </c>
      <c r="AC25" s="3" t="str">
        <f t="shared" si="5"/>
        <v/>
      </c>
      <c r="AD25" s="3" t="str">
        <f t="shared" si="6"/>
        <v/>
      </c>
      <c r="AE25" s="3" t="str">
        <f t="shared" si="7"/>
        <v/>
      </c>
      <c r="AF25" s="3" t="str">
        <f t="shared" si="8"/>
        <v/>
      </c>
      <c r="AG25" s="3" t="str">
        <f t="shared" si="9"/>
        <v/>
      </c>
      <c r="AH25" s="3" t="str">
        <f t="shared" si="10"/>
        <v/>
      </c>
      <c r="AI25" s="3" t="str">
        <f t="shared" si="11"/>
        <v/>
      </c>
      <c r="AJ25" s="3" t="str">
        <f t="shared" si="12"/>
        <v/>
      </c>
      <c r="AK25" s="3" t="str">
        <f>IF(V25=0,"",_xlfn.CONCAT(DADOS!$A$8,X25:AJ25,"
"))</f>
        <v/>
      </c>
    </row>
    <row r="26" spans="1:37" ht="15" customHeight="1" x14ac:dyDescent="0.25">
      <c r="A26" s="3" t="s">
        <v>50</v>
      </c>
      <c r="B26" s="3" t="s">
        <v>51</v>
      </c>
      <c r="C26" s="3" t="str">
        <f>_xlfn.CONCAT(C15:C23)</f>
        <v xml:space="preserve">send, RRRCCG{enter}500{enter}dwild{enter}24456789005{enter}
send, E0 1  11600809654E0904502600220{enter}{enter}
send, E0 V1 0000901002600440{enter}{enter}
send, V1 E0 216020{enter}
send, V1 2  11600804011D0912202600440{enter}{enter}
send, V1 TR 0090912002600880{enter}{enter}
send, RRRCCP244567894M{enter}{enter}
send, RRRCM24456789T1FS4M{enter}{enter}
send, RRRCP244567891FS4M{enter}{enter}
send, RRRTF24456789{enter}{enter}
</v>
      </c>
      <c r="D26" s="29" t="str">
        <f>_xlfn.CONCAT("^",B26,"::
",C26,"
return","
")</f>
        <v xml:space="preserve">^Q::
send, RRRCCG{enter}500{enter}dwild{enter}24456789005{enter}
send, E0 1  11600809654E0904502600220{enter}{enter}
send, E0 V1 0000901002600440{enter}{enter}
send, V1 E0 216020{enter}
send, V1 2  11600804011D0912202600440{enter}{enter}
send, V1 TR 0090912002600880{enter}{enter}
send, RRRCCP244567894M{enter}{enter}
send, RRRCM24456789T1FS4M{enter}{enter}
send, RRRCP244567891FS4M{enter}{enter}
send, RRRTF24456789{enter}{enter}
return
</v>
      </c>
      <c r="E26" s="22"/>
      <c r="F26" s="22"/>
      <c r="G26" s="12"/>
      <c r="H26" s="22"/>
      <c r="I26" s="13"/>
      <c r="J26" s="14"/>
      <c r="K26" s="12"/>
      <c r="L26" s="15"/>
      <c r="M26" s="16"/>
      <c r="N26" s="15"/>
      <c r="O26" s="16"/>
      <c r="P26" s="17"/>
      <c r="Q26" s="15"/>
      <c r="R26" s="18"/>
      <c r="S26" s="20">
        <v>12</v>
      </c>
      <c r="V26" s="3">
        <f t="shared" si="0"/>
        <v>0</v>
      </c>
      <c r="X26" s="3" t="str">
        <f t="shared" si="1"/>
        <v/>
      </c>
      <c r="Y26" s="3" t="str">
        <f t="shared" si="2"/>
        <v/>
      </c>
      <c r="Z26" s="3" t="str">
        <f t="shared" si="3"/>
        <v/>
      </c>
      <c r="AA26" s="3" t="str">
        <f t="shared" si="13"/>
        <v/>
      </c>
      <c r="AB26" s="3" t="str">
        <f t="shared" si="4"/>
        <v/>
      </c>
      <c r="AC26" s="3" t="str">
        <f t="shared" si="5"/>
        <v/>
      </c>
      <c r="AD26" s="3" t="str">
        <f t="shared" si="6"/>
        <v/>
      </c>
      <c r="AE26" s="3" t="str">
        <f t="shared" si="7"/>
        <v/>
      </c>
      <c r="AF26" s="3" t="str">
        <f t="shared" si="8"/>
        <v/>
      </c>
      <c r="AG26" s="3" t="str">
        <f t="shared" si="9"/>
        <v/>
      </c>
      <c r="AH26" s="3" t="str">
        <f t="shared" si="10"/>
        <v/>
      </c>
      <c r="AI26" s="3" t="str">
        <f t="shared" si="11"/>
        <v/>
      </c>
      <c r="AJ26" s="3" t="str">
        <f t="shared" si="12"/>
        <v/>
      </c>
      <c r="AK26" s="3" t="str">
        <f>IF(V26=0,"",_xlfn.CONCAT(DADOS!$A$8,X26:AJ26,"
"))</f>
        <v/>
      </c>
    </row>
    <row r="27" spans="1:37" ht="15" customHeight="1" x14ac:dyDescent="0.25">
      <c r="A27" s="3" t="s">
        <v>52</v>
      </c>
      <c r="B27" s="3" t="s">
        <v>71</v>
      </c>
      <c r="C27" s="3" t="str">
        <f>_xlfn.CONCAT($A$8,"RRR",A28,$G$3,C4,B3,"T",H4,I3,C3,B3,"OG",A9,N4,O3,"CAA",P3,R3,Q12,A9,A9,U7,G8,H8,I8,G10,H10,I10,N8,O8,S8,R8,"A120",A9,B4,A9,T3,"
")</f>
        <v xml:space="preserve">send, RRRLL6562024456789Td1124456789OG{enter}1013.8CAA034010N{enter}{enter}09654ED11300D11300u1{enter}u3{enter}0202A120{enter}123456789{enter}N
</v>
      </c>
      <c r="D27" s="29" t="str">
        <f>_xlfn.CONCAT("^+",B27,"::
",C27,"
return","
")</f>
        <v xml:space="preserve">^+L::
send, RRRLL6562024456789Td1124456789OG{enter}1013.8CAA034010N{enter}{enter}09654ED11300D11300u1{enter}u3{enter}0202A120{enter}123456789{enter}N
return
</v>
      </c>
      <c r="E27" s="22"/>
      <c r="F27" s="22"/>
      <c r="G27" s="12"/>
      <c r="H27" s="22"/>
      <c r="I27" s="13"/>
      <c r="J27" s="14"/>
      <c r="K27" s="12"/>
      <c r="L27" s="15"/>
      <c r="M27" s="16"/>
      <c r="N27" s="15"/>
      <c r="O27" s="16"/>
      <c r="P27" s="17"/>
      <c r="Q27" s="15"/>
      <c r="R27" s="18"/>
      <c r="S27" s="20">
        <v>13</v>
      </c>
      <c r="V27" s="3">
        <f t="shared" si="0"/>
        <v>0</v>
      </c>
      <c r="X27" s="3" t="str">
        <f t="shared" si="1"/>
        <v/>
      </c>
      <c r="Y27" s="3" t="str">
        <f t="shared" si="2"/>
        <v/>
      </c>
      <c r="Z27" s="3" t="str">
        <f t="shared" si="3"/>
        <v/>
      </c>
      <c r="AA27" s="3" t="str">
        <f t="shared" si="13"/>
        <v/>
      </c>
      <c r="AB27" s="3" t="str">
        <f t="shared" si="4"/>
        <v/>
      </c>
      <c r="AC27" s="3" t="str">
        <f t="shared" si="5"/>
        <v/>
      </c>
      <c r="AD27" s="3" t="str">
        <f t="shared" si="6"/>
        <v/>
      </c>
      <c r="AE27" s="3" t="str">
        <f t="shared" si="7"/>
        <v/>
      </c>
      <c r="AF27" s="3" t="str">
        <f t="shared" si="8"/>
        <v/>
      </c>
      <c r="AG27" s="3" t="str">
        <f t="shared" si="9"/>
        <v/>
      </c>
      <c r="AH27" s="3" t="str">
        <f t="shared" si="10"/>
        <v/>
      </c>
      <c r="AI27" s="3" t="str">
        <f t="shared" si="11"/>
        <v/>
      </c>
      <c r="AJ27" s="3" t="str">
        <f t="shared" si="12"/>
        <v/>
      </c>
      <c r="AK27" s="3" t="str">
        <f>IF(V27=0,"",_xlfn.CONCAT(DADOS!$A$8,X27:AJ27,"
"))</f>
        <v/>
      </c>
    </row>
    <row r="28" spans="1:37" ht="15" customHeight="1" x14ac:dyDescent="0.25">
      <c r="A28" s="3" t="s">
        <v>52</v>
      </c>
      <c r="B28" s="3" t="s">
        <v>53</v>
      </c>
      <c r="C28" s="3" t="str">
        <f>_xlfn.CONCAT($A$8,"RRR",A28,$G$3,C4,B3,"T",H4,I3,C3,B3,"OG",A9,N4,O3,"CAA",P3,R3,Q12,A9,A9,U7,G8,H8,I8,G10,H10,I10,N8,O8,S8,R8,"A120",A9,B4,A9,T3,"
")</f>
        <v xml:space="preserve">send, RRRLL6562024456789Td1124456789OG{enter}1013.8CAA034010N{enter}{enter}09654ED11300D11300u1{enter}u3{enter}0202A120{enter}123456789{enter}N
</v>
      </c>
      <c r="D28" s="29" t="str">
        <f>_xlfn.CONCAT("^",B28,"::
",C28,"
return","
")</f>
        <v xml:space="preserve">^W::
send, RRRLL6562024456789Td1124456789OG{enter}1013.8CAA034010N{enter}{enter}09654ED11300D11300u1{enter}u3{enter}0202A120{enter}123456789{enter}N
return
</v>
      </c>
      <c r="E28" s="22"/>
      <c r="F28" s="22"/>
      <c r="G28" s="12"/>
      <c r="H28" s="22"/>
      <c r="I28" s="13"/>
      <c r="J28" s="14"/>
      <c r="K28" s="12"/>
      <c r="L28" s="15"/>
      <c r="M28" s="16"/>
      <c r="N28" s="15"/>
      <c r="O28" s="16"/>
      <c r="P28" s="17"/>
      <c r="Q28" s="15"/>
      <c r="R28" s="18"/>
      <c r="S28" s="20">
        <v>14</v>
      </c>
      <c r="V28" s="3">
        <f t="shared" si="0"/>
        <v>0</v>
      </c>
      <c r="X28" s="3" t="str">
        <f t="shared" si="1"/>
        <v/>
      </c>
      <c r="Y28" s="3" t="str">
        <f t="shared" si="2"/>
        <v/>
      </c>
      <c r="Z28" s="3" t="str">
        <f t="shared" si="3"/>
        <v/>
      </c>
      <c r="AA28" s="3" t="str">
        <f t="shared" si="13"/>
        <v/>
      </c>
      <c r="AB28" s="3" t="str">
        <f t="shared" si="4"/>
        <v/>
      </c>
      <c r="AC28" s="3" t="str">
        <f t="shared" si="5"/>
        <v/>
      </c>
      <c r="AD28" s="3" t="str">
        <f t="shared" si="6"/>
        <v/>
      </c>
      <c r="AE28" s="3" t="str">
        <f t="shared" si="7"/>
        <v/>
      </c>
      <c r="AF28" s="3" t="str">
        <f t="shared" si="8"/>
        <v/>
      </c>
      <c r="AG28" s="3" t="str">
        <f t="shared" si="9"/>
        <v/>
      </c>
      <c r="AH28" s="3" t="str">
        <f t="shared" si="10"/>
        <v/>
      </c>
      <c r="AI28" s="3" t="str">
        <f t="shared" si="11"/>
        <v/>
      </c>
      <c r="AJ28" s="3" t="str">
        <f t="shared" si="12"/>
        <v/>
      </c>
      <c r="AK28" s="3" t="str">
        <f>IF(V28=0,"",_xlfn.CONCAT(DADOS!$A$8,X28:AJ28,"
"))</f>
        <v/>
      </c>
    </row>
    <row r="29" spans="1:37" ht="15" customHeight="1" x14ac:dyDescent="0.25">
      <c r="E29" s="22"/>
      <c r="F29" s="22"/>
      <c r="G29" s="12"/>
      <c r="H29" s="22"/>
      <c r="I29" s="13"/>
      <c r="J29" s="14"/>
      <c r="K29" s="12"/>
      <c r="L29" s="15"/>
      <c r="M29" s="16"/>
      <c r="N29" s="15"/>
      <c r="O29" s="16"/>
      <c r="P29" s="17"/>
      <c r="Q29" s="15"/>
      <c r="R29" s="18"/>
      <c r="S29" s="20">
        <v>15</v>
      </c>
      <c r="V29" s="3">
        <f t="shared" si="0"/>
        <v>0</v>
      </c>
      <c r="X29" s="3" t="str">
        <f t="shared" si="1"/>
        <v/>
      </c>
      <c r="Y29" s="3" t="str">
        <f t="shared" si="2"/>
        <v/>
      </c>
      <c r="Z29" s="3" t="str">
        <f t="shared" si="3"/>
        <v/>
      </c>
      <c r="AA29" s="3" t="str">
        <f t="shared" si="13"/>
        <v/>
      </c>
      <c r="AB29" s="3" t="str">
        <f t="shared" si="4"/>
        <v/>
      </c>
      <c r="AC29" s="3" t="str">
        <f t="shared" si="5"/>
        <v/>
      </c>
      <c r="AD29" s="3" t="str">
        <f t="shared" si="6"/>
        <v/>
      </c>
      <c r="AE29" s="3" t="str">
        <f t="shared" si="7"/>
        <v/>
      </c>
      <c r="AF29" s="3" t="str">
        <f t="shared" si="8"/>
        <v/>
      </c>
      <c r="AG29" s="3" t="str">
        <f t="shared" si="9"/>
        <v/>
      </c>
      <c r="AH29" s="3" t="str">
        <f t="shared" si="10"/>
        <v/>
      </c>
      <c r="AI29" s="3" t="str">
        <f t="shared" si="11"/>
        <v/>
      </c>
      <c r="AJ29" s="3" t="str">
        <f t="shared" si="12"/>
        <v/>
      </c>
      <c r="AK29" s="3" t="str">
        <f>IF(V29=0,"",_xlfn.CONCAT(DADOS!$A$8,X29:AJ29,"
"))</f>
        <v/>
      </c>
    </row>
    <row r="30" spans="1:37" ht="15" customHeight="1" x14ac:dyDescent="0.25">
      <c r="A30" s="3" t="s">
        <v>54</v>
      </c>
      <c r="B30" s="3" t="s">
        <v>72</v>
      </c>
      <c r="C30" s="3" t="str">
        <f>_xlfn.CONCAT($A$8,"RRR",A30,"TR",$B$3,"SI4M1S",A9,"S","
")</f>
        <v xml:space="preserve">send, RRRLETTR456789SI4M1S{enter}S
</v>
      </c>
      <c r="D30" s="29" t="str">
        <f>_xlfn.CONCAT("^+",B30,"::
",C30,"
return","
")</f>
        <v xml:space="preserve">^+T::
send, RRRLETTR456789SI4M1S{enter}S
return
</v>
      </c>
      <c r="E30" s="22"/>
      <c r="F30" s="22"/>
      <c r="G30" s="12"/>
      <c r="H30" s="22"/>
      <c r="I30" s="13"/>
      <c r="J30" s="14"/>
      <c r="K30" s="12"/>
      <c r="L30" s="15"/>
      <c r="M30" s="16"/>
      <c r="N30" s="15"/>
      <c r="O30" s="16"/>
      <c r="P30" s="17"/>
      <c r="Q30" s="15"/>
      <c r="R30" s="18"/>
      <c r="S30" s="20">
        <v>16</v>
      </c>
      <c r="V30" s="3">
        <f t="shared" si="0"/>
        <v>0</v>
      </c>
      <c r="X30" s="3" t="str">
        <f t="shared" si="1"/>
        <v/>
      </c>
      <c r="Y30" s="3" t="str">
        <f t="shared" si="2"/>
        <v/>
      </c>
      <c r="Z30" s="3" t="str">
        <f t="shared" si="3"/>
        <v/>
      </c>
      <c r="AA30" s="3" t="str">
        <f t="shared" si="13"/>
        <v/>
      </c>
      <c r="AB30" s="3" t="str">
        <f t="shared" si="4"/>
        <v/>
      </c>
      <c r="AC30" s="3" t="str">
        <f t="shared" si="5"/>
        <v/>
      </c>
      <c r="AD30" s="3" t="str">
        <f t="shared" si="6"/>
        <v/>
      </c>
      <c r="AE30" s="3" t="str">
        <f t="shared" si="7"/>
        <v/>
      </c>
      <c r="AF30" s="3" t="str">
        <f t="shared" si="8"/>
        <v/>
      </c>
      <c r="AG30" s="3" t="str">
        <f t="shared" si="9"/>
        <v/>
      </c>
      <c r="AH30" s="3" t="str">
        <f t="shared" si="10"/>
        <v/>
      </c>
      <c r="AI30" s="3" t="str">
        <f t="shared" si="11"/>
        <v/>
      </c>
      <c r="AJ30" s="3" t="str">
        <f t="shared" si="12"/>
        <v/>
      </c>
      <c r="AK30" s="3" t="str">
        <f>IF(V30=0,"",_xlfn.CONCAT(DADOS!$A$8,X30:AJ30,"
"))</f>
        <v/>
      </c>
    </row>
    <row r="31" spans="1:37" ht="15" customHeight="1" x14ac:dyDescent="0.25">
      <c r="E31" s="22"/>
      <c r="F31" s="23"/>
      <c r="G31" s="12"/>
      <c r="H31" s="22"/>
      <c r="I31" s="13"/>
      <c r="J31" s="14"/>
      <c r="K31" s="12"/>
      <c r="L31" s="15"/>
      <c r="M31" s="16"/>
      <c r="N31" s="15"/>
      <c r="O31" s="16"/>
      <c r="P31" s="17"/>
      <c r="Q31" s="15"/>
      <c r="R31" s="18"/>
      <c r="S31" s="20">
        <v>17</v>
      </c>
      <c r="V31" s="3">
        <f t="shared" si="0"/>
        <v>0</v>
      </c>
      <c r="X31" s="3" t="str">
        <f t="shared" si="1"/>
        <v/>
      </c>
      <c r="Y31" s="3" t="str">
        <f t="shared" si="2"/>
        <v/>
      </c>
      <c r="Z31" s="3" t="str">
        <f t="shared" si="3"/>
        <v/>
      </c>
      <c r="AA31" s="3" t="str">
        <f t="shared" si="13"/>
        <v/>
      </c>
      <c r="AB31" s="3" t="str">
        <f t="shared" si="4"/>
        <v/>
      </c>
      <c r="AC31" s="3" t="str">
        <f t="shared" si="5"/>
        <v/>
      </c>
      <c r="AD31" s="3" t="str">
        <f t="shared" si="6"/>
        <v/>
      </c>
      <c r="AE31" s="3" t="str">
        <f t="shared" si="7"/>
        <v/>
      </c>
      <c r="AF31" s="3" t="str">
        <f t="shared" si="8"/>
        <v/>
      </c>
      <c r="AG31" s="3" t="str">
        <f t="shared" si="9"/>
        <v/>
      </c>
      <c r="AH31" s="3" t="str">
        <f t="shared" si="10"/>
        <v/>
      </c>
      <c r="AI31" s="3" t="str">
        <f t="shared" si="11"/>
        <v/>
      </c>
      <c r="AJ31" s="3" t="str">
        <f t="shared" si="12"/>
        <v/>
      </c>
      <c r="AK31" s="3" t="str">
        <f>IF(V31=0,"",_xlfn.CONCAT(DADOS!$A$8,X31:AJ31,"
"))</f>
        <v/>
      </c>
    </row>
    <row r="32" spans="1:37" ht="15" customHeight="1" x14ac:dyDescent="0.25">
      <c r="A32" s="3" t="s">
        <v>55</v>
      </c>
      <c r="B32" s="3" t="s">
        <v>73</v>
      </c>
      <c r="C32" s="3" t="str">
        <f>_xlfn.CONCAT($A$8,"RRR",A32,"TR",$B$3,"I4M",A9,"
")</f>
        <v xml:space="preserve">send, RRRLMATR456789I4M{enter}
</v>
      </c>
      <c r="D32" s="29" t="str">
        <f>_xlfn.CONCAT("^+",B32,"::
",C32,"
return","
")</f>
        <v xml:space="preserve">^+M::
send, RRRLMATR456789I4M{enter}
return
</v>
      </c>
      <c r="E32" s="22"/>
      <c r="F32" s="22"/>
      <c r="G32" s="12"/>
      <c r="H32" s="22"/>
      <c r="I32" s="13"/>
      <c r="J32" s="14"/>
      <c r="K32" s="12"/>
      <c r="L32" s="15"/>
      <c r="M32" s="16"/>
      <c r="N32" s="15"/>
      <c r="O32" s="16"/>
      <c r="P32" s="17"/>
      <c r="Q32" s="15"/>
      <c r="R32" s="18"/>
      <c r="S32" s="20">
        <v>18</v>
      </c>
      <c r="V32" s="3">
        <f t="shared" si="0"/>
        <v>0</v>
      </c>
      <c r="X32" s="3" t="str">
        <f t="shared" si="1"/>
        <v/>
      </c>
      <c r="Y32" s="3" t="str">
        <f t="shared" si="2"/>
        <v/>
      </c>
      <c r="Z32" s="3" t="str">
        <f t="shared" si="3"/>
        <v/>
      </c>
      <c r="AA32" s="3" t="str">
        <f t="shared" si="13"/>
        <v/>
      </c>
      <c r="AB32" s="3" t="str">
        <f t="shared" si="4"/>
        <v/>
      </c>
      <c r="AC32" s="3" t="str">
        <f t="shared" si="5"/>
        <v/>
      </c>
      <c r="AD32" s="3" t="str">
        <f t="shared" si="6"/>
        <v/>
      </c>
      <c r="AE32" s="3" t="str">
        <f t="shared" si="7"/>
        <v/>
      </c>
      <c r="AF32" s="3" t="str">
        <f t="shared" si="8"/>
        <v/>
      </c>
      <c r="AG32" s="3" t="str">
        <f t="shared" si="9"/>
        <v/>
      </c>
      <c r="AH32" s="3" t="str">
        <f t="shared" si="10"/>
        <v/>
      </c>
      <c r="AI32" s="3" t="str">
        <f t="shared" si="11"/>
        <v/>
      </c>
      <c r="AJ32" s="3" t="str">
        <f t="shared" si="12"/>
        <v/>
      </c>
      <c r="AK32" s="3" t="str">
        <f>IF(V32=0,"",_xlfn.CONCAT(DADOS!$A$8,X32:AJ32,"
"))</f>
        <v/>
      </c>
    </row>
    <row r="33" spans="1:37" ht="15" customHeight="1" x14ac:dyDescent="0.25">
      <c r="E33" s="22"/>
      <c r="F33" s="22"/>
      <c r="G33" s="12"/>
      <c r="H33" s="22"/>
      <c r="I33" s="13"/>
      <c r="J33" s="14"/>
      <c r="K33" s="12"/>
      <c r="L33" s="15"/>
      <c r="M33" s="16"/>
      <c r="N33" s="15"/>
      <c r="O33" s="16"/>
      <c r="P33" s="17"/>
      <c r="Q33" s="15"/>
      <c r="R33" s="18"/>
      <c r="S33" s="20">
        <v>19</v>
      </c>
      <c r="V33" s="3">
        <f t="shared" si="0"/>
        <v>0</v>
      </c>
      <c r="X33" s="3" t="str">
        <f t="shared" si="1"/>
        <v/>
      </c>
      <c r="Y33" s="3" t="str">
        <f t="shared" si="2"/>
        <v/>
      </c>
      <c r="Z33" s="3" t="str">
        <f t="shared" si="3"/>
        <v/>
      </c>
      <c r="AA33" s="3" t="str">
        <f t="shared" si="13"/>
        <v/>
      </c>
      <c r="AB33" s="3" t="str">
        <f t="shared" si="4"/>
        <v/>
      </c>
      <c r="AC33" s="3" t="str">
        <f t="shared" si="5"/>
        <v/>
      </c>
      <c r="AD33" s="3" t="str">
        <f t="shared" si="6"/>
        <v/>
      </c>
      <c r="AE33" s="3" t="str">
        <f t="shared" si="7"/>
        <v/>
      </c>
      <c r="AF33" s="3" t="str">
        <f t="shared" si="8"/>
        <v/>
      </c>
      <c r="AG33" s="3" t="str">
        <f t="shared" si="9"/>
        <v/>
      </c>
      <c r="AH33" s="3" t="str">
        <f t="shared" si="10"/>
        <v/>
      </c>
      <c r="AI33" s="3" t="str">
        <f t="shared" si="11"/>
        <v/>
      </c>
      <c r="AJ33" s="3" t="str">
        <f t="shared" si="12"/>
        <v/>
      </c>
      <c r="AK33" s="3" t="str">
        <f>IF(V33=0,"",_xlfn.CONCAT(DADOS!$A$8,X33:AJ33,"
"))</f>
        <v/>
      </c>
    </row>
    <row r="34" spans="1:37" ht="15" customHeight="1" x14ac:dyDescent="0.25">
      <c r="A34" s="3" t="s">
        <v>56</v>
      </c>
      <c r="B34" s="3" t="s">
        <v>57</v>
      </c>
      <c r="C34" s="3" t="str">
        <f>_xlfn.CONCAT(C30:C32)</f>
        <v xml:space="preserve">send, RRRLETTR456789SI4M1S{enter}S
send, RRRLMATR456789I4M{enter}
</v>
      </c>
      <c r="D34" s="29" t="str">
        <f>_xlfn.CONCAT("^",B34,"::
",C34,"
return","
")</f>
        <v xml:space="preserve">^R::
send, RRRLETTR456789SI4M1S{enter}S
send, RRRLMATR456789I4M{enter}
return
</v>
      </c>
      <c r="E34" s="22"/>
      <c r="F34" s="22"/>
      <c r="G34" s="12"/>
      <c r="H34" s="22"/>
      <c r="I34" s="13"/>
      <c r="J34" s="14"/>
      <c r="K34" s="12"/>
      <c r="L34" s="15"/>
      <c r="M34" s="16"/>
      <c r="N34" s="15"/>
      <c r="O34" s="16"/>
      <c r="P34" s="17"/>
      <c r="Q34" s="15"/>
      <c r="R34" s="18"/>
      <c r="S34" s="20">
        <v>20</v>
      </c>
      <c r="V34" s="3">
        <f t="shared" si="0"/>
        <v>0</v>
      </c>
      <c r="X34" s="3" t="str">
        <f t="shared" si="1"/>
        <v/>
      </c>
      <c r="Y34" s="3" t="str">
        <f t="shared" si="2"/>
        <v/>
      </c>
      <c r="Z34" s="3" t="str">
        <f t="shared" si="3"/>
        <v/>
      </c>
      <c r="AA34" s="3" t="str">
        <f t="shared" si="13"/>
        <v/>
      </c>
      <c r="AB34" s="3" t="str">
        <f t="shared" si="4"/>
        <v/>
      </c>
      <c r="AC34" s="3" t="str">
        <f t="shared" si="5"/>
        <v/>
      </c>
      <c r="AD34" s="3" t="str">
        <f t="shared" si="6"/>
        <v/>
      </c>
      <c r="AE34" s="3" t="str">
        <f t="shared" si="7"/>
        <v/>
      </c>
      <c r="AF34" s="3" t="str">
        <f t="shared" si="8"/>
        <v/>
      </c>
      <c r="AG34" s="3" t="str">
        <f t="shared" si="9"/>
        <v/>
      </c>
      <c r="AH34" s="3" t="str">
        <f t="shared" si="10"/>
        <v/>
      </c>
      <c r="AI34" s="3" t="str">
        <f t="shared" si="11"/>
        <v/>
      </c>
      <c r="AJ34" s="3" t="str">
        <f t="shared" si="12"/>
        <v/>
      </c>
      <c r="AK34" s="3" t="str">
        <f>IF(V34=0,"",_xlfn.CONCAT(DADOS!$A$8,X34:AJ34,"
"))</f>
        <v/>
      </c>
    </row>
    <row r="35" spans="1:37" ht="15" customHeight="1" x14ac:dyDescent="0.25">
      <c r="E35" s="22"/>
      <c r="F35" s="22"/>
      <c r="G35" s="12"/>
      <c r="H35" s="22"/>
      <c r="I35" s="13"/>
      <c r="J35" s="14"/>
      <c r="K35" s="12"/>
      <c r="L35" s="15"/>
      <c r="M35" s="16"/>
      <c r="N35" s="15"/>
      <c r="O35" s="16"/>
      <c r="P35" s="17"/>
      <c r="Q35" s="15"/>
      <c r="R35" s="18"/>
      <c r="S35" s="20">
        <v>21</v>
      </c>
      <c r="V35" s="3">
        <f t="shared" si="0"/>
        <v>0</v>
      </c>
      <c r="X35" s="3" t="str">
        <f t="shared" si="1"/>
        <v/>
      </c>
      <c r="Y35" s="3" t="str">
        <f t="shared" si="2"/>
        <v/>
      </c>
      <c r="Z35" s="3" t="str">
        <f t="shared" si="3"/>
        <v/>
      </c>
      <c r="AA35" s="3" t="str">
        <f t="shared" si="13"/>
        <v/>
      </c>
      <c r="AB35" s="3" t="str">
        <f t="shared" si="4"/>
        <v/>
      </c>
      <c r="AC35" s="3" t="str">
        <f t="shared" si="5"/>
        <v/>
      </c>
      <c r="AD35" s="3" t="str">
        <f t="shared" si="6"/>
        <v/>
      </c>
      <c r="AE35" s="3" t="str">
        <f t="shared" si="7"/>
        <v/>
      </c>
      <c r="AF35" s="3" t="str">
        <f t="shared" si="8"/>
        <v/>
      </c>
      <c r="AG35" s="3" t="str">
        <f t="shared" si="9"/>
        <v/>
      </c>
      <c r="AH35" s="3" t="str">
        <f t="shared" si="10"/>
        <v/>
      </c>
      <c r="AI35" s="3" t="str">
        <f t="shared" si="11"/>
        <v/>
      </c>
      <c r="AJ35" s="3" t="str">
        <f t="shared" si="12"/>
        <v/>
      </c>
      <c r="AK35" s="3" t="str">
        <f>IF(V35=0,"",_xlfn.CONCAT(DADOS!$A$8,X35:AJ35,"
"))</f>
        <v/>
      </c>
    </row>
    <row r="36" spans="1:37" ht="15" customHeight="1" x14ac:dyDescent="0.25">
      <c r="E36" s="22"/>
      <c r="F36" s="22"/>
      <c r="G36" s="12"/>
      <c r="H36" s="22"/>
      <c r="I36" s="13"/>
      <c r="J36" s="14"/>
      <c r="K36" s="12"/>
      <c r="L36" s="15"/>
      <c r="M36" s="16"/>
      <c r="N36" s="15"/>
      <c r="O36" s="16"/>
      <c r="P36" s="17"/>
      <c r="Q36" s="15"/>
      <c r="R36" s="18"/>
      <c r="S36" s="20">
        <v>22</v>
      </c>
      <c r="V36" s="3">
        <f t="shared" si="0"/>
        <v>0</v>
      </c>
      <c r="X36" s="3" t="str">
        <f t="shared" si="1"/>
        <v/>
      </c>
      <c r="Y36" s="3" t="str">
        <f t="shared" si="2"/>
        <v/>
      </c>
      <c r="Z36" s="3" t="str">
        <f t="shared" si="3"/>
        <v/>
      </c>
      <c r="AA36" s="3" t="str">
        <f t="shared" si="13"/>
        <v/>
      </c>
      <c r="AB36" s="3" t="str">
        <f t="shared" si="4"/>
        <v/>
      </c>
      <c r="AC36" s="3" t="str">
        <f t="shared" si="5"/>
        <v/>
      </c>
      <c r="AD36" s="3" t="str">
        <f t="shared" si="6"/>
        <v/>
      </c>
      <c r="AE36" s="3" t="str">
        <f t="shared" si="7"/>
        <v/>
      </c>
      <c r="AF36" s="3" t="str">
        <f t="shared" si="8"/>
        <v/>
      </c>
      <c r="AG36" s="3" t="str">
        <f t="shared" si="9"/>
        <v/>
      </c>
      <c r="AH36" s="3" t="str">
        <f t="shared" si="10"/>
        <v/>
      </c>
      <c r="AI36" s="3" t="str">
        <f t="shared" si="11"/>
        <v/>
      </c>
      <c r="AJ36" s="3" t="str">
        <f t="shared" si="12"/>
        <v/>
      </c>
      <c r="AK36" s="3" t="str">
        <f>IF(V36=0,"",_xlfn.CONCAT(DADOS!$A$8,X36:AJ36,"
"))</f>
        <v/>
      </c>
    </row>
    <row r="37" spans="1:37" ht="15" customHeight="1" x14ac:dyDescent="0.25">
      <c r="E37" s="22"/>
      <c r="F37" s="22"/>
      <c r="G37" s="12"/>
      <c r="H37" s="22"/>
      <c r="I37" s="13"/>
      <c r="J37" s="14"/>
      <c r="K37" s="12"/>
      <c r="L37" s="15"/>
      <c r="M37" s="16"/>
      <c r="N37" s="15"/>
      <c r="O37" s="16"/>
      <c r="P37" s="17"/>
      <c r="Q37" s="15"/>
      <c r="R37" s="18"/>
      <c r="S37" s="20">
        <v>23</v>
      </c>
      <c r="V37" s="3">
        <f t="shared" si="0"/>
        <v>0</v>
      </c>
      <c r="X37" s="3" t="str">
        <f t="shared" si="1"/>
        <v/>
      </c>
      <c r="Y37" s="3" t="str">
        <f t="shared" si="2"/>
        <v/>
      </c>
      <c r="Z37" s="3" t="str">
        <f t="shared" si="3"/>
        <v/>
      </c>
      <c r="AA37" s="3" t="str">
        <f t="shared" si="13"/>
        <v/>
      </c>
      <c r="AB37" s="3" t="str">
        <f t="shared" si="4"/>
        <v/>
      </c>
      <c r="AC37" s="3" t="str">
        <f t="shared" si="5"/>
        <v/>
      </c>
      <c r="AD37" s="3" t="str">
        <f t="shared" si="6"/>
        <v/>
      </c>
      <c r="AE37" s="3" t="str">
        <f t="shared" si="7"/>
        <v/>
      </c>
      <c r="AF37" s="3" t="str">
        <f t="shared" si="8"/>
        <v/>
      </c>
      <c r="AG37" s="3" t="str">
        <f t="shared" si="9"/>
        <v/>
      </c>
      <c r="AH37" s="3" t="str">
        <f t="shared" si="10"/>
        <v/>
      </c>
      <c r="AI37" s="3" t="str">
        <f t="shared" si="11"/>
        <v/>
      </c>
      <c r="AJ37" s="3" t="str">
        <f t="shared" si="12"/>
        <v/>
      </c>
      <c r="AK37" s="3" t="str">
        <f>IF(V37=0,"",_xlfn.CONCAT(DADOS!$A$8,X37:AJ37,"
"))</f>
        <v/>
      </c>
    </row>
    <row r="38" spans="1:37" ht="15" customHeight="1" x14ac:dyDescent="0.25">
      <c r="E38" s="22"/>
      <c r="F38" s="22"/>
      <c r="G38" s="12"/>
      <c r="H38" s="22"/>
      <c r="I38" s="13"/>
      <c r="J38" s="14"/>
      <c r="K38" s="12"/>
      <c r="L38" s="15"/>
      <c r="M38" s="16"/>
      <c r="N38" s="15"/>
      <c r="O38" s="16"/>
      <c r="P38" s="17"/>
      <c r="Q38" s="15"/>
      <c r="R38" s="18"/>
      <c r="S38" s="20">
        <v>24</v>
      </c>
      <c r="V38" s="3">
        <f t="shared" si="0"/>
        <v>0</v>
      </c>
      <c r="X38" s="3" t="str">
        <f t="shared" si="1"/>
        <v/>
      </c>
      <c r="Y38" s="3" t="str">
        <f t="shared" si="2"/>
        <v/>
      </c>
      <c r="Z38" s="3" t="str">
        <f t="shared" si="3"/>
        <v/>
      </c>
      <c r="AA38" s="3" t="str">
        <f t="shared" si="13"/>
        <v/>
      </c>
      <c r="AB38" s="3" t="str">
        <f t="shared" si="4"/>
        <v/>
      </c>
      <c r="AC38" s="3" t="str">
        <f t="shared" si="5"/>
        <v/>
      </c>
      <c r="AD38" s="3" t="str">
        <f t="shared" si="6"/>
        <v/>
      </c>
      <c r="AE38" s="3" t="str">
        <f t="shared" si="7"/>
        <v/>
      </c>
      <c r="AF38" s="3" t="str">
        <f t="shared" si="8"/>
        <v/>
      </c>
      <c r="AG38" s="3" t="str">
        <f t="shared" si="9"/>
        <v/>
      </c>
      <c r="AH38" s="3" t="str">
        <f t="shared" si="10"/>
        <v/>
      </c>
      <c r="AI38" s="3" t="str">
        <f t="shared" si="11"/>
        <v/>
      </c>
      <c r="AJ38" s="3" t="str">
        <f t="shared" si="12"/>
        <v/>
      </c>
      <c r="AK38" s="3" t="str">
        <f>IF(V38=0,"",_xlfn.CONCAT(DADOS!$A$8,X38:AJ38,"
"))</f>
        <v/>
      </c>
    </row>
    <row r="39" spans="1:37" ht="15" customHeight="1" x14ac:dyDescent="0.25">
      <c r="E39" s="22"/>
      <c r="F39" s="22"/>
      <c r="G39" s="12"/>
      <c r="H39" s="22"/>
      <c r="I39" s="13"/>
      <c r="J39" s="14"/>
      <c r="K39" s="12"/>
      <c r="L39" s="15"/>
      <c r="M39" s="16"/>
      <c r="N39" s="15"/>
      <c r="O39" s="16"/>
      <c r="P39" s="17"/>
      <c r="Q39" s="15"/>
      <c r="R39" s="18"/>
      <c r="S39" s="20">
        <v>25</v>
      </c>
      <c r="V39" s="3">
        <f t="shared" si="0"/>
        <v>0</v>
      </c>
      <c r="X39" s="3" t="str">
        <f t="shared" si="1"/>
        <v/>
      </c>
      <c r="Y39" s="3" t="str">
        <f t="shared" si="2"/>
        <v/>
      </c>
      <c r="Z39" s="3" t="str">
        <f t="shared" si="3"/>
        <v/>
      </c>
      <c r="AA39" s="3" t="str">
        <f t="shared" si="13"/>
        <v/>
      </c>
      <c r="AB39" s="3" t="str">
        <f t="shared" si="4"/>
        <v/>
      </c>
      <c r="AC39" s="3" t="str">
        <f t="shared" si="5"/>
        <v/>
      </c>
      <c r="AD39" s="3" t="str">
        <f t="shared" si="6"/>
        <v/>
      </c>
      <c r="AE39" s="3" t="str">
        <f t="shared" si="7"/>
        <v/>
      </c>
      <c r="AF39" s="3" t="str">
        <f t="shared" si="8"/>
        <v/>
      </c>
      <c r="AG39" s="3" t="str">
        <f t="shared" si="9"/>
        <v/>
      </c>
      <c r="AH39" s="3" t="str">
        <f t="shared" si="10"/>
        <v/>
      </c>
      <c r="AI39" s="3" t="str">
        <f t="shared" si="11"/>
        <v/>
      </c>
      <c r="AJ39" s="3" t="str">
        <f t="shared" si="12"/>
        <v/>
      </c>
      <c r="AK39" s="3" t="str">
        <f>IF(V39=0,"",_xlfn.CONCAT(DADOS!$A$8,X39:AJ39,"
"))</f>
        <v/>
      </c>
    </row>
    <row r="40" spans="1:37" ht="15" customHeight="1" x14ac:dyDescent="0.25">
      <c r="E40" s="22"/>
      <c r="F40" s="22"/>
      <c r="G40" s="12"/>
      <c r="H40" s="22"/>
      <c r="I40" s="13"/>
      <c r="J40" s="14"/>
      <c r="K40" s="12"/>
      <c r="L40" s="15"/>
      <c r="M40" s="16"/>
      <c r="N40" s="15"/>
      <c r="O40" s="16"/>
      <c r="P40" s="17"/>
      <c r="Q40" s="15"/>
      <c r="R40" s="18"/>
      <c r="S40" s="20">
        <v>26</v>
      </c>
      <c r="V40" s="3">
        <f t="shared" si="0"/>
        <v>0</v>
      </c>
      <c r="X40" s="3" t="str">
        <f t="shared" si="1"/>
        <v/>
      </c>
      <c r="Y40" s="3" t="str">
        <f t="shared" si="2"/>
        <v/>
      </c>
      <c r="Z40" s="3" t="str">
        <f t="shared" si="3"/>
        <v/>
      </c>
      <c r="AA40" s="3" t="str">
        <f t="shared" si="13"/>
        <v/>
      </c>
      <c r="AB40" s="3" t="str">
        <f t="shared" si="4"/>
        <v/>
      </c>
      <c r="AC40" s="3" t="str">
        <f t="shared" si="5"/>
        <v/>
      </c>
      <c r="AD40" s="3" t="str">
        <f t="shared" si="6"/>
        <v/>
      </c>
      <c r="AE40" s="3" t="str">
        <f t="shared" si="7"/>
        <v/>
      </c>
      <c r="AF40" s="3" t="str">
        <f t="shared" si="8"/>
        <v/>
      </c>
      <c r="AG40" s="3" t="str">
        <f t="shared" si="9"/>
        <v/>
      </c>
      <c r="AH40" s="3" t="str">
        <f t="shared" si="10"/>
        <v/>
      </c>
      <c r="AI40" s="3" t="str">
        <f t="shared" si="11"/>
        <v/>
      </c>
      <c r="AJ40" s="3" t="str">
        <f t="shared" si="12"/>
        <v/>
      </c>
      <c r="AK40" s="3" t="str">
        <f>IF(V40=0,"",_xlfn.CONCAT(DADOS!$A$8,X40:AJ40,"
"))</f>
        <v/>
      </c>
    </row>
    <row r="41" spans="1:37" ht="15" customHeight="1" x14ac:dyDescent="0.25">
      <c r="E41" s="22"/>
      <c r="F41" s="22"/>
      <c r="G41" s="12"/>
      <c r="H41" s="22"/>
      <c r="I41" s="13"/>
      <c r="J41" s="14"/>
      <c r="K41" s="12"/>
      <c r="L41" s="15"/>
      <c r="M41" s="16"/>
      <c r="N41" s="15"/>
      <c r="O41" s="16"/>
      <c r="P41" s="17"/>
      <c r="Q41" s="15"/>
      <c r="R41" s="18"/>
      <c r="S41" s="20">
        <v>27</v>
      </c>
      <c r="V41" s="3">
        <f t="shared" si="0"/>
        <v>0</v>
      </c>
      <c r="X41" s="3" t="str">
        <f t="shared" si="1"/>
        <v/>
      </c>
      <c r="Y41" s="3" t="str">
        <f t="shared" si="2"/>
        <v/>
      </c>
      <c r="Z41" s="3" t="str">
        <f t="shared" si="3"/>
        <v/>
      </c>
      <c r="AA41" s="3" t="str">
        <f t="shared" si="13"/>
        <v/>
      </c>
      <c r="AB41" s="3" t="str">
        <f t="shared" si="4"/>
        <v/>
      </c>
      <c r="AC41" s="3" t="str">
        <f t="shared" si="5"/>
        <v/>
      </c>
      <c r="AD41" s="3" t="str">
        <f t="shared" si="6"/>
        <v/>
      </c>
      <c r="AE41" s="3" t="str">
        <f t="shared" si="7"/>
        <v/>
      </c>
      <c r="AF41" s="3" t="str">
        <f t="shared" si="8"/>
        <v/>
      </c>
      <c r="AG41" s="3" t="str">
        <f t="shared" si="9"/>
        <v/>
      </c>
      <c r="AH41" s="3" t="str">
        <f t="shared" si="10"/>
        <v/>
      </c>
      <c r="AI41" s="3" t="str">
        <f t="shared" si="11"/>
        <v/>
      </c>
      <c r="AJ41" s="3" t="str">
        <f t="shared" si="12"/>
        <v/>
      </c>
      <c r="AK41" s="3" t="str">
        <f>IF(V41=0,"",_xlfn.CONCAT(DADOS!$A$8,X41:AJ41,"
"))</f>
        <v/>
      </c>
    </row>
    <row r="42" spans="1:37" ht="15" customHeight="1" x14ac:dyDescent="0.25">
      <c r="E42" s="22"/>
      <c r="F42" s="22"/>
      <c r="G42" s="12"/>
      <c r="H42" s="22"/>
      <c r="I42" s="13"/>
      <c r="J42" s="14"/>
      <c r="K42" s="12"/>
      <c r="L42" s="15"/>
      <c r="M42" s="16"/>
      <c r="N42" s="15"/>
      <c r="O42" s="16"/>
      <c r="P42" s="17"/>
      <c r="Q42" s="15"/>
      <c r="R42" s="18"/>
      <c r="S42" s="20">
        <v>28</v>
      </c>
      <c r="V42" s="3">
        <f t="shared" si="0"/>
        <v>0</v>
      </c>
      <c r="X42" s="3" t="str">
        <f t="shared" si="1"/>
        <v/>
      </c>
      <c r="Y42" s="3" t="str">
        <f t="shared" si="2"/>
        <v/>
      </c>
      <c r="Z42" s="3" t="str">
        <f t="shared" si="3"/>
        <v/>
      </c>
      <c r="AA42" s="3" t="str">
        <f t="shared" si="13"/>
        <v/>
      </c>
      <c r="AB42" s="3" t="str">
        <f t="shared" si="4"/>
        <v/>
      </c>
      <c r="AC42" s="3" t="str">
        <f t="shared" si="5"/>
        <v/>
      </c>
      <c r="AD42" s="3" t="str">
        <f t="shared" si="6"/>
        <v/>
      </c>
      <c r="AE42" s="3" t="str">
        <f t="shared" si="7"/>
        <v/>
      </c>
      <c r="AF42" s="3" t="str">
        <f t="shared" si="8"/>
        <v/>
      </c>
      <c r="AG42" s="3" t="str">
        <f t="shared" si="9"/>
        <v/>
      </c>
      <c r="AH42" s="3" t="str">
        <f t="shared" si="10"/>
        <v/>
      </c>
      <c r="AI42" s="3" t="str">
        <f t="shared" si="11"/>
        <v/>
      </c>
      <c r="AJ42" s="3" t="str">
        <f t="shared" si="12"/>
        <v/>
      </c>
      <c r="AK42" s="3" t="str">
        <f>IF(V42=0,"",_xlfn.CONCAT(DADOS!$A$8,X42:AJ42,"
"))</f>
        <v/>
      </c>
    </row>
    <row r="43" spans="1:37" ht="15" customHeight="1" x14ac:dyDescent="0.25">
      <c r="E43" s="22"/>
      <c r="F43" s="22"/>
      <c r="G43" s="12"/>
      <c r="H43" s="22"/>
      <c r="I43" s="13"/>
      <c r="J43" s="14"/>
      <c r="K43" s="12"/>
      <c r="L43" s="15"/>
      <c r="M43" s="16"/>
      <c r="N43" s="15"/>
      <c r="O43" s="16"/>
      <c r="P43" s="17"/>
      <c r="Q43" s="15"/>
      <c r="R43" s="18"/>
      <c r="S43" s="20">
        <v>29</v>
      </c>
      <c r="V43" s="3">
        <f t="shared" si="0"/>
        <v>0</v>
      </c>
      <c r="X43" s="3" t="str">
        <f t="shared" si="1"/>
        <v/>
      </c>
      <c r="Y43" s="3" t="str">
        <f t="shared" si="2"/>
        <v/>
      </c>
      <c r="Z43" s="3" t="str">
        <f t="shared" si="3"/>
        <v/>
      </c>
      <c r="AA43" s="3" t="str">
        <f t="shared" si="13"/>
        <v/>
      </c>
      <c r="AB43" s="3" t="str">
        <f t="shared" si="4"/>
        <v/>
      </c>
      <c r="AC43" s="3" t="str">
        <f t="shared" si="5"/>
        <v/>
      </c>
      <c r="AD43" s="3" t="str">
        <f t="shared" si="6"/>
        <v/>
      </c>
      <c r="AE43" s="3" t="str">
        <f t="shared" si="7"/>
        <v/>
      </c>
      <c r="AF43" s="3" t="str">
        <f t="shared" si="8"/>
        <v/>
      </c>
      <c r="AG43" s="3" t="str">
        <f t="shared" si="9"/>
        <v/>
      </c>
      <c r="AH43" s="3" t="str">
        <f t="shared" si="10"/>
        <v/>
      </c>
      <c r="AI43" s="3" t="str">
        <f t="shared" si="11"/>
        <v/>
      </c>
      <c r="AJ43" s="3" t="str">
        <f t="shared" si="12"/>
        <v/>
      </c>
      <c r="AK43" s="3" t="str">
        <f>IF(V43=0,"",_xlfn.CONCAT(DADOS!$A$8,X43:AJ43,"
"))</f>
        <v/>
      </c>
    </row>
    <row r="44" spans="1:37" ht="15" customHeight="1" x14ac:dyDescent="0.25">
      <c r="E44" s="22"/>
      <c r="F44" s="22"/>
      <c r="G44" s="12"/>
      <c r="H44" s="22"/>
      <c r="I44" s="13"/>
      <c r="J44" s="14"/>
      <c r="K44" s="12"/>
      <c r="L44" s="15"/>
      <c r="M44" s="16"/>
      <c r="N44" s="15"/>
      <c r="O44" s="16"/>
      <c r="P44" s="17"/>
      <c r="Q44" s="15"/>
      <c r="R44" s="18"/>
      <c r="S44" s="20">
        <v>30</v>
      </c>
      <c r="V44" s="3">
        <f t="shared" si="0"/>
        <v>0</v>
      </c>
      <c r="X44" s="3" t="str">
        <f t="shared" si="1"/>
        <v/>
      </c>
      <c r="Y44" s="3" t="str">
        <f t="shared" si="2"/>
        <v/>
      </c>
      <c r="Z44" s="3" t="str">
        <f t="shared" si="3"/>
        <v/>
      </c>
      <c r="AA44" s="3" t="str">
        <f t="shared" si="13"/>
        <v/>
      </c>
      <c r="AB44" s="3" t="str">
        <f t="shared" si="4"/>
        <v/>
      </c>
      <c r="AC44" s="3" t="str">
        <f t="shared" si="5"/>
        <v/>
      </c>
      <c r="AD44" s="3" t="str">
        <f t="shared" si="6"/>
        <v/>
      </c>
      <c r="AE44" s="3" t="str">
        <f t="shared" si="7"/>
        <v/>
      </c>
      <c r="AF44" s="3" t="str">
        <f t="shared" si="8"/>
        <v/>
      </c>
      <c r="AG44" s="3" t="str">
        <f t="shared" si="9"/>
        <v/>
      </c>
      <c r="AH44" s="3" t="str">
        <f t="shared" si="10"/>
        <v/>
      </c>
      <c r="AI44" s="3" t="str">
        <f t="shared" si="11"/>
        <v/>
      </c>
      <c r="AJ44" s="3" t="str">
        <f t="shared" si="12"/>
        <v/>
      </c>
      <c r="AK44" s="3" t="str">
        <f>IF(V44=0,"",_xlfn.CONCAT(DADOS!$A$8,X44:AJ44,"
"))</f>
        <v/>
      </c>
    </row>
    <row r="45" spans="1:37" ht="15" customHeight="1" x14ac:dyDescent="0.25">
      <c r="E45" s="22"/>
      <c r="F45" s="22"/>
      <c r="G45" s="12"/>
      <c r="H45" s="22"/>
      <c r="I45" s="13"/>
      <c r="J45" s="14"/>
      <c r="K45" s="12"/>
      <c r="L45" s="15"/>
      <c r="M45" s="16"/>
      <c r="N45" s="15"/>
      <c r="O45" s="16"/>
      <c r="P45" s="17"/>
      <c r="Q45" s="15"/>
      <c r="R45" s="18"/>
      <c r="S45" s="20">
        <v>31</v>
      </c>
      <c r="V45" s="3">
        <f t="shared" si="0"/>
        <v>0</v>
      </c>
      <c r="X45" s="3" t="str">
        <f t="shared" si="1"/>
        <v/>
      </c>
      <c r="Y45" s="3" t="str">
        <f t="shared" si="2"/>
        <v/>
      </c>
      <c r="Z45" s="3" t="str">
        <f t="shared" si="3"/>
        <v/>
      </c>
      <c r="AA45" s="3" t="str">
        <f t="shared" si="13"/>
        <v/>
      </c>
      <c r="AB45" s="3" t="str">
        <f t="shared" si="4"/>
        <v/>
      </c>
      <c r="AC45" s="3" t="str">
        <f t="shared" si="5"/>
        <v/>
      </c>
      <c r="AD45" s="3" t="str">
        <f t="shared" si="6"/>
        <v/>
      </c>
      <c r="AE45" s="3" t="str">
        <f t="shared" si="7"/>
        <v/>
      </c>
      <c r="AF45" s="3" t="str">
        <f t="shared" si="8"/>
        <v/>
      </c>
      <c r="AG45" s="3" t="str">
        <f t="shared" si="9"/>
        <v/>
      </c>
      <c r="AH45" s="3" t="str">
        <f t="shared" si="10"/>
        <v/>
      </c>
      <c r="AI45" s="3" t="str">
        <f t="shared" si="11"/>
        <v/>
      </c>
      <c r="AJ45" s="3" t="str">
        <f t="shared" si="12"/>
        <v/>
      </c>
      <c r="AK45" s="3" t="str">
        <f>IF(V45=0,"",_xlfn.CONCAT(DADOS!$A$8,X45:AJ45,"
"))</f>
        <v/>
      </c>
    </row>
    <row r="46" spans="1:37" ht="15" customHeight="1" x14ac:dyDescent="0.25">
      <c r="E46" s="22"/>
      <c r="F46" s="22"/>
      <c r="G46" s="12"/>
      <c r="H46" s="22"/>
      <c r="I46" s="13"/>
      <c r="J46" s="14"/>
      <c r="K46" s="12"/>
      <c r="L46" s="15"/>
      <c r="M46" s="16"/>
      <c r="N46" s="15"/>
      <c r="O46" s="16"/>
      <c r="P46" s="17"/>
      <c r="Q46" s="15"/>
      <c r="R46" s="18"/>
      <c r="S46" s="20">
        <v>32</v>
      </c>
      <c r="V46" s="3">
        <f t="shared" si="0"/>
        <v>0</v>
      </c>
      <c r="X46" s="3" t="str">
        <f t="shared" si="1"/>
        <v/>
      </c>
      <c r="Y46" s="3" t="str">
        <f t="shared" si="2"/>
        <v/>
      </c>
      <c r="Z46" s="3" t="str">
        <f t="shared" si="3"/>
        <v/>
      </c>
      <c r="AA46" s="3" t="str">
        <f t="shared" si="13"/>
        <v/>
      </c>
      <c r="AB46" s="3" t="str">
        <f t="shared" si="4"/>
        <v/>
      </c>
      <c r="AC46" s="3" t="str">
        <f t="shared" si="5"/>
        <v/>
      </c>
      <c r="AD46" s="3" t="str">
        <f t="shared" si="6"/>
        <v/>
      </c>
      <c r="AE46" s="3" t="str">
        <f t="shared" si="7"/>
        <v/>
      </c>
      <c r="AF46" s="3" t="str">
        <f t="shared" si="8"/>
        <v/>
      </c>
      <c r="AG46" s="3" t="str">
        <f t="shared" si="9"/>
        <v/>
      </c>
      <c r="AH46" s="3" t="str">
        <f t="shared" si="10"/>
        <v/>
      </c>
      <c r="AI46" s="3" t="str">
        <f t="shared" si="11"/>
        <v/>
      </c>
      <c r="AJ46" s="3" t="str">
        <f t="shared" si="12"/>
        <v/>
      </c>
      <c r="AK46" s="3" t="str">
        <f>IF(V46=0,"",_xlfn.CONCAT(DADOS!$A$8,X46:AJ46,"
"))</f>
        <v/>
      </c>
    </row>
    <row r="47" spans="1:37" ht="15" customHeight="1" x14ac:dyDescent="0.25">
      <c r="E47" s="22"/>
      <c r="F47" s="22"/>
      <c r="G47" s="12"/>
      <c r="H47" s="22"/>
      <c r="I47" s="13"/>
      <c r="J47" s="14"/>
      <c r="K47" s="12"/>
      <c r="L47" s="15"/>
      <c r="M47" s="16"/>
      <c r="N47" s="15"/>
      <c r="O47" s="16"/>
      <c r="P47" s="17"/>
      <c r="Q47" s="15"/>
      <c r="R47" s="18"/>
      <c r="S47" s="20">
        <v>33</v>
      </c>
      <c r="V47" s="3">
        <f t="shared" si="0"/>
        <v>0</v>
      </c>
      <c r="X47" s="3" t="str">
        <f t="shared" si="1"/>
        <v/>
      </c>
      <c r="Y47" s="3" t="str">
        <f t="shared" si="2"/>
        <v/>
      </c>
      <c r="Z47" s="3" t="str">
        <f t="shared" si="3"/>
        <v/>
      </c>
      <c r="AA47" s="3" t="str">
        <f t="shared" si="13"/>
        <v/>
      </c>
      <c r="AB47" s="3" t="str">
        <f t="shared" si="4"/>
        <v/>
      </c>
      <c r="AC47" s="3" t="str">
        <f t="shared" si="5"/>
        <v/>
      </c>
      <c r="AD47" s="3" t="str">
        <f t="shared" si="6"/>
        <v/>
      </c>
      <c r="AE47" s="3" t="str">
        <f t="shared" si="7"/>
        <v/>
      </c>
      <c r="AF47" s="3" t="str">
        <f t="shared" si="8"/>
        <v/>
      </c>
      <c r="AG47" s="3" t="str">
        <f t="shared" si="9"/>
        <v/>
      </c>
      <c r="AH47" s="3" t="str">
        <f t="shared" si="10"/>
        <v/>
      </c>
      <c r="AI47" s="3" t="str">
        <f t="shared" si="11"/>
        <v/>
      </c>
      <c r="AJ47" s="3" t="str">
        <f t="shared" si="12"/>
        <v/>
      </c>
      <c r="AK47" s="3" t="str">
        <f>IF(V47=0,"",_xlfn.CONCAT(DADOS!$A$8,X47:AJ47,"
"))</f>
        <v/>
      </c>
    </row>
    <row r="48" spans="1:37" ht="15" customHeight="1" x14ac:dyDescent="0.25">
      <c r="E48" s="22"/>
      <c r="F48" s="22"/>
      <c r="G48" s="12"/>
      <c r="H48" s="22"/>
      <c r="I48" s="13"/>
      <c r="J48" s="14"/>
      <c r="K48" s="12"/>
      <c r="L48" s="15"/>
      <c r="M48" s="16"/>
      <c r="N48" s="15"/>
      <c r="O48" s="16"/>
      <c r="P48" s="17"/>
      <c r="Q48" s="15"/>
      <c r="R48" s="18"/>
      <c r="S48" s="20">
        <v>34</v>
      </c>
      <c r="V48" s="3">
        <f t="shared" si="0"/>
        <v>0</v>
      </c>
      <c r="X48" s="3" t="str">
        <f t="shared" si="1"/>
        <v/>
      </c>
      <c r="Y48" s="3" t="str">
        <f t="shared" si="2"/>
        <v/>
      </c>
      <c r="Z48" s="3" t="str">
        <f t="shared" si="3"/>
        <v/>
      </c>
      <c r="AA48" s="3" t="str">
        <f t="shared" si="13"/>
        <v/>
      </c>
      <c r="AB48" s="3" t="str">
        <f t="shared" si="4"/>
        <v/>
      </c>
      <c r="AC48" s="3" t="str">
        <f t="shared" si="5"/>
        <v/>
      </c>
      <c r="AD48" s="3" t="str">
        <f t="shared" si="6"/>
        <v/>
      </c>
      <c r="AE48" s="3" t="str">
        <f t="shared" si="7"/>
        <v/>
      </c>
      <c r="AF48" s="3" t="str">
        <f t="shared" si="8"/>
        <v/>
      </c>
      <c r="AG48" s="3" t="str">
        <f t="shared" si="9"/>
        <v/>
      </c>
      <c r="AH48" s="3" t="str">
        <f t="shared" si="10"/>
        <v/>
      </c>
      <c r="AI48" s="3" t="str">
        <f t="shared" si="11"/>
        <v/>
      </c>
      <c r="AJ48" s="3" t="str">
        <f t="shared" si="12"/>
        <v/>
      </c>
      <c r="AK48" s="3" t="str">
        <f>IF(V48=0,"",_xlfn.CONCAT(DADOS!$A$8,X48:AJ48,"
"))</f>
        <v/>
      </c>
    </row>
    <row r="49" spans="5:37" ht="15" customHeight="1" x14ac:dyDescent="0.25">
      <c r="E49" s="22"/>
      <c r="F49" s="22"/>
      <c r="G49" s="12"/>
      <c r="H49" s="22"/>
      <c r="I49" s="13"/>
      <c r="J49" s="14"/>
      <c r="K49" s="12"/>
      <c r="L49" s="15"/>
      <c r="M49" s="16"/>
      <c r="N49" s="15"/>
      <c r="O49" s="16"/>
      <c r="P49" s="17"/>
      <c r="Q49" s="15"/>
      <c r="R49" s="18"/>
      <c r="S49" s="20">
        <v>35</v>
      </c>
      <c r="V49" s="3">
        <f t="shared" si="0"/>
        <v>0</v>
      </c>
      <c r="X49" s="3" t="str">
        <f t="shared" si="1"/>
        <v/>
      </c>
      <c r="Y49" s="3" t="str">
        <f t="shared" si="2"/>
        <v/>
      </c>
      <c r="Z49" s="3" t="str">
        <f t="shared" si="3"/>
        <v/>
      </c>
      <c r="AA49" s="3" t="str">
        <f t="shared" si="13"/>
        <v/>
      </c>
      <c r="AB49" s="3" t="str">
        <f t="shared" si="4"/>
        <v/>
      </c>
      <c r="AC49" s="3" t="str">
        <f t="shared" si="5"/>
        <v/>
      </c>
      <c r="AD49" s="3" t="str">
        <f t="shared" si="6"/>
        <v/>
      </c>
      <c r="AE49" s="3" t="str">
        <f t="shared" si="7"/>
        <v/>
      </c>
      <c r="AF49" s="3" t="str">
        <f t="shared" si="8"/>
        <v/>
      </c>
      <c r="AG49" s="3" t="str">
        <f t="shared" si="9"/>
        <v/>
      </c>
      <c r="AH49" s="3" t="str">
        <f t="shared" si="10"/>
        <v/>
      </c>
      <c r="AI49" s="3" t="str">
        <f t="shared" si="11"/>
        <v/>
      </c>
      <c r="AJ49" s="3" t="str">
        <f t="shared" si="12"/>
        <v/>
      </c>
      <c r="AK49" s="3" t="str">
        <f>IF(V49=0,"",_xlfn.CONCAT(DADOS!$A$8,X49:AJ49,"
"))</f>
        <v/>
      </c>
    </row>
    <row r="50" spans="5:37" ht="15" customHeight="1" x14ac:dyDescent="0.25">
      <c r="E50" s="22"/>
      <c r="F50" s="22"/>
      <c r="G50" s="12"/>
      <c r="H50" s="22"/>
      <c r="I50" s="13"/>
      <c r="J50" s="14"/>
      <c r="K50" s="12"/>
      <c r="L50" s="15"/>
      <c r="M50" s="16"/>
      <c r="N50" s="15"/>
      <c r="O50" s="16"/>
      <c r="P50" s="17"/>
      <c r="Q50" s="15"/>
      <c r="R50" s="18"/>
      <c r="S50" s="20">
        <v>36</v>
      </c>
      <c r="V50" s="3">
        <f t="shared" si="0"/>
        <v>0</v>
      </c>
      <c r="X50" s="3" t="str">
        <f t="shared" si="1"/>
        <v/>
      </c>
      <c r="Y50" s="3" t="str">
        <f t="shared" si="2"/>
        <v/>
      </c>
      <c r="Z50" s="3" t="str">
        <f t="shared" si="3"/>
        <v/>
      </c>
      <c r="AA50" s="3" t="str">
        <f t="shared" si="13"/>
        <v/>
      </c>
      <c r="AB50" s="3" t="str">
        <f t="shared" si="4"/>
        <v/>
      </c>
      <c r="AC50" s="3" t="str">
        <f t="shared" si="5"/>
        <v/>
      </c>
      <c r="AD50" s="3" t="str">
        <f t="shared" si="6"/>
        <v/>
      </c>
      <c r="AE50" s="3" t="str">
        <f t="shared" si="7"/>
        <v/>
      </c>
      <c r="AF50" s="3" t="str">
        <f t="shared" si="8"/>
        <v/>
      </c>
      <c r="AG50" s="3" t="str">
        <f t="shared" si="9"/>
        <v/>
      </c>
      <c r="AH50" s="3" t="str">
        <f t="shared" si="10"/>
        <v/>
      </c>
      <c r="AI50" s="3" t="str">
        <f t="shared" si="11"/>
        <v/>
      </c>
      <c r="AJ50" s="3" t="str">
        <f t="shared" si="12"/>
        <v/>
      </c>
      <c r="AK50" s="3" t="str">
        <f>IF(V50=0,"",_xlfn.CONCAT(DADOS!$A$8,X50:AJ50,"
"))</f>
        <v/>
      </c>
    </row>
    <row r="51" spans="5:37" ht="15" customHeight="1" x14ac:dyDescent="0.25">
      <c r="E51" s="22"/>
      <c r="F51" s="22"/>
      <c r="G51" s="12"/>
      <c r="H51" s="22"/>
      <c r="I51" s="13"/>
      <c r="J51" s="14"/>
      <c r="K51" s="12"/>
      <c r="L51" s="15"/>
      <c r="M51" s="16"/>
      <c r="N51" s="15"/>
      <c r="O51" s="16"/>
      <c r="P51" s="17"/>
      <c r="Q51" s="15"/>
      <c r="R51" s="18"/>
      <c r="S51" s="20">
        <v>37</v>
      </c>
      <c r="V51" s="3">
        <f t="shared" si="0"/>
        <v>0</v>
      </c>
      <c r="X51" s="3" t="str">
        <f t="shared" si="1"/>
        <v/>
      </c>
      <c r="Y51" s="3" t="str">
        <f t="shared" si="2"/>
        <v/>
      </c>
      <c r="Z51" s="3" t="str">
        <f t="shared" si="3"/>
        <v/>
      </c>
      <c r="AA51" s="3" t="str">
        <f t="shared" si="13"/>
        <v/>
      </c>
      <c r="AB51" s="3" t="str">
        <f t="shared" si="4"/>
        <v/>
      </c>
      <c r="AC51" s="3" t="str">
        <f t="shared" si="5"/>
        <v/>
      </c>
      <c r="AD51" s="3" t="str">
        <f t="shared" si="6"/>
        <v/>
      </c>
      <c r="AE51" s="3" t="str">
        <f t="shared" si="7"/>
        <v/>
      </c>
      <c r="AF51" s="3" t="str">
        <f t="shared" si="8"/>
        <v/>
      </c>
      <c r="AG51" s="3" t="str">
        <f t="shared" si="9"/>
        <v/>
      </c>
      <c r="AH51" s="3" t="str">
        <f t="shared" si="10"/>
        <v/>
      </c>
      <c r="AI51" s="3" t="str">
        <f t="shared" si="11"/>
        <v/>
      </c>
      <c r="AJ51" s="3" t="str">
        <f t="shared" si="12"/>
        <v/>
      </c>
      <c r="AK51" s="3" t="str">
        <f>IF(V51=0,"",_xlfn.CONCAT(DADOS!$A$8,X51:AJ51,"
"))</f>
        <v/>
      </c>
    </row>
    <row r="52" spans="5:37" ht="15" customHeight="1" x14ac:dyDescent="0.25">
      <c r="E52" s="22"/>
      <c r="F52" s="22"/>
      <c r="G52" s="12"/>
      <c r="H52" s="22"/>
      <c r="I52" s="13"/>
      <c r="J52" s="14"/>
      <c r="K52" s="12"/>
      <c r="L52" s="15"/>
      <c r="M52" s="16"/>
      <c r="N52" s="15"/>
      <c r="O52" s="16"/>
      <c r="P52" s="17"/>
      <c r="Q52" s="15"/>
      <c r="R52" s="18"/>
      <c r="S52" s="20">
        <v>38</v>
      </c>
      <c r="V52" s="3">
        <f t="shared" si="0"/>
        <v>0</v>
      </c>
      <c r="X52" s="3" t="str">
        <f t="shared" si="1"/>
        <v/>
      </c>
      <c r="Y52" s="3" t="str">
        <f t="shared" si="2"/>
        <v/>
      </c>
      <c r="Z52" s="3" t="str">
        <f t="shared" si="3"/>
        <v/>
      </c>
      <c r="AA52" s="3" t="str">
        <f t="shared" si="13"/>
        <v/>
      </c>
      <c r="AB52" s="3" t="str">
        <f t="shared" si="4"/>
        <v/>
      </c>
      <c r="AC52" s="3" t="str">
        <f t="shared" si="5"/>
        <v/>
      </c>
      <c r="AD52" s="3" t="str">
        <f t="shared" si="6"/>
        <v/>
      </c>
      <c r="AE52" s="3" t="str">
        <f t="shared" si="7"/>
        <v/>
      </c>
      <c r="AF52" s="3" t="str">
        <f t="shared" si="8"/>
        <v/>
      </c>
      <c r="AG52" s="3" t="str">
        <f t="shared" si="9"/>
        <v/>
      </c>
      <c r="AH52" s="3" t="str">
        <f t="shared" si="10"/>
        <v/>
      </c>
      <c r="AI52" s="3" t="str">
        <f t="shared" si="11"/>
        <v/>
      </c>
      <c r="AJ52" s="3" t="str">
        <f t="shared" si="12"/>
        <v/>
      </c>
      <c r="AK52" s="3" t="str">
        <f>IF(V52=0,"",_xlfn.CONCAT(DADOS!$A$8,X52:AJ52,"
"))</f>
        <v/>
      </c>
    </row>
    <row r="53" spans="5:37" ht="15" customHeight="1" x14ac:dyDescent="0.25">
      <c r="E53" s="22"/>
      <c r="F53" s="22"/>
      <c r="G53" s="12"/>
      <c r="H53" s="22"/>
      <c r="I53" s="13"/>
      <c r="J53" s="14"/>
      <c r="K53" s="12"/>
      <c r="L53" s="15"/>
      <c r="M53" s="16"/>
      <c r="N53" s="15"/>
      <c r="O53" s="16"/>
      <c r="P53" s="17"/>
      <c r="Q53" s="15"/>
      <c r="R53" s="18"/>
      <c r="S53" s="20">
        <v>39</v>
      </c>
      <c r="V53" s="3">
        <f t="shared" si="0"/>
        <v>0</v>
      </c>
      <c r="X53" s="3" t="str">
        <f t="shared" si="1"/>
        <v/>
      </c>
      <c r="Y53" s="3" t="str">
        <f t="shared" si="2"/>
        <v/>
      </c>
      <c r="Z53" s="3" t="str">
        <f t="shared" si="3"/>
        <v/>
      </c>
      <c r="AA53" s="3" t="str">
        <f t="shared" si="13"/>
        <v/>
      </c>
      <c r="AB53" s="3" t="str">
        <f t="shared" si="4"/>
        <v/>
      </c>
      <c r="AC53" s="3" t="str">
        <f t="shared" si="5"/>
        <v/>
      </c>
      <c r="AD53" s="3" t="str">
        <f t="shared" si="6"/>
        <v/>
      </c>
      <c r="AE53" s="3" t="str">
        <f t="shared" si="7"/>
        <v/>
      </c>
      <c r="AF53" s="3" t="str">
        <f t="shared" si="8"/>
        <v/>
      </c>
      <c r="AG53" s="3" t="str">
        <f t="shared" si="9"/>
        <v/>
      </c>
      <c r="AH53" s="3" t="str">
        <f t="shared" si="10"/>
        <v/>
      </c>
      <c r="AI53" s="3" t="str">
        <f t="shared" si="11"/>
        <v/>
      </c>
      <c r="AJ53" s="3" t="str">
        <f t="shared" si="12"/>
        <v/>
      </c>
      <c r="AK53" s="3" t="str">
        <f>IF(V53=0,"",_xlfn.CONCAT(DADOS!$A$8,X53:AJ53,"
"))</f>
        <v/>
      </c>
    </row>
    <row r="54" spans="5:37" ht="15" customHeight="1" x14ac:dyDescent="0.25">
      <c r="E54" s="22"/>
      <c r="F54" s="22"/>
      <c r="G54" s="12"/>
      <c r="H54" s="22"/>
      <c r="I54" s="13"/>
      <c r="J54" s="14"/>
      <c r="K54" s="12"/>
      <c r="L54" s="15"/>
      <c r="M54" s="16"/>
      <c r="N54" s="15"/>
      <c r="O54" s="16"/>
      <c r="P54" s="17"/>
      <c r="Q54" s="15"/>
      <c r="R54" s="18"/>
      <c r="S54" s="20">
        <v>40</v>
      </c>
      <c r="V54" s="3">
        <f t="shared" si="0"/>
        <v>0</v>
      </c>
      <c r="X54" s="3" t="str">
        <f t="shared" si="1"/>
        <v/>
      </c>
      <c r="Y54" s="3" t="str">
        <f t="shared" si="2"/>
        <v/>
      </c>
      <c r="Z54" s="3" t="str">
        <f t="shared" si="3"/>
        <v/>
      </c>
      <c r="AA54" s="3" t="str">
        <f t="shared" si="13"/>
        <v/>
      </c>
      <c r="AB54" s="3" t="str">
        <f t="shared" si="4"/>
        <v/>
      </c>
      <c r="AC54" s="3" t="str">
        <f t="shared" si="5"/>
        <v/>
      </c>
      <c r="AD54" s="3" t="str">
        <f t="shared" si="6"/>
        <v/>
      </c>
      <c r="AE54" s="3" t="str">
        <f t="shared" si="7"/>
        <v/>
      </c>
      <c r="AF54" s="3" t="str">
        <f t="shared" si="8"/>
        <v/>
      </c>
      <c r="AG54" s="3" t="str">
        <f t="shared" si="9"/>
        <v/>
      </c>
      <c r="AH54" s="3" t="str">
        <f t="shared" si="10"/>
        <v/>
      </c>
      <c r="AI54" s="3" t="str">
        <f t="shared" si="11"/>
        <v/>
      </c>
      <c r="AJ54" s="3" t="str">
        <f t="shared" si="12"/>
        <v/>
      </c>
      <c r="AK54" s="3" t="str">
        <f>IF(V54=0,"",_xlfn.CONCAT(DADOS!$A$8,X54:AJ54,"
"))</f>
        <v/>
      </c>
    </row>
    <row r="55" spans="5:37" ht="15" customHeight="1" x14ac:dyDescent="0.25">
      <c r="E55" s="22"/>
      <c r="F55" s="22"/>
      <c r="G55" s="12"/>
      <c r="H55" s="22"/>
      <c r="I55" s="13"/>
      <c r="J55" s="14"/>
      <c r="K55" s="12"/>
      <c r="L55" s="15"/>
      <c r="M55" s="16"/>
      <c r="N55" s="15"/>
      <c r="O55" s="16"/>
      <c r="P55" s="17"/>
      <c r="Q55" s="15"/>
      <c r="R55" s="18"/>
      <c r="S55" s="20">
        <v>41</v>
      </c>
      <c r="V55" s="3">
        <f t="shared" si="0"/>
        <v>0</v>
      </c>
      <c r="X55" s="3" t="str">
        <f t="shared" si="1"/>
        <v/>
      </c>
      <c r="Y55" s="3" t="str">
        <f t="shared" si="2"/>
        <v/>
      </c>
      <c r="Z55" s="3" t="str">
        <f t="shared" si="3"/>
        <v/>
      </c>
      <c r="AA55" s="3" t="str">
        <f t="shared" si="13"/>
        <v/>
      </c>
      <c r="AB55" s="3" t="str">
        <f t="shared" si="4"/>
        <v/>
      </c>
      <c r="AC55" s="3" t="str">
        <f t="shared" si="5"/>
        <v/>
      </c>
      <c r="AD55" s="3" t="str">
        <f t="shared" si="6"/>
        <v/>
      </c>
      <c r="AE55" s="3" t="str">
        <f t="shared" si="7"/>
        <v/>
      </c>
      <c r="AF55" s="3" t="str">
        <f t="shared" si="8"/>
        <v/>
      </c>
      <c r="AG55" s="3" t="str">
        <f t="shared" si="9"/>
        <v/>
      </c>
      <c r="AH55" s="3" t="str">
        <f t="shared" si="10"/>
        <v/>
      </c>
      <c r="AI55" s="3" t="str">
        <f t="shared" si="11"/>
        <v/>
      </c>
      <c r="AJ55" s="3" t="str">
        <f t="shared" si="12"/>
        <v/>
      </c>
      <c r="AK55" s="3" t="str">
        <f>IF(V55=0,"",_xlfn.CONCAT(DADOS!$A$8,X55:AJ55,"
"))</f>
        <v/>
      </c>
    </row>
    <row r="56" spans="5:37" ht="15" customHeight="1" x14ac:dyDescent="0.25">
      <c r="E56" s="22"/>
      <c r="F56" s="22"/>
      <c r="G56" s="12"/>
      <c r="H56" s="22"/>
      <c r="I56" s="13"/>
      <c r="J56" s="14"/>
      <c r="K56" s="12"/>
      <c r="L56" s="15"/>
      <c r="M56" s="16"/>
      <c r="N56" s="15"/>
      <c r="O56" s="16"/>
      <c r="P56" s="17"/>
      <c r="Q56" s="15"/>
      <c r="R56" s="18"/>
      <c r="S56" s="20">
        <v>42</v>
      </c>
      <c r="V56" s="3">
        <f t="shared" si="0"/>
        <v>0</v>
      </c>
      <c r="X56" s="3" t="str">
        <f t="shared" si="1"/>
        <v/>
      </c>
      <c r="Y56" s="3" t="str">
        <f t="shared" si="2"/>
        <v/>
      </c>
      <c r="Z56" s="3" t="str">
        <f t="shared" si="3"/>
        <v/>
      </c>
      <c r="AA56" s="3" t="str">
        <f t="shared" si="13"/>
        <v/>
      </c>
      <c r="AB56" s="3" t="str">
        <f t="shared" si="4"/>
        <v/>
      </c>
      <c r="AC56" s="3" t="str">
        <f t="shared" si="5"/>
        <v/>
      </c>
      <c r="AD56" s="3" t="str">
        <f t="shared" si="6"/>
        <v/>
      </c>
      <c r="AE56" s="3" t="str">
        <f t="shared" si="7"/>
        <v/>
      </c>
      <c r="AF56" s="3" t="str">
        <f t="shared" si="8"/>
        <v/>
      </c>
      <c r="AG56" s="3" t="str">
        <f t="shared" si="9"/>
        <v/>
      </c>
      <c r="AH56" s="3" t="str">
        <f t="shared" si="10"/>
        <v/>
      </c>
      <c r="AI56" s="3" t="str">
        <f t="shared" si="11"/>
        <v/>
      </c>
      <c r="AJ56" s="3" t="str">
        <f t="shared" si="12"/>
        <v/>
      </c>
      <c r="AK56" s="3" t="str">
        <f>IF(V56=0,"",_xlfn.CONCAT(DADOS!$A$8,X56:AJ56,"
"))</f>
        <v/>
      </c>
    </row>
    <row r="57" spans="5:37" ht="15" customHeight="1" x14ac:dyDescent="0.25">
      <c r="E57" s="22"/>
      <c r="F57" s="22"/>
      <c r="G57" s="12"/>
      <c r="H57" s="22"/>
      <c r="I57" s="13"/>
      <c r="J57" s="14"/>
      <c r="K57" s="12"/>
      <c r="L57" s="15"/>
      <c r="M57" s="16"/>
      <c r="N57" s="15"/>
      <c r="O57" s="16"/>
      <c r="P57" s="17"/>
      <c r="Q57" s="15"/>
      <c r="R57" s="18"/>
      <c r="S57" s="20">
        <v>43</v>
      </c>
      <c r="V57" s="3">
        <f t="shared" si="0"/>
        <v>0</v>
      </c>
      <c r="X57" s="3" t="str">
        <f t="shared" si="1"/>
        <v/>
      </c>
      <c r="Y57" s="3" t="str">
        <f t="shared" si="2"/>
        <v/>
      </c>
      <c r="Z57" s="3" t="str">
        <f t="shared" si="3"/>
        <v/>
      </c>
      <c r="AA57" s="3" t="str">
        <f t="shared" si="13"/>
        <v/>
      </c>
      <c r="AB57" s="3" t="str">
        <f t="shared" si="4"/>
        <v/>
      </c>
      <c r="AC57" s="3" t="str">
        <f t="shared" si="5"/>
        <v/>
      </c>
      <c r="AD57" s="3" t="str">
        <f t="shared" si="6"/>
        <v/>
      </c>
      <c r="AE57" s="3" t="str">
        <f t="shared" si="7"/>
        <v/>
      </c>
      <c r="AF57" s="3" t="str">
        <f t="shared" si="8"/>
        <v/>
      </c>
      <c r="AG57" s="3" t="str">
        <f t="shared" si="9"/>
        <v/>
      </c>
      <c r="AH57" s="3" t="str">
        <f t="shared" si="10"/>
        <v/>
      </c>
      <c r="AI57" s="3" t="str">
        <f t="shared" si="11"/>
        <v/>
      </c>
      <c r="AJ57" s="3" t="str">
        <f t="shared" si="12"/>
        <v/>
      </c>
      <c r="AK57" s="3" t="str">
        <f>IF(V57=0,"",_xlfn.CONCAT(DADOS!$A$8,X57:AJ57,"
"))</f>
        <v/>
      </c>
    </row>
    <row r="58" spans="5:37" ht="15" customHeight="1" x14ac:dyDescent="0.25">
      <c r="E58" s="22"/>
      <c r="F58" s="22"/>
      <c r="G58" s="12"/>
      <c r="H58" s="22"/>
      <c r="I58" s="13"/>
      <c r="J58" s="14"/>
      <c r="K58" s="12"/>
      <c r="L58" s="15"/>
      <c r="M58" s="16"/>
      <c r="N58" s="15"/>
      <c r="O58" s="16"/>
      <c r="P58" s="17"/>
      <c r="Q58" s="15"/>
      <c r="R58" s="18"/>
      <c r="S58" s="20">
        <v>44</v>
      </c>
      <c r="V58" s="3">
        <f t="shared" si="0"/>
        <v>0</v>
      </c>
      <c r="X58" s="3" t="str">
        <f t="shared" si="1"/>
        <v/>
      </c>
      <c r="Y58" s="3" t="str">
        <f t="shared" si="2"/>
        <v/>
      </c>
      <c r="Z58" s="3" t="str">
        <f t="shared" si="3"/>
        <v/>
      </c>
      <c r="AA58" s="3" t="str">
        <f t="shared" si="13"/>
        <v/>
      </c>
      <c r="AB58" s="3" t="str">
        <f t="shared" si="4"/>
        <v/>
      </c>
      <c r="AC58" s="3" t="str">
        <f t="shared" si="5"/>
        <v/>
      </c>
      <c r="AD58" s="3" t="str">
        <f t="shared" si="6"/>
        <v/>
      </c>
      <c r="AE58" s="3" t="str">
        <f t="shared" si="7"/>
        <v/>
      </c>
      <c r="AF58" s="3" t="str">
        <f t="shared" si="8"/>
        <v/>
      </c>
      <c r="AG58" s="3" t="str">
        <f t="shared" si="9"/>
        <v/>
      </c>
      <c r="AH58" s="3" t="str">
        <f t="shared" si="10"/>
        <v/>
      </c>
      <c r="AI58" s="3" t="str">
        <f t="shared" si="11"/>
        <v/>
      </c>
      <c r="AJ58" s="3" t="str">
        <f t="shared" si="12"/>
        <v/>
      </c>
      <c r="AK58" s="3" t="str">
        <f>IF(V58=0,"",_xlfn.CONCAT(DADOS!$A$8,X58:AJ58,"
"))</f>
        <v/>
      </c>
    </row>
    <row r="59" spans="5:37" ht="15" customHeight="1" x14ac:dyDescent="0.25">
      <c r="E59" s="22"/>
      <c r="F59" s="22"/>
      <c r="G59" s="12"/>
      <c r="H59" s="22"/>
      <c r="I59" s="13"/>
      <c r="J59" s="14"/>
      <c r="K59" s="12"/>
      <c r="L59" s="15"/>
      <c r="M59" s="16"/>
      <c r="N59" s="15"/>
      <c r="O59" s="16"/>
      <c r="P59" s="17"/>
      <c r="Q59" s="15"/>
      <c r="R59" s="18"/>
      <c r="S59" s="20">
        <v>45</v>
      </c>
      <c r="V59" s="3">
        <f t="shared" si="0"/>
        <v>0</v>
      </c>
      <c r="X59" s="3" t="str">
        <f t="shared" si="1"/>
        <v/>
      </c>
      <c r="Y59" s="3" t="str">
        <f t="shared" si="2"/>
        <v/>
      </c>
      <c r="Z59" s="3" t="str">
        <f t="shared" si="3"/>
        <v/>
      </c>
      <c r="AA59" s="3" t="str">
        <f t="shared" si="13"/>
        <v/>
      </c>
      <c r="AB59" s="3" t="str">
        <f t="shared" si="4"/>
        <v/>
      </c>
      <c r="AC59" s="3" t="str">
        <f t="shared" si="5"/>
        <v/>
      </c>
      <c r="AD59" s="3" t="str">
        <f t="shared" si="6"/>
        <v/>
      </c>
      <c r="AE59" s="3" t="str">
        <f t="shared" si="7"/>
        <v/>
      </c>
      <c r="AF59" s="3" t="str">
        <f t="shared" si="8"/>
        <v/>
      </c>
      <c r="AG59" s="3" t="str">
        <f t="shared" si="9"/>
        <v/>
      </c>
      <c r="AH59" s="3" t="str">
        <f t="shared" si="10"/>
        <v/>
      </c>
      <c r="AI59" s="3" t="str">
        <f t="shared" si="11"/>
        <v/>
      </c>
      <c r="AJ59" s="3" t="str">
        <f t="shared" si="12"/>
        <v/>
      </c>
      <c r="AK59" s="3" t="str">
        <f>IF(V59=0,"",_xlfn.CONCAT(DADOS!$A$8,X59:AJ59,"
"))</f>
        <v/>
      </c>
    </row>
    <row r="60" spans="5:37" ht="15" customHeight="1" x14ac:dyDescent="0.25">
      <c r="E60" s="22"/>
      <c r="F60" s="22"/>
      <c r="G60" s="12"/>
      <c r="H60" s="22"/>
      <c r="I60" s="13"/>
      <c r="J60" s="14"/>
      <c r="K60" s="12"/>
      <c r="L60" s="15"/>
      <c r="M60" s="16"/>
      <c r="N60" s="15"/>
      <c r="O60" s="16"/>
      <c r="P60" s="17"/>
      <c r="Q60" s="15"/>
      <c r="R60" s="18"/>
      <c r="S60" s="20">
        <v>46</v>
      </c>
      <c r="V60" s="3">
        <f t="shared" si="0"/>
        <v>0</v>
      </c>
      <c r="X60" s="3" t="str">
        <f t="shared" si="1"/>
        <v/>
      </c>
      <c r="Y60" s="3" t="str">
        <f t="shared" si="2"/>
        <v/>
      </c>
      <c r="Z60" s="3" t="str">
        <f t="shared" si="3"/>
        <v/>
      </c>
      <c r="AA60" s="3" t="str">
        <f t="shared" si="13"/>
        <v/>
      </c>
      <c r="AB60" s="3" t="str">
        <f t="shared" si="4"/>
        <v/>
      </c>
      <c r="AC60" s="3" t="str">
        <f t="shared" si="5"/>
        <v/>
      </c>
      <c r="AD60" s="3" t="str">
        <f t="shared" si="6"/>
        <v/>
      </c>
      <c r="AE60" s="3" t="str">
        <f t="shared" si="7"/>
        <v/>
      </c>
      <c r="AF60" s="3" t="str">
        <f t="shared" si="8"/>
        <v/>
      </c>
      <c r="AG60" s="3" t="str">
        <f t="shared" si="9"/>
        <v/>
      </c>
      <c r="AH60" s="3" t="str">
        <f t="shared" si="10"/>
        <v/>
      </c>
      <c r="AI60" s="3" t="str">
        <f t="shared" si="11"/>
        <v/>
      </c>
      <c r="AJ60" s="3" t="str">
        <f t="shared" si="12"/>
        <v/>
      </c>
      <c r="AK60" s="3" t="str">
        <f>IF(V60=0,"",_xlfn.CONCAT(DADOS!$A$8,X60:AJ60,"
"))</f>
        <v/>
      </c>
    </row>
    <row r="61" spans="5:37" ht="15" customHeight="1" x14ac:dyDescent="0.25">
      <c r="E61" s="22"/>
      <c r="F61" s="22"/>
      <c r="G61" s="12"/>
      <c r="H61" s="22"/>
      <c r="I61" s="13"/>
      <c r="J61" s="14"/>
      <c r="K61" s="12"/>
      <c r="L61" s="15"/>
      <c r="M61" s="16"/>
      <c r="N61" s="15"/>
      <c r="O61" s="16"/>
      <c r="P61" s="17"/>
      <c r="Q61" s="15"/>
      <c r="R61" s="18"/>
      <c r="S61" s="20">
        <v>47</v>
      </c>
      <c r="V61" s="3">
        <f t="shared" si="0"/>
        <v>0</v>
      </c>
      <c r="X61" s="3" t="str">
        <f t="shared" si="1"/>
        <v/>
      </c>
      <c r="Y61" s="3" t="str">
        <f t="shared" si="2"/>
        <v/>
      </c>
      <c r="Z61" s="3" t="str">
        <f t="shared" si="3"/>
        <v/>
      </c>
      <c r="AA61" s="3" t="str">
        <f t="shared" si="13"/>
        <v/>
      </c>
      <c r="AB61" s="3" t="str">
        <f t="shared" si="4"/>
        <v/>
      </c>
      <c r="AC61" s="3" t="str">
        <f t="shared" si="5"/>
        <v/>
      </c>
      <c r="AD61" s="3" t="str">
        <f t="shared" si="6"/>
        <v/>
      </c>
      <c r="AE61" s="3" t="str">
        <f t="shared" si="7"/>
        <v/>
      </c>
      <c r="AF61" s="3" t="str">
        <f t="shared" si="8"/>
        <v/>
      </c>
      <c r="AG61" s="3" t="str">
        <f t="shared" si="9"/>
        <v/>
      </c>
      <c r="AH61" s="3" t="str">
        <f t="shared" si="10"/>
        <v/>
      </c>
      <c r="AI61" s="3" t="str">
        <f t="shared" si="11"/>
        <v/>
      </c>
      <c r="AJ61" s="3" t="str">
        <f t="shared" si="12"/>
        <v/>
      </c>
      <c r="AK61" s="3" t="str">
        <f>IF(V61=0,"",_xlfn.CONCAT(DADOS!$A$8,X61:AJ61,"
"))</f>
        <v/>
      </c>
    </row>
    <row r="62" spans="5:37" ht="15" customHeight="1" x14ac:dyDescent="0.25">
      <c r="E62" s="22"/>
      <c r="F62" s="22"/>
      <c r="G62" s="12"/>
      <c r="H62" s="22"/>
      <c r="I62" s="13"/>
      <c r="J62" s="14"/>
      <c r="K62" s="12"/>
      <c r="L62" s="15"/>
      <c r="M62" s="16"/>
      <c r="N62" s="15"/>
      <c r="O62" s="16"/>
      <c r="P62" s="17"/>
      <c r="Q62" s="15"/>
      <c r="R62" s="18"/>
      <c r="S62" s="20">
        <v>48</v>
      </c>
      <c r="V62" s="3">
        <f t="shared" si="0"/>
        <v>0</v>
      </c>
      <c r="X62" s="3" t="str">
        <f t="shared" si="1"/>
        <v/>
      </c>
      <c r="Y62" s="3" t="str">
        <f t="shared" si="2"/>
        <v/>
      </c>
      <c r="Z62" s="3" t="str">
        <f t="shared" si="3"/>
        <v/>
      </c>
      <c r="AA62" s="3" t="str">
        <f t="shared" si="13"/>
        <v/>
      </c>
      <c r="AB62" s="3" t="str">
        <f t="shared" si="4"/>
        <v/>
      </c>
      <c r="AC62" s="3" t="str">
        <f t="shared" si="5"/>
        <v/>
      </c>
      <c r="AD62" s="3" t="str">
        <f t="shared" si="6"/>
        <v/>
      </c>
      <c r="AE62" s="3" t="str">
        <f t="shared" si="7"/>
        <v/>
      </c>
      <c r="AF62" s="3" t="str">
        <f t="shared" si="8"/>
        <v/>
      </c>
      <c r="AG62" s="3" t="str">
        <f t="shared" si="9"/>
        <v/>
      </c>
      <c r="AH62" s="3" t="str">
        <f t="shared" si="10"/>
        <v/>
      </c>
      <c r="AI62" s="3" t="str">
        <f t="shared" si="11"/>
        <v/>
      </c>
      <c r="AJ62" s="3" t="str">
        <f t="shared" si="12"/>
        <v/>
      </c>
      <c r="AK62" s="3" t="str">
        <f>IF(V62=0,"",_xlfn.CONCAT(DADOS!$A$8,X62:AJ62,"
"))</f>
        <v/>
      </c>
    </row>
    <row r="63" spans="5:37" ht="15" customHeight="1" x14ac:dyDescent="0.25">
      <c r="E63" s="22"/>
      <c r="F63" s="22"/>
      <c r="G63" s="12"/>
      <c r="H63" s="22"/>
      <c r="I63" s="13"/>
      <c r="J63" s="14"/>
      <c r="K63" s="12"/>
      <c r="L63" s="15"/>
      <c r="M63" s="16"/>
      <c r="N63" s="15"/>
      <c r="O63" s="16"/>
      <c r="P63" s="17"/>
      <c r="Q63" s="15"/>
      <c r="R63" s="18"/>
      <c r="S63" s="20">
        <v>49</v>
      </c>
      <c r="V63" s="3">
        <f t="shared" si="0"/>
        <v>0</v>
      </c>
      <c r="X63" s="3" t="str">
        <f t="shared" si="1"/>
        <v/>
      </c>
      <c r="Y63" s="3" t="str">
        <f t="shared" si="2"/>
        <v/>
      </c>
      <c r="Z63" s="3" t="str">
        <f t="shared" si="3"/>
        <v/>
      </c>
      <c r="AA63" s="3" t="str">
        <f t="shared" si="13"/>
        <v/>
      </c>
      <c r="AB63" s="3" t="str">
        <f t="shared" si="4"/>
        <v/>
      </c>
      <c r="AC63" s="3" t="str">
        <f t="shared" si="5"/>
        <v/>
      </c>
      <c r="AD63" s="3" t="str">
        <f t="shared" si="6"/>
        <v/>
      </c>
      <c r="AE63" s="3" t="str">
        <f t="shared" si="7"/>
        <v/>
      </c>
      <c r="AF63" s="3" t="str">
        <f t="shared" si="8"/>
        <v/>
      </c>
      <c r="AG63" s="3" t="str">
        <f t="shared" si="9"/>
        <v/>
      </c>
      <c r="AH63" s="3" t="str">
        <f t="shared" si="10"/>
        <v/>
      </c>
      <c r="AI63" s="3" t="str">
        <f t="shared" si="11"/>
        <v/>
      </c>
      <c r="AJ63" s="3" t="str">
        <f t="shared" si="12"/>
        <v/>
      </c>
      <c r="AK63" s="3" t="str">
        <f>IF(V63=0,"",_xlfn.CONCAT(DADOS!$A$8,X63:AJ63,"
"))</f>
        <v/>
      </c>
    </row>
    <row r="64" spans="5:37" ht="15" customHeight="1" x14ac:dyDescent="0.25">
      <c r="E64" s="22"/>
      <c r="F64" s="22"/>
      <c r="G64" s="12"/>
      <c r="H64" s="22"/>
      <c r="I64" s="13"/>
      <c r="J64" s="14"/>
      <c r="K64" s="12"/>
      <c r="L64" s="15"/>
      <c r="M64" s="16"/>
      <c r="N64" s="15"/>
      <c r="O64" s="16"/>
      <c r="P64" s="17"/>
      <c r="Q64" s="15"/>
      <c r="R64" s="18"/>
      <c r="S64" s="20">
        <v>50</v>
      </c>
      <c r="V64" s="3">
        <f t="shared" si="0"/>
        <v>0</v>
      </c>
      <c r="X64" s="3" t="str">
        <f t="shared" si="1"/>
        <v/>
      </c>
      <c r="Y64" s="3" t="str">
        <f t="shared" si="2"/>
        <v/>
      </c>
      <c r="Z64" s="3" t="str">
        <f t="shared" si="3"/>
        <v/>
      </c>
      <c r="AA64" s="3" t="str">
        <f t="shared" si="13"/>
        <v/>
      </c>
      <c r="AB64" s="3" t="str">
        <f t="shared" si="4"/>
        <v/>
      </c>
      <c r="AC64" s="3" t="str">
        <f t="shared" si="5"/>
        <v/>
      </c>
      <c r="AD64" s="3" t="str">
        <f t="shared" si="6"/>
        <v/>
      </c>
      <c r="AE64" s="3" t="str">
        <f t="shared" si="7"/>
        <v/>
      </c>
      <c r="AF64" s="3" t="str">
        <f t="shared" si="8"/>
        <v/>
      </c>
      <c r="AG64" s="3" t="str">
        <f t="shared" si="9"/>
        <v/>
      </c>
      <c r="AH64" s="3" t="str">
        <f t="shared" si="10"/>
        <v/>
      </c>
      <c r="AI64" s="3" t="str">
        <f t="shared" si="11"/>
        <v/>
      </c>
      <c r="AJ64" s="3" t="str">
        <f t="shared" si="12"/>
        <v/>
      </c>
      <c r="AK64" s="3" t="str">
        <f>IF(V64=0,"",_xlfn.CONCAT(DADOS!$A$8,X64:AJ64,"
"))</f>
        <v/>
      </c>
    </row>
    <row r="65" spans="5:37" ht="15" customHeight="1" x14ac:dyDescent="0.25">
      <c r="E65" s="22"/>
      <c r="F65" s="22"/>
      <c r="G65" s="12"/>
      <c r="H65" s="22"/>
      <c r="I65" s="13"/>
      <c r="J65" s="14"/>
      <c r="K65" s="12"/>
      <c r="L65" s="15"/>
      <c r="M65" s="16"/>
      <c r="N65" s="15"/>
      <c r="O65" s="16"/>
      <c r="P65" s="17"/>
      <c r="Q65" s="15"/>
      <c r="R65" s="18"/>
      <c r="S65" s="20">
        <v>51</v>
      </c>
      <c r="V65" s="3">
        <f t="shared" si="0"/>
        <v>0</v>
      </c>
      <c r="X65" s="3" t="str">
        <f t="shared" si="1"/>
        <v/>
      </c>
      <c r="Y65" s="3" t="str">
        <f t="shared" si="2"/>
        <v/>
      </c>
      <c r="Z65" s="3" t="str">
        <f t="shared" si="3"/>
        <v/>
      </c>
      <c r="AA65" s="3" t="str">
        <f t="shared" si="13"/>
        <v/>
      </c>
      <c r="AB65" s="3" t="str">
        <f t="shared" si="4"/>
        <v/>
      </c>
      <c r="AC65" s="3" t="str">
        <f t="shared" si="5"/>
        <v/>
      </c>
      <c r="AD65" s="3" t="str">
        <f t="shared" si="6"/>
        <v/>
      </c>
      <c r="AE65" s="3" t="str">
        <f t="shared" si="7"/>
        <v/>
      </c>
      <c r="AF65" s="3" t="str">
        <f t="shared" si="8"/>
        <v/>
      </c>
      <c r="AG65" s="3" t="str">
        <f t="shared" si="9"/>
        <v/>
      </c>
      <c r="AH65" s="3" t="str">
        <f t="shared" si="10"/>
        <v/>
      </c>
      <c r="AI65" s="3" t="str">
        <f t="shared" si="11"/>
        <v/>
      </c>
      <c r="AJ65" s="3" t="str">
        <f t="shared" si="12"/>
        <v/>
      </c>
      <c r="AK65" s="3" t="str">
        <f>IF(V65=0,"",_xlfn.CONCAT(DADOS!$A$8,X65:AJ65,"
"))</f>
        <v/>
      </c>
    </row>
    <row r="66" spans="5:37" ht="15" customHeight="1" x14ac:dyDescent="0.25">
      <c r="E66" s="22"/>
      <c r="F66" s="22"/>
      <c r="G66" s="12"/>
      <c r="H66" s="22"/>
      <c r="I66" s="13"/>
      <c r="J66" s="14"/>
      <c r="K66" s="12"/>
      <c r="L66" s="15"/>
      <c r="M66" s="16"/>
      <c r="N66" s="15"/>
      <c r="O66" s="16"/>
      <c r="P66" s="17"/>
      <c r="Q66" s="15"/>
      <c r="R66" s="18"/>
      <c r="S66" s="20">
        <v>52</v>
      </c>
      <c r="V66" s="3">
        <f t="shared" si="0"/>
        <v>0</v>
      </c>
      <c r="X66" s="3" t="str">
        <f t="shared" si="1"/>
        <v/>
      </c>
      <c r="Y66" s="3" t="str">
        <f t="shared" si="2"/>
        <v/>
      </c>
      <c r="Z66" s="3" t="str">
        <f t="shared" si="3"/>
        <v/>
      </c>
      <c r="AA66" s="3" t="str">
        <f t="shared" si="13"/>
        <v/>
      </c>
      <c r="AB66" s="3" t="str">
        <f t="shared" si="4"/>
        <v/>
      </c>
      <c r="AC66" s="3" t="str">
        <f t="shared" si="5"/>
        <v/>
      </c>
      <c r="AD66" s="3" t="str">
        <f t="shared" si="6"/>
        <v/>
      </c>
      <c r="AE66" s="3" t="str">
        <f t="shared" si="7"/>
        <v/>
      </c>
      <c r="AF66" s="3" t="str">
        <f t="shared" si="8"/>
        <v/>
      </c>
      <c r="AG66" s="3" t="str">
        <f t="shared" si="9"/>
        <v/>
      </c>
      <c r="AH66" s="3" t="str">
        <f t="shared" si="10"/>
        <v/>
      </c>
      <c r="AI66" s="3" t="str">
        <f t="shared" si="11"/>
        <v/>
      </c>
      <c r="AJ66" s="3" t="str">
        <f t="shared" si="12"/>
        <v/>
      </c>
      <c r="AK66" s="3" t="str">
        <f>IF(V66=0,"",_xlfn.CONCAT(DADOS!$A$8,X66:AJ66,"
"))</f>
        <v/>
      </c>
    </row>
    <row r="67" spans="5:37" ht="15" customHeight="1" x14ac:dyDescent="0.25">
      <c r="E67" s="22"/>
      <c r="F67" s="22"/>
      <c r="G67" s="12"/>
      <c r="H67" s="22"/>
      <c r="I67" s="13"/>
      <c r="J67" s="14"/>
      <c r="K67" s="12"/>
      <c r="L67" s="15"/>
      <c r="M67" s="16"/>
      <c r="N67" s="15"/>
      <c r="O67" s="16"/>
      <c r="P67" s="17"/>
      <c r="Q67" s="15"/>
      <c r="R67" s="18"/>
      <c r="S67" s="20">
        <v>53</v>
      </c>
      <c r="V67" s="3">
        <f t="shared" si="0"/>
        <v>0</v>
      </c>
      <c r="X67" s="3" t="str">
        <f t="shared" si="1"/>
        <v/>
      </c>
      <c r="Y67" s="3" t="str">
        <f t="shared" si="2"/>
        <v/>
      </c>
      <c r="Z67" s="3" t="str">
        <f t="shared" si="3"/>
        <v/>
      </c>
      <c r="AA67" s="3" t="str">
        <f t="shared" si="13"/>
        <v/>
      </c>
      <c r="AB67" s="3" t="str">
        <f t="shared" si="4"/>
        <v/>
      </c>
      <c r="AC67" s="3" t="str">
        <f t="shared" si="5"/>
        <v/>
      </c>
      <c r="AD67" s="3" t="str">
        <f t="shared" si="6"/>
        <v/>
      </c>
      <c r="AE67" s="3" t="str">
        <f t="shared" si="7"/>
        <v/>
      </c>
      <c r="AF67" s="3" t="str">
        <f t="shared" si="8"/>
        <v/>
      </c>
      <c r="AG67" s="3" t="str">
        <f t="shared" si="9"/>
        <v/>
      </c>
      <c r="AH67" s="3" t="str">
        <f t="shared" si="10"/>
        <v/>
      </c>
      <c r="AI67" s="3" t="str">
        <f t="shared" si="11"/>
        <v/>
      </c>
      <c r="AJ67" s="3" t="str">
        <f t="shared" si="12"/>
        <v/>
      </c>
      <c r="AK67" s="3" t="str">
        <f>IF(V67=0,"",_xlfn.CONCAT(DADOS!$A$8,X67:AJ67,"
"))</f>
        <v/>
      </c>
    </row>
    <row r="68" spans="5:37" ht="15" customHeight="1" x14ac:dyDescent="0.25">
      <c r="E68" s="22"/>
      <c r="F68" s="22"/>
      <c r="G68" s="12"/>
      <c r="H68" s="22"/>
      <c r="I68" s="13"/>
      <c r="J68" s="14"/>
      <c r="K68" s="12"/>
      <c r="L68" s="15"/>
      <c r="M68" s="16"/>
      <c r="N68" s="15"/>
      <c r="O68" s="16"/>
      <c r="P68" s="17"/>
      <c r="Q68" s="15"/>
      <c r="R68" s="18"/>
      <c r="S68" s="20">
        <v>54</v>
      </c>
      <c r="V68" s="3">
        <f t="shared" si="0"/>
        <v>0</v>
      </c>
      <c r="X68" s="3" t="str">
        <f t="shared" si="1"/>
        <v/>
      </c>
      <c r="Y68" s="3" t="str">
        <f t="shared" si="2"/>
        <v/>
      </c>
      <c r="Z68" s="3" t="str">
        <f t="shared" si="3"/>
        <v/>
      </c>
      <c r="AA68" s="3" t="str">
        <f t="shared" si="13"/>
        <v/>
      </c>
      <c r="AB68" s="3" t="str">
        <f t="shared" si="4"/>
        <v/>
      </c>
      <c r="AC68" s="3" t="str">
        <f t="shared" si="5"/>
        <v/>
      </c>
      <c r="AD68" s="3" t="str">
        <f t="shared" si="6"/>
        <v/>
      </c>
      <c r="AE68" s="3" t="str">
        <f t="shared" si="7"/>
        <v/>
      </c>
      <c r="AF68" s="3" t="str">
        <f t="shared" si="8"/>
        <v/>
      </c>
      <c r="AG68" s="3" t="str">
        <f t="shared" si="9"/>
        <v/>
      </c>
      <c r="AH68" s="3" t="str">
        <f t="shared" si="10"/>
        <v/>
      </c>
      <c r="AI68" s="3" t="str">
        <f t="shared" si="11"/>
        <v/>
      </c>
      <c r="AJ68" s="3" t="str">
        <f t="shared" si="12"/>
        <v/>
      </c>
      <c r="AK68" s="3" t="str">
        <f>IF(V68=0,"",_xlfn.CONCAT(DADOS!$A$8,X68:AJ68,"
"))</f>
        <v/>
      </c>
    </row>
    <row r="69" spans="5:37" ht="15" customHeight="1" x14ac:dyDescent="0.25">
      <c r="E69" s="22"/>
      <c r="F69" s="22"/>
      <c r="G69" s="12"/>
      <c r="H69" s="22"/>
      <c r="I69" s="13"/>
      <c r="J69" s="14"/>
      <c r="K69" s="12"/>
      <c r="L69" s="15"/>
      <c r="M69" s="16"/>
      <c r="N69" s="15"/>
      <c r="O69" s="16"/>
      <c r="P69" s="17"/>
      <c r="Q69" s="15"/>
      <c r="R69" s="18"/>
      <c r="S69" s="20">
        <v>55</v>
      </c>
      <c r="V69" s="3">
        <f t="shared" si="0"/>
        <v>0</v>
      </c>
      <c r="X69" s="3" t="str">
        <f t="shared" si="1"/>
        <v/>
      </c>
      <c r="Y69" s="3" t="str">
        <f t="shared" si="2"/>
        <v/>
      </c>
      <c r="Z69" s="3" t="str">
        <f t="shared" si="3"/>
        <v/>
      </c>
      <c r="AA69" s="3" t="str">
        <f t="shared" si="13"/>
        <v/>
      </c>
      <c r="AB69" s="3" t="str">
        <f t="shared" si="4"/>
        <v/>
      </c>
      <c r="AC69" s="3" t="str">
        <f t="shared" si="5"/>
        <v/>
      </c>
      <c r="AD69" s="3" t="str">
        <f t="shared" si="6"/>
        <v/>
      </c>
      <c r="AE69" s="3" t="str">
        <f t="shared" si="7"/>
        <v/>
      </c>
      <c r="AF69" s="3" t="str">
        <f t="shared" si="8"/>
        <v/>
      </c>
      <c r="AG69" s="3" t="str">
        <f t="shared" si="9"/>
        <v/>
      </c>
      <c r="AH69" s="3" t="str">
        <f t="shared" si="10"/>
        <v/>
      </c>
      <c r="AI69" s="3" t="str">
        <f t="shared" si="11"/>
        <v/>
      </c>
      <c r="AJ69" s="3" t="str">
        <f t="shared" si="12"/>
        <v/>
      </c>
      <c r="AK69" s="3" t="str">
        <f>IF(V69=0,"",_xlfn.CONCAT(DADOS!$A$8,X69:AJ69,"
"))</f>
        <v/>
      </c>
    </row>
    <row r="70" spans="5:37" ht="15" customHeight="1" x14ac:dyDescent="0.25">
      <c r="E70" s="22"/>
      <c r="F70" s="22"/>
      <c r="G70" s="12"/>
      <c r="H70" s="22"/>
      <c r="I70" s="13"/>
      <c r="J70" s="14"/>
      <c r="K70" s="12"/>
      <c r="L70" s="15"/>
      <c r="M70" s="16"/>
      <c r="N70" s="15"/>
      <c r="O70" s="16"/>
      <c r="P70" s="17"/>
      <c r="Q70" s="15"/>
      <c r="R70" s="18"/>
      <c r="S70" s="20">
        <v>56</v>
      </c>
      <c r="V70" s="3">
        <f t="shared" si="0"/>
        <v>0</v>
      </c>
      <c r="X70" s="3" t="str">
        <f t="shared" si="1"/>
        <v/>
      </c>
      <c r="Y70" s="3" t="str">
        <f t="shared" si="2"/>
        <v/>
      </c>
      <c r="Z70" s="3" t="str">
        <f t="shared" si="3"/>
        <v/>
      </c>
      <c r="AA70" s="3" t="str">
        <f t="shared" si="13"/>
        <v/>
      </c>
      <c r="AB70" s="3" t="str">
        <f t="shared" si="4"/>
        <v/>
      </c>
      <c r="AC70" s="3" t="str">
        <f t="shared" si="5"/>
        <v/>
      </c>
      <c r="AD70" s="3" t="str">
        <f t="shared" si="6"/>
        <v/>
      </c>
      <c r="AE70" s="3" t="str">
        <f t="shared" si="7"/>
        <v/>
      </c>
      <c r="AF70" s="3" t="str">
        <f t="shared" si="8"/>
        <v/>
      </c>
      <c r="AG70" s="3" t="str">
        <f t="shared" si="9"/>
        <v/>
      </c>
      <c r="AH70" s="3" t="str">
        <f t="shared" si="10"/>
        <v/>
      </c>
      <c r="AI70" s="3" t="str">
        <f t="shared" si="11"/>
        <v/>
      </c>
      <c r="AJ70" s="3" t="str">
        <f t="shared" si="12"/>
        <v/>
      </c>
      <c r="AK70" s="3" t="str">
        <f>IF(V70=0,"",_xlfn.CONCAT(DADOS!$A$8,X70:AJ70,"
"))</f>
        <v/>
      </c>
    </row>
    <row r="71" spans="5:37" ht="15" customHeight="1" x14ac:dyDescent="0.25">
      <c r="E71" s="22"/>
      <c r="F71" s="22"/>
      <c r="G71" s="12"/>
      <c r="H71" s="22"/>
      <c r="I71" s="13"/>
      <c r="J71" s="14"/>
      <c r="K71" s="12"/>
      <c r="L71" s="15"/>
      <c r="M71" s="16"/>
      <c r="N71" s="15"/>
      <c r="O71" s="16"/>
      <c r="P71" s="17"/>
      <c r="Q71" s="15"/>
      <c r="R71" s="18"/>
      <c r="S71" s="20">
        <v>57</v>
      </c>
      <c r="V71" s="3">
        <f t="shared" si="0"/>
        <v>0</v>
      </c>
      <c r="X71" s="3" t="str">
        <f t="shared" si="1"/>
        <v/>
      </c>
      <c r="Y71" s="3" t="str">
        <f t="shared" si="2"/>
        <v/>
      </c>
      <c r="Z71" s="3" t="str">
        <f t="shared" si="3"/>
        <v/>
      </c>
      <c r="AA71" s="3" t="str">
        <f t="shared" si="13"/>
        <v/>
      </c>
      <c r="AB71" s="3" t="str">
        <f t="shared" si="4"/>
        <v/>
      </c>
      <c r="AC71" s="3" t="str">
        <f t="shared" si="5"/>
        <v/>
      </c>
      <c r="AD71" s="3" t="str">
        <f t="shared" si="6"/>
        <v/>
      </c>
      <c r="AE71" s="3" t="str">
        <f t="shared" si="7"/>
        <v/>
      </c>
      <c r="AF71" s="3" t="str">
        <f t="shared" si="8"/>
        <v/>
      </c>
      <c r="AG71" s="3" t="str">
        <f t="shared" si="9"/>
        <v/>
      </c>
      <c r="AH71" s="3" t="str">
        <f t="shared" si="10"/>
        <v/>
      </c>
      <c r="AI71" s="3" t="str">
        <f t="shared" si="11"/>
        <v/>
      </c>
      <c r="AJ71" s="3" t="str">
        <f t="shared" si="12"/>
        <v/>
      </c>
      <c r="AK71" s="3" t="str">
        <f>IF(V71=0,"",_xlfn.CONCAT(DADOS!$A$8,X71:AJ71,"
"))</f>
        <v/>
      </c>
    </row>
    <row r="72" spans="5:37" ht="15" customHeight="1" x14ac:dyDescent="0.25">
      <c r="E72" s="22"/>
      <c r="F72" s="22"/>
      <c r="G72" s="12"/>
      <c r="H72" s="22"/>
      <c r="I72" s="13"/>
      <c r="J72" s="14"/>
      <c r="K72" s="12"/>
      <c r="L72" s="15"/>
      <c r="M72" s="16"/>
      <c r="N72" s="15"/>
      <c r="O72" s="16"/>
      <c r="P72" s="17"/>
      <c r="Q72" s="15"/>
      <c r="R72" s="18"/>
      <c r="S72" s="20">
        <v>58</v>
      </c>
      <c r="V72" s="3">
        <f t="shared" si="0"/>
        <v>0</v>
      </c>
      <c r="X72" s="3" t="str">
        <f t="shared" si="1"/>
        <v/>
      </c>
      <c r="Y72" s="3" t="str">
        <f t="shared" si="2"/>
        <v/>
      </c>
      <c r="Z72" s="3" t="str">
        <f t="shared" si="3"/>
        <v/>
      </c>
      <c r="AA72" s="3" t="str">
        <f t="shared" si="13"/>
        <v/>
      </c>
      <c r="AB72" s="3" t="str">
        <f t="shared" si="4"/>
        <v/>
      </c>
      <c r="AC72" s="3" t="str">
        <f t="shared" si="5"/>
        <v/>
      </c>
      <c r="AD72" s="3" t="str">
        <f t="shared" si="6"/>
        <v/>
      </c>
      <c r="AE72" s="3" t="str">
        <f t="shared" si="7"/>
        <v/>
      </c>
      <c r="AF72" s="3" t="str">
        <f t="shared" si="8"/>
        <v/>
      </c>
      <c r="AG72" s="3" t="str">
        <f t="shared" si="9"/>
        <v/>
      </c>
      <c r="AH72" s="3" t="str">
        <f t="shared" si="10"/>
        <v/>
      </c>
      <c r="AI72" s="3" t="str">
        <f t="shared" si="11"/>
        <v/>
      </c>
      <c r="AJ72" s="3" t="str">
        <f t="shared" si="12"/>
        <v/>
      </c>
      <c r="AK72" s="3" t="str">
        <f>IF(V72=0,"",_xlfn.CONCAT(DADOS!$A$8,X72:AJ72,"
"))</f>
        <v/>
      </c>
    </row>
    <row r="73" spans="5:37" ht="15" customHeight="1" x14ac:dyDescent="0.25">
      <c r="E73" s="22"/>
      <c r="F73" s="22"/>
      <c r="G73" s="12"/>
      <c r="H73" s="22"/>
      <c r="I73" s="13"/>
      <c r="J73" s="14"/>
      <c r="K73" s="12"/>
      <c r="L73" s="15"/>
      <c r="M73" s="16"/>
      <c r="N73" s="15"/>
      <c r="O73" s="16"/>
      <c r="P73" s="17"/>
      <c r="Q73" s="15"/>
      <c r="R73" s="18"/>
      <c r="S73" s="20">
        <v>59</v>
      </c>
      <c r="V73" s="3">
        <f t="shared" si="0"/>
        <v>0</v>
      </c>
      <c r="X73" s="3" t="str">
        <f t="shared" si="1"/>
        <v/>
      </c>
      <c r="Y73" s="3" t="str">
        <f t="shared" si="2"/>
        <v/>
      </c>
      <c r="Z73" s="3" t="str">
        <f t="shared" si="3"/>
        <v/>
      </c>
      <c r="AA73" s="3" t="str">
        <f t="shared" si="13"/>
        <v/>
      </c>
      <c r="AB73" s="3" t="str">
        <f t="shared" si="4"/>
        <v/>
      </c>
      <c r="AC73" s="3" t="str">
        <f t="shared" si="5"/>
        <v/>
      </c>
      <c r="AD73" s="3" t="str">
        <f t="shared" si="6"/>
        <v/>
      </c>
      <c r="AE73" s="3" t="str">
        <f t="shared" si="7"/>
        <v/>
      </c>
      <c r="AF73" s="3" t="str">
        <f t="shared" si="8"/>
        <v/>
      </c>
      <c r="AG73" s="3" t="str">
        <f t="shared" si="9"/>
        <v/>
      </c>
      <c r="AH73" s="3" t="str">
        <f t="shared" si="10"/>
        <v/>
      </c>
      <c r="AI73" s="3" t="str">
        <f t="shared" si="11"/>
        <v/>
      </c>
      <c r="AJ73" s="3" t="str">
        <f t="shared" si="12"/>
        <v/>
      </c>
      <c r="AK73" s="3" t="str">
        <f>IF(V73=0,"",_xlfn.CONCAT(DADOS!$A$8,X73:AJ73,"
"))</f>
        <v/>
      </c>
    </row>
    <row r="74" spans="5:37" ht="15" customHeight="1" x14ac:dyDescent="0.25">
      <c r="E74" s="22"/>
      <c r="F74" s="22"/>
      <c r="G74" s="12"/>
      <c r="H74" s="22"/>
      <c r="I74" s="13"/>
      <c r="J74" s="14"/>
      <c r="K74" s="12"/>
      <c r="L74" s="15"/>
      <c r="M74" s="16"/>
      <c r="N74" s="15"/>
      <c r="O74" s="16"/>
      <c r="P74" s="17"/>
      <c r="Q74" s="15"/>
      <c r="R74" s="18"/>
      <c r="S74" s="20">
        <v>60</v>
      </c>
      <c r="V74" s="3">
        <f t="shared" si="0"/>
        <v>0</v>
      </c>
      <c r="X74" s="3" t="str">
        <f t="shared" si="1"/>
        <v/>
      </c>
      <c r="Y74" s="3" t="str">
        <f t="shared" si="2"/>
        <v/>
      </c>
      <c r="Z74" s="3" t="str">
        <f t="shared" si="3"/>
        <v/>
      </c>
      <c r="AA74" s="3" t="str">
        <f t="shared" si="13"/>
        <v/>
      </c>
      <c r="AB74" s="3" t="str">
        <f t="shared" si="4"/>
        <v/>
      </c>
      <c r="AC74" s="3" t="str">
        <f t="shared" si="5"/>
        <v/>
      </c>
      <c r="AD74" s="3" t="str">
        <f t="shared" si="6"/>
        <v/>
      </c>
      <c r="AE74" s="3" t="str">
        <f t="shared" si="7"/>
        <v/>
      </c>
      <c r="AF74" s="3" t="str">
        <f t="shared" si="8"/>
        <v/>
      </c>
      <c r="AG74" s="3" t="str">
        <f t="shared" si="9"/>
        <v/>
      </c>
      <c r="AH74" s="3" t="str">
        <f t="shared" si="10"/>
        <v/>
      </c>
      <c r="AI74" s="3" t="str">
        <f t="shared" si="11"/>
        <v/>
      </c>
      <c r="AJ74" s="3" t="str">
        <f t="shared" si="12"/>
        <v/>
      </c>
      <c r="AK74" s="3" t="str">
        <f>IF(V74=0,"",_xlfn.CONCAT(DADOS!$A$8,X74:AJ74,"
"))</f>
        <v/>
      </c>
    </row>
    <row r="75" spans="5:37" ht="15" customHeight="1" x14ac:dyDescent="0.25">
      <c r="E75" s="22"/>
      <c r="F75" s="22"/>
      <c r="G75" s="12"/>
      <c r="H75" s="22"/>
      <c r="I75" s="13"/>
      <c r="J75" s="14"/>
      <c r="K75" s="12"/>
      <c r="L75" s="15"/>
      <c r="M75" s="16"/>
      <c r="N75" s="15"/>
      <c r="O75" s="16"/>
      <c r="P75" s="17"/>
      <c r="Q75" s="15"/>
      <c r="R75" s="18"/>
      <c r="S75" s="20">
        <v>61</v>
      </c>
      <c r="V75" s="3">
        <f t="shared" si="0"/>
        <v>0</v>
      </c>
      <c r="X75" s="3" t="str">
        <f t="shared" si="1"/>
        <v/>
      </c>
      <c r="Y75" s="3" t="str">
        <f t="shared" si="2"/>
        <v/>
      </c>
      <c r="Z75" s="3" t="str">
        <f t="shared" si="3"/>
        <v/>
      </c>
      <c r="AA75" s="3" t="str">
        <f t="shared" si="13"/>
        <v/>
      </c>
      <c r="AB75" s="3" t="str">
        <f t="shared" si="4"/>
        <v/>
      </c>
      <c r="AC75" s="3" t="str">
        <f t="shared" si="5"/>
        <v/>
      </c>
      <c r="AD75" s="3" t="str">
        <f t="shared" si="6"/>
        <v/>
      </c>
      <c r="AE75" s="3" t="str">
        <f t="shared" si="7"/>
        <v/>
      </c>
      <c r="AF75" s="3" t="str">
        <f t="shared" si="8"/>
        <v/>
      </c>
      <c r="AG75" s="3" t="str">
        <f t="shared" si="9"/>
        <v/>
      </c>
      <c r="AH75" s="3" t="str">
        <f t="shared" si="10"/>
        <v/>
      </c>
      <c r="AI75" s="3" t="str">
        <f t="shared" si="11"/>
        <v/>
      </c>
      <c r="AJ75" s="3" t="str">
        <f t="shared" si="12"/>
        <v/>
      </c>
      <c r="AK75" s="3" t="str">
        <f>IF(V75=0,"",_xlfn.CONCAT(DADOS!$A$8,X75:AJ75,"
"))</f>
        <v/>
      </c>
    </row>
    <row r="76" spans="5:37" ht="15" customHeight="1" x14ac:dyDescent="0.25">
      <c r="E76" s="22"/>
      <c r="F76" s="22"/>
      <c r="G76" s="12"/>
      <c r="H76" s="22"/>
      <c r="I76" s="13"/>
      <c r="J76" s="14"/>
      <c r="K76" s="12"/>
      <c r="L76" s="15"/>
      <c r="M76" s="16"/>
      <c r="N76" s="15"/>
      <c r="O76" s="16"/>
      <c r="P76" s="17"/>
      <c r="Q76" s="15"/>
      <c r="R76" s="18"/>
      <c r="S76" s="20">
        <v>62</v>
      </c>
      <c r="V76" s="3">
        <f t="shared" si="0"/>
        <v>0</v>
      </c>
      <c r="X76" s="3" t="str">
        <f t="shared" si="1"/>
        <v/>
      </c>
      <c r="Y76" s="3" t="str">
        <f t="shared" si="2"/>
        <v/>
      </c>
      <c r="Z76" s="3" t="str">
        <f t="shared" si="3"/>
        <v/>
      </c>
      <c r="AA76" s="3" t="str">
        <f t="shared" si="13"/>
        <v/>
      </c>
      <c r="AB76" s="3" t="str">
        <f t="shared" si="4"/>
        <v/>
      </c>
      <c r="AC76" s="3" t="str">
        <f t="shared" si="5"/>
        <v/>
      </c>
      <c r="AD76" s="3" t="str">
        <f t="shared" si="6"/>
        <v/>
      </c>
      <c r="AE76" s="3" t="str">
        <f t="shared" si="7"/>
        <v/>
      </c>
      <c r="AF76" s="3" t="str">
        <f t="shared" si="8"/>
        <v/>
      </c>
      <c r="AG76" s="3" t="str">
        <f t="shared" si="9"/>
        <v/>
      </c>
      <c r="AH76" s="3" t="str">
        <f t="shared" si="10"/>
        <v/>
      </c>
      <c r="AI76" s="3" t="str">
        <f t="shared" si="11"/>
        <v/>
      </c>
      <c r="AJ76" s="3" t="str">
        <f t="shared" si="12"/>
        <v/>
      </c>
      <c r="AK76" s="3" t="str">
        <f>IF(V76=0,"",_xlfn.CONCAT(DADOS!$A$8,X76:AJ76,"
"))</f>
        <v/>
      </c>
    </row>
    <row r="77" spans="5:37" ht="15" customHeight="1" x14ac:dyDescent="0.25">
      <c r="E77" s="22"/>
      <c r="F77" s="22"/>
      <c r="G77" s="12"/>
      <c r="H77" s="22"/>
      <c r="I77" s="13"/>
      <c r="J77" s="14"/>
      <c r="K77" s="12"/>
      <c r="L77" s="15"/>
      <c r="M77" s="16"/>
      <c r="N77" s="15"/>
      <c r="O77" s="16"/>
      <c r="P77" s="17"/>
      <c r="Q77" s="15"/>
      <c r="R77" s="18"/>
      <c r="S77" s="20">
        <v>63</v>
      </c>
      <c r="V77" s="3">
        <f t="shared" si="0"/>
        <v>0</v>
      </c>
      <c r="X77" s="3" t="str">
        <f t="shared" si="1"/>
        <v/>
      </c>
      <c r="Y77" s="3" t="str">
        <f t="shared" si="2"/>
        <v/>
      </c>
      <c r="Z77" s="3" t="str">
        <f t="shared" si="3"/>
        <v/>
      </c>
      <c r="AA77" s="3" t="str">
        <f t="shared" si="13"/>
        <v/>
      </c>
      <c r="AB77" s="3" t="str">
        <f t="shared" si="4"/>
        <v/>
      </c>
      <c r="AC77" s="3" t="str">
        <f t="shared" si="5"/>
        <v/>
      </c>
      <c r="AD77" s="3" t="str">
        <f t="shared" si="6"/>
        <v/>
      </c>
      <c r="AE77" s="3" t="str">
        <f t="shared" si="7"/>
        <v/>
      </c>
      <c r="AF77" s="3" t="str">
        <f t="shared" si="8"/>
        <v/>
      </c>
      <c r="AG77" s="3" t="str">
        <f t="shared" si="9"/>
        <v/>
      </c>
      <c r="AH77" s="3" t="str">
        <f t="shared" si="10"/>
        <v/>
      </c>
      <c r="AI77" s="3" t="str">
        <f t="shared" si="11"/>
        <v/>
      </c>
      <c r="AJ77" s="3" t="str">
        <f t="shared" si="12"/>
        <v/>
      </c>
      <c r="AK77" s="3" t="str">
        <f>IF(V77=0,"",_xlfn.CONCAT(DADOS!$A$8,X77:AJ77,"
"))</f>
        <v/>
      </c>
    </row>
    <row r="78" spans="5:37" ht="15" customHeight="1" x14ac:dyDescent="0.25">
      <c r="E78" s="22"/>
      <c r="F78" s="22"/>
      <c r="G78" s="12"/>
      <c r="H78" s="22"/>
      <c r="I78" s="13"/>
      <c r="J78" s="14"/>
      <c r="K78" s="12"/>
      <c r="L78" s="15"/>
      <c r="M78" s="16"/>
      <c r="N78" s="15"/>
      <c r="O78" s="16"/>
      <c r="P78" s="17"/>
      <c r="Q78" s="15"/>
      <c r="R78" s="18"/>
      <c r="S78" s="20">
        <v>64</v>
      </c>
      <c r="V78" s="3">
        <f t="shared" si="0"/>
        <v>0</v>
      </c>
      <c r="X78" s="3" t="str">
        <f t="shared" si="1"/>
        <v/>
      </c>
      <c r="Y78" s="3" t="str">
        <f t="shared" si="2"/>
        <v/>
      </c>
      <c r="Z78" s="3" t="str">
        <f t="shared" si="3"/>
        <v/>
      </c>
      <c r="AA78" s="3" t="str">
        <f t="shared" si="13"/>
        <v/>
      </c>
      <c r="AB78" s="3" t="str">
        <f t="shared" si="4"/>
        <v/>
      </c>
      <c r="AC78" s="3" t="str">
        <f t="shared" si="5"/>
        <v/>
      </c>
      <c r="AD78" s="3" t="str">
        <f t="shared" si="6"/>
        <v/>
      </c>
      <c r="AE78" s="3" t="str">
        <f t="shared" si="7"/>
        <v/>
      </c>
      <c r="AF78" s="3" t="str">
        <f t="shared" si="8"/>
        <v/>
      </c>
      <c r="AG78" s="3" t="str">
        <f t="shared" si="9"/>
        <v/>
      </c>
      <c r="AH78" s="3" t="str">
        <f t="shared" si="10"/>
        <v/>
      </c>
      <c r="AI78" s="3" t="str">
        <f t="shared" si="11"/>
        <v/>
      </c>
      <c r="AJ78" s="3" t="str">
        <f t="shared" si="12"/>
        <v/>
      </c>
      <c r="AK78" s="3" t="str">
        <f>IF(V78=0,"",_xlfn.CONCAT(DADOS!$A$8,X78:AJ78,"
"))</f>
        <v/>
      </c>
    </row>
    <row r="79" spans="5:37" ht="15" customHeight="1" x14ac:dyDescent="0.25">
      <c r="E79" s="22"/>
      <c r="F79" s="22"/>
      <c r="G79" s="12"/>
      <c r="H79" s="22"/>
      <c r="I79" s="13"/>
      <c r="J79" s="14"/>
      <c r="K79" s="12"/>
      <c r="L79" s="15"/>
      <c r="M79" s="16"/>
      <c r="N79" s="15"/>
      <c r="O79" s="16"/>
      <c r="P79" s="17"/>
      <c r="Q79" s="15"/>
      <c r="R79" s="18"/>
      <c r="S79" s="20">
        <v>65</v>
      </c>
      <c r="V79" s="3">
        <f t="shared" ref="V79:V142" si="14">IF(E79="",0,1)</f>
        <v>0</v>
      </c>
      <c r="X79" s="3" t="str">
        <f t="shared" ref="X79:X142" si="15">_xlfn.CONCAT(E79,IF(LEN(E79)=1,"  ",IF(LEN(E79)=2," ","")))</f>
        <v/>
      </c>
      <c r="Y79" s="3" t="str">
        <f t="shared" ref="Y79:Y142" si="16">_xlfn.CONCAT(F79,IF(LEN(F79)=1,"  ",IF(LEN(F79)=2," ","")))</f>
        <v/>
      </c>
      <c r="Z79" s="3" t="str">
        <f t="shared" ref="Z79:Z142" si="17">IF(V79=0,"",G79)</f>
        <v/>
      </c>
      <c r="AA79" s="3" t="str">
        <f t="shared" si="13"/>
        <v/>
      </c>
      <c r="AB79" s="3" t="str">
        <f t="shared" ref="AB79:AB142" si="18">IF(V79=0,"",IF(LEN(I79)=1,_xlfn.CONCAT(0,I79),I79))</f>
        <v/>
      </c>
      <c r="AC79" s="3" t="str">
        <f t="shared" ref="AC79:AC142" si="19">IF(I79=20,"",(IF(I79=8,IF(LEN(J79)=1,_xlfn.CONCAT("00",J79),IF(LEN(J79)=2,_xlfn.CONCAT("0",J79),J79)),"")))</f>
        <v/>
      </c>
      <c r="AD79" s="3" t="str">
        <f t="shared" ref="AD79:AD142" si="20">IF(I79=20,"",IF(I79=8,IF(LEN(K79)=1,_xlfn.CONCAT(0,K79),K79),""))</f>
        <v/>
      </c>
      <c r="AE79" s="3" t="str">
        <f t="shared" ref="AE79:AE142" si="21">IF(I79=8,L79,"")</f>
        <v/>
      </c>
      <c r="AF79" s="3" t="str">
        <f t="shared" ref="AF79:AF142" si="22">IF(V79=0,"",IF($I79=20,"",IF(LEN(M79)=1,_xlfn.CONCAT("00",M79),IF(LEN(M79)=2,_xlfn.CONCAT("0",M79),M79))))</f>
        <v/>
      </c>
      <c r="AG79" s="3" t="str">
        <f t="shared" ref="AG79:AG142" si="23">IF(V79=0,"",IF($I79=20,"",IF(LEN(N79)=1,_xlfn.CONCAT(0,N79),N79)))</f>
        <v/>
      </c>
      <c r="AH79" s="3" t="str">
        <f t="shared" ref="AH79:AH142" si="24">IF(V79=0,"",IF($I79=20,"",IF(LEN(P79)=3,_xlfn.CONCAT("00",P79),_xlfn.CONCAT("0",P79))))</f>
        <v/>
      </c>
      <c r="AI79" s="3" t="str">
        <f t="shared" ref="AI79:AI142" si="25">IF(V79=0,"",IF(I79=20,"",_xlfn.CONCAT(R79,"0",$AJ$14)))</f>
        <v/>
      </c>
      <c r="AJ79" s="3" t="str">
        <f t="shared" ref="AJ79:AJ142" si="26">IF(V79=0,"",IF(LEN(R79)&lt;4,$AJ$14,""))</f>
        <v/>
      </c>
      <c r="AK79" s="3" t="str">
        <f>IF(V79=0,"",_xlfn.CONCAT(DADOS!$A$8,X79:AJ79,"
"))</f>
        <v/>
      </c>
    </row>
    <row r="80" spans="5:37" ht="15" customHeight="1" x14ac:dyDescent="0.25">
      <c r="E80" s="22"/>
      <c r="F80" s="22"/>
      <c r="G80" s="12"/>
      <c r="H80" s="22"/>
      <c r="I80" s="13"/>
      <c r="J80" s="14"/>
      <c r="K80" s="12"/>
      <c r="L80" s="15"/>
      <c r="M80" s="16"/>
      <c r="N80" s="15"/>
      <c r="O80" s="16"/>
      <c r="P80" s="17"/>
      <c r="Q80" s="15"/>
      <c r="R80" s="18"/>
      <c r="S80" s="20">
        <v>66</v>
      </c>
      <c r="V80" s="3">
        <f t="shared" si="14"/>
        <v>0</v>
      </c>
      <c r="X80" s="3" t="str">
        <f t="shared" si="15"/>
        <v/>
      </c>
      <c r="Y80" s="3" t="str">
        <f t="shared" si="16"/>
        <v/>
      </c>
      <c r="Z80" s="3" t="str">
        <f t="shared" si="17"/>
        <v/>
      </c>
      <c r="AA80" s="3" t="str">
        <f t="shared" ref="AA80:AA143" si="27">IF(OR(G80=0,G80=4),"",H80)</f>
        <v/>
      </c>
      <c r="AB80" s="3" t="str">
        <f t="shared" si="18"/>
        <v/>
      </c>
      <c r="AC80" s="3" t="str">
        <f t="shared" si="19"/>
        <v/>
      </c>
      <c r="AD80" s="3" t="str">
        <f t="shared" si="20"/>
        <v/>
      </c>
      <c r="AE80" s="3" t="str">
        <f t="shared" si="21"/>
        <v/>
      </c>
      <c r="AF80" s="3" t="str">
        <f t="shared" si="22"/>
        <v/>
      </c>
      <c r="AG80" s="3" t="str">
        <f t="shared" si="23"/>
        <v/>
      </c>
      <c r="AH80" s="3" t="str">
        <f t="shared" si="24"/>
        <v/>
      </c>
      <c r="AI80" s="3" t="str">
        <f t="shared" si="25"/>
        <v/>
      </c>
      <c r="AJ80" s="3" t="str">
        <f t="shared" si="26"/>
        <v/>
      </c>
      <c r="AK80" s="3" t="str">
        <f>IF(V80=0,"",_xlfn.CONCAT(DADOS!$A$8,X80:AJ80,"
"))</f>
        <v/>
      </c>
    </row>
    <row r="81" spans="5:37" ht="15" customHeight="1" x14ac:dyDescent="0.25">
      <c r="E81" s="22"/>
      <c r="F81" s="22"/>
      <c r="G81" s="12"/>
      <c r="H81" s="22"/>
      <c r="I81" s="13"/>
      <c r="J81" s="14"/>
      <c r="K81" s="12"/>
      <c r="L81" s="15"/>
      <c r="M81" s="16"/>
      <c r="N81" s="15"/>
      <c r="O81" s="16"/>
      <c r="P81" s="17"/>
      <c r="Q81" s="15"/>
      <c r="R81" s="18"/>
      <c r="S81" s="20">
        <v>67</v>
      </c>
      <c r="V81" s="3">
        <f t="shared" si="14"/>
        <v>0</v>
      </c>
      <c r="X81" s="3" t="str">
        <f t="shared" si="15"/>
        <v/>
      </c>
      <c r="Y81" s="3" t="str">
        <f t="shared" si="16"/>
        <v/>
      </c>
      <c r="Z81" s="3" t="str">
        <f t="shared" si="17"/>
        <v/>
      </c>
      <c r="AA81" s="3" t="str">
        <f t="shared" si="27"/>
        <v/>
      </c>
      <c r="AB81" s="3" t="str">
        <f t="shared" si="18"/>
        <v/>
      </c>
      <c r="AC81" s="3" t="str">
        <f t="shared" si="19"/>
        <v/>
      </c>
      <c r="AD81" s="3" t="str">
        <f t="shared" si="20"/>
        <v/>
      </c>
      <c r="AE81" s="3" t="str">
        <f t="shared" si="21"/>
        <v/>
      </c>
      <c r="AF81" s="3" t="str">
        <f t="shared" si="22"/>
        <v/>
      </c>
      <c r="AG81" s="3" t="str">
        <f t="shared" si="23"/>
        <v/>
      </c>
      <c r="AH81" s="3" t="str">
        <f t="shared" si="24"/>
        <v/>
      </c>
      <c r="AI81" s="3" t="str">
        <f t="shared" si="25"/>
        <v/>
      </c>
      <c r="AJ81" s="3" t="str">
        <f t="shared" si="26"/>
        <v/>
      </c>
      <c r="AK81" s="3" t="str">
        <f>IF(V81=0,"",_xlfn.CONCAT(DADOS!$A$8,X81:AJ81,"
"))</f>
        <v/>
      </c>
    </row>
    <row r="82" spans="5:37" ht="15" customHeight="1" x14ac:dyDescent="0.25">
      <c r="E82" s="22"/>
      <c r="F82" s="22"/>
      <c r="G82" s="12"/>
      <c r="H82" s="22"/>
      <c r="I82" s="13"/>
      <c r="J82" s="14"/>
      <c r="K82" s="12"/>
      <c r="L82" s="15"/>
      <c r="M82" s="16"/>
      <c r="N82" s="15"/>
      <c r="O82" s="16"/>
      <c r="P82" s="17"/>
      <c r="Q82" s="15"/>
      <c r="R82" s="18"/>
      <c r="S82" s="20">
        <v>68</v>
      </c>
      <c r="V82" s="3">
        <f t="shared" si="14"/>
        <v>0</v>
      </c>
      <c r="X82" s="3" t="str">
        <f t="shared" si="15"/>
        <v/>
      </c>
      <c r="Y82" s="3" t="str">
        <f t="shared" si="16"/>
        <v/>
      </c>
      <c r="Z82" s="3" t="str">
        <f t="shared" si="17"/>
        <v/>
      </c>
      <c r="AA82" s="3" t="str">
        <f t="shared" si="27"/>
        <v/>
      </c>
      <c r="AB82" s="3" t="str">
        <f t="shared" si="18"/>
        <v/>
      </c>
      <c r="AC82" s="3" t="str">
        <f t="shared" si="19"/>
        <v/>
      </c>
      <c r="AD82" s="3" t="str">
        <f t="shared" si="20"/>
        <v/>
      </c>
      <c r="AE82" s="3" t="str">
        <f t="shared" si="21"/>
        <v/>
      </c>
      <c r="AF82" s="3" t="str">
        <f t="shared" si="22"/>
        <v/>
      </c>
      <c r="AG82" s="3" t="str">
        <f t="shared" si="23"/>
        <v/>
      </c>
      <c r="AH82" s="3" t="str">
        <f t="shared" si="24"/>
        <v/>
      </c>
      <c r="AI82" s="3" t="str">
        <f t="shared" si="25"/>
        <v/>
      </c>
      <c r="AJ82" s="3" t="str">
        <f t="shared" si="26"/>
        <v/>
      </c>
      <c r="AK82" s="3" t="str">
        <f>IF(V82=0,"",_xlfn.CONCAT(DADOS!$A$8,X82:AJ82,"
"))</f>
        <v/>
      </c>
    </row>
    <row r="83" spans="5:37" ht="15" customHeight="1" x14ac:dyDescent="0.25">
      <c r="E83" s="22"/>
      <c r="F83" s="22"/>
      <c r="G83" s="12"/>
      <c r="H83" s="22"/>
      <c r="I83" s="13"/>
      <c r="J83" s="14"/>
      <c r="K83" s="12"/>
      <c r="L83" s="15"/>
      <c r="M83" s="16"/>
      <c r="N83" s="15"/>
      <c r="O83" s="16"/>
      <c r="P83" s="17"/>
      <c r="Q83" s="15"/>
      <c r="R83" s="18"/>
      <c r="S83" s="20">
        <v>69</v>
      </c>
      <c r="V83" s="3">
        <f t="shared" si="14"/>
        <v>0</v>
      </c>
      <c r="X83" s="3" t="str">
        <f t="shared" si="15"/>
        <v/>
      </c>
      <c r="Y83" s="3" t="str">
        <f t="shared" si="16"/>
        <v/>
      </c>
      <c r="Z83" s="3" t="str">
        <f t="shared" si="17"/>
        <v/>
      </c>
      <c r="AA83" s="3" t="str">
        <f t="shared" si="27"/>
        <v/>
      </c>
      <c r="AB83" s="3" t="str">
        <f t="shared" si="18"/>
        <v/>
      </c>
      <c r="AC83" s="3" t="str">
        <f t="shared" si="19"/>
        <v/>
      </c>
      <c r="AD83" s="3" t="str">
        <f t="shared" si="20"/>
        <v/>
      </c>
      <c r="AE83" s="3" t="str">
        <f t="shared" si="21"/>
        <v/>
      </c>
      <c r="AF83" s="3" t="str">
        <f t="shared" si="22"/>
        <v/>
      </c>
      <c r="AG83" s="3" t="str">
        <f t="shared" si="23"/>
        <v/>
      </c>
      <c r="AH83" s="3" t="str">
        <f t="shared" si="24"/>
        <v/>
      </c>
      <c r="AI83" s="3" t="str">
        <f t="shared" si="25"/>
        <v/>
      </c>
      <c r="AJ83" s="3" t="str">
        <f t="shared" si="26"/>
        <v/>
      </c>
      <c r="AK83" s="3" t="str">
        <f>IF(V83=0,"",_xlfn.CONCAT(DADOS!$A$8,X83:AJ83,"
"))</f>
        <v/>
      </c>
    </row>
    <row r="84" spans="5:37" ht="15" customHeight="1" x14ac:dyDescent="0.25">
      <c r="E84" s="22"/>
      <c r="F84" s="22"/>
      <c r="G84" s="12"/>
      <c r="H84" s="22"/>
      <c r="I84" s="13"/>
      <c r="J84" s="14"/>
      <c r="K84" s="12"/>
      <c r="L84" s="15"/>
      <c r="M84" s="16"/>
      <c r="N84" s="15"/>
      <c r="O84" s="16"/>
      <c r="P84" s="17"/>
      <c r="Q84" s="15"/>
      <c r="R84" s="18"/>
      <c r="S84" s="20">
        <v>70</v>
      </c>
      <c r="V84" s="3">
        <f t="shared" si="14"/>
        <v>0</v>
      </c>
      <c r="X84" s="3" t="str">
        <f t="shared" si="15"/>
        <v/>
      </c>
      <c r="Y84" s="3" t="str">
        <f t="shared" si="16"/>
        <v/>
      </c>
      <c r="Z84" s="3" t="str">
        <f t="shared" si="17"/>
        <v/>
      </c>
      <c r="AA84" s="3" t="str">
        <f t="shared" si="27"/>
        <v/>
      </c>
      <c r="AB84" s="3" t="str">
        <f t="shared" si="18"/>
        <v/>
      </c>
      <c r="AC84" s="3" t="str">
        <f t="shared" si="19"/>
        <v/>
      </c>
      <c r="AD84" s="3" t="str">
        <f t="shared" si="20"/>
        <v/>
      </c>
      <c r="AE84" s="3" t="str">
        <f t="shared" si="21"/>
        <v/>
      </c>
      <c r="AF84" s="3" t="str">
        <f t="shared" si="22"/>
        <v/>
      </c>
      <c r="AG84" s="3" t="str">
        <f t="shared" si="23"/>
        <v/>
      </c>
      <c r="AH84" s="3" t="str">
        <f t="shared" si="24"/>
        <v/>
      </c>
      <c r="AI84" s="3" t="str">
        <f t="shared" si="25"/>
        <v/>
      </c>
      <c r="AJ84" s="3" t="str">
        <f t="shared" si="26"/>
        <v/>
      </c>
      <c r="AK84" s="3" t="str">
        <f>IF(V84=0,"",_xlfn.CONCAT(DADOS!$A$8,X84:AJ84,"
"))</f>
        <v/>
      </c>
    </row>
    <row r="85" spans="5:37" ht="15" customHeight="1" x14ac:dyDescent="0.25">
      <c r="E85" s="22"/>
      <c r="F85" s="22"/>
      <c r="G85" s="12"/>
      <c r="H85" s="22"/>
      <c r="I85" s="13"/>
      <c r="J85" s="14"/>
      <c r="K85" s="12"/>
      <c r="L85" s="15"/>
      <c r="M85" s="16"/>
      <c r="N85" s="15"/>
      <c r="O85" s="16"/>
      <c r="P85" s="17"/>
      <c r="Q85" s="15"/>
      <c r="R85" s="18"/>
      <c r="S85" s="20">
        <v>71</v>
      </c>
      <c r="V85" s="3">
        <f t="shared" si="14"/>
        <v>0</v>
      </c>
      <c r="X85" s="3" t="str">
        <f t="shared" si="15"/>
        <v/>
      </c>
      <c r="Y85" s="3" t="str">
        <f t="shared" si="16"/>
        <v/>
      </c>
      <c r="Z85" s="3" t="str">
        <f t="shared" si="17"/>
        <v/>
      </c>
      <c r="AA85" s="3" t="str">
        <f t="shared" si="27"/>
        <v/>
      </c>
      <c r="AB85" s="3" t="str">
        <f t="shared" si="18"/>
        <v/>
      </c>
      <c r="AC85" s="3" t="str">
        <f t="shared" si="19"/>
        <v/>
      </c>
      <c r="AD85" s="3" t="str">
        <f t="shared" si="20"/>
        <v/>
      </c>
      <c r="AE85" s="3" t="str">
        <f t="shared" si="21"/>
        <v/>
      </c>
      <c r="AF85" s="3" t="str">
        <f t="shared" si="22"/>
        <v/>
      </c>
      <c r="AG85" s="3" t="str">
        <f t="shared" si="23"/>
        <v/>
      </c>
      <c r="AH85" s="3" t="str">
        <f t="shared" si="24"/>
        <v/>
      </c>
      <c r="AI85" s="3" t="str">
        <f t="shared" si="25"/>
        <v/>
      </c>
      <c r="AJ85" s="3" t="str">
        <f t="shared" si="26"/>
        <v/>
      </c>
      <c r="AK85" s="3" t="str">
        <f>IF(V85=0,"",_xlfn.CONCAT(DADOS!$A$8,X85:AJ85,"
"))</f>
        <v/>
      </c>
    </row>
    <row r="86" spans="5:37" ht="15" customHeight="1" x14ac:dyDescent="0.25">
      <c r="E86" s="22"/>
      <c r="F86" s="22"/>
      <c r="G86" s="12"/>
      <c r="H86" s="22"/>
      <c r="I86" s="13"/>
      <c r="J86" s="14"/>
      <c r="K86" s="12"/>
      <c r="L86" s="15"/>
      <c r="M86" s="16"/>
      <c r="N86" s="15"/>
      <c r="O86" s="16"/>
      <c r="P86" s="17"/>
      <c r="Q86" s="15"/>
      <c r="R86" s="18"/>
      <c r="S86" s="20">
        <v>72</v>
      </c>
      <c r="V86" s="3">
        <f t="shared" si="14"/>
        <v>0</v>
      </c>
      <c r="X86" s="3" t="str">
        <f t="shared" si="15"/>
        <v/>
      </c>
      <c r="Y86" s="3" t="str">
        <f t="shared" si="16"/>
        <v/>
      </c>
      <c r="Z86" s="3" t="str">
        <f t="shared" si="17"/>
        <v/>
      </c>
      <c r="AA86" s="3" t="str">
        <f t="shared" si="27"/>
        <v/>
      </c>
      <c r="AB86" s="3" t="str">
        <f t="shared" si="18"/>
        <v/>
      </c>
      <c r="AC86" s="3" t="str">
        <f t="shared" si="19"/>
        <v/>
      </c>
      <c r="AD86" s="3" t="str">
        <f t="shared" si="20"/>
        <v/>
      </c>
      <c r="AE86" s="3" t="str">
        <f t="shared" si="21"/>
        <v/>
      </c>
      <c r="AF86" s="3" t="str">
        <f t="shared" si="22"/>
        <v/>
      </c>
      <c r="AG86" s="3" t="str">
        <f t="shared" si="23"/>
        <v/>
      </c>
      <c r="AH86" s="3" t="str">
        <f t="shared" si="24"/>
        <v/>
      </c>
      <c r="AI86" s="3" t="str">
        <f t="shared" si="25"/>
        <v/>
      </c>
      <c r="AJ86" s="3" t="str">
        <f t="shared" si="26"/>
        <v/>
      </c>
      <c r="AK86" s="3" t="str">
        <f>IF(V86=0,"",_xlfn.CONCAT(DADOS!$A$8,X86:AJ86,"
"))</f>
        <v/>
      </c>
    </row>
    <row r="87" spans="5:37" ht="15" customHeight="1" x14ac:dyDescent="0.25">
      <c r="E87" s="22"/>
      <c r="F87" s="22"/>
      <c r="G87" s="12"/>
      <c r="H87" s="22"/>
      <c r="I87" s="13"/>
      <c r="J87" s="14"/>
      <c r="K87" s="12"/>
      <c r="L87" s="15"/>
      <c r="M87" s="16"/>
      <c r="N87" s="15"/>
      <c r="O87" s="16"/>
      <c r="P87" s="17"/>
      <c r="Q87" s="15"/>
      <c r="R87" s="18"/>
      <c r="S87" s="20">
        <v>73</v>
      </c>
      <c r="V87" s="3">
        <f t="shared" si="14"/>
        <v>0</v>
      </c>
      <c r="X87" s="3" t="str">
        <f t="shared" si="15"/>
        <v/>
      </c>
      <c r="Y87" s="3" t="str">
        <f t="shared" si="16"/>
        <v/>
      </c>
      <c r="Z87" s="3" t="str">
        <f t="shared" si="17"/>
        <v/>
      </c>
      <c r="AA87" s="3" t="str">
        <f t="shared" si="27"/>
        <v/>
      </c>
      <c r="AB87" s="3" t="str">
        <f t="shared" si="18"/>
        <v/>
      </c>
      <c r="AC87" s="3" t="str">
        <f t="shared" si="19"/>
        <v/>
      </c>
      <c r="AD87" s="3" t="str">
        <f t="shared" si="20"/>
        <v/>
      </c>
      <c r="AE87" s="3" t="str">
        <f t="shared" si="21"/>
        <v/>
      </c>
      <c r="AF87" s="3" t="str">
        <f t="shared" si="22"/>
        <v/>
      </c>
      <c r="AG87" s="3" t="str">
        <f t="shared" si="23"/>
        <v/>
      </c>
      <c r="AH87" s="3" t="str">
        <f t="shared" si="24"/>
        <v/>
      </c>
      <c r="AI87" s="3" t="str">
        <f t="shared" si="25"/>
        <v/>
      </c>
      <c r="AJ87" s="3" t="str">
        <f t="shared" si="26"/>
        <v/>
      </c>
      <c r="AK87" s="3" t="str">
        <f>IF(V87=0,"",_xlfn.CONCAT(DADOS!$A$8,X87:AJ87,"
"))</f>
        <v/>
      </c>
    </row>
    <row r="88" spans="5:37" ht="15" customHeight="1" x14ac:dyDescent="0.25">
      <c r="E88" s="22"/>
      <c r="F88" s="22"/>
      <c r="G88" s="12"/>
      <c r="H88" s="22"/>
      <c r="I88" s="13"/>
      <c r="J88" s="14"/>
      <c r="K88" s="12"/>
      <c r="L88" s="15"/>
      <c r="M88" s="16"/>
      <c r="N88" s="15"/>
      <c r="O88" s="16"/>
      <c r="P88" s="17"/>
      <c r="Q88" s="15"/>
      <c r="R88" s="18"/>
      <c r="S88" s="20">
        <v>74</v>
      </c>
      <c r="V88" s="3">
        <f t="shared" si="14"/>
        <v>0</v>
      </c>
      <c r="X88" s="3" t="str">
        <f t="shared" si="15"/>
        <v/>
      </c>
      <c r="Y88" s="3" t="str">
        <f t="shared" si="16"/>
        <v/>
      </c>
      <c r="Z88" s="3" t="str">
        <f t="shared" si="17"/>
        <v/>
      </c>
      <c r="AA88" s="3" t="str">
        <f t="shared" si="27"/>
        <v/>
      </c>
      <c r="AB88" s="3" t="str">
        <f t="shared" si="18"/>
        <v/>
      </c>
      <c r="AC88" s="3" t="str">
        <f t="shared" si="19"/>
        <v/>
      </c>
      <c r="AD88" s="3" t="str">
        <f t="shared" si="20"/>
        <v/>
      </c>
      <c r="AE88" s="3" t="str">
        <f t="shared" si="21"/>
        <v/>
      </c>
      <c r="AF88" s="3" t="str">
        <f t="shared" si="22"/>
        <v/>
      </c>
      <c r="AG88" s="3" t="str">
        <f t="shared" si="23"/>
        <v/>
      </c>
      <c r="AH88" s="3" t="str">
        <f t="shared" si="24"/>
        <v/>
      </c>
      <c r="AI88" s="3" t="str">
        <f t="shared" si="25"/>
        <v/>
      </c>
      <c r="AJ88" s="3" t="str">
        <f t="shared" si="26"/>
        <v/>
      </c>
      <c r="AK88" s="3" t="str">
        <f>IF(V88=0,"",_xlfn.CONCAT(DADOS!$A$8,X88:AJ88,"
"))</f>
        <v/>
      </c>
    </row>
    <row r="89" spans="5:37" ht="15" customHeight="1" x14ac:dyDescent="0.25">
      <c r="E89" s="22"/>
      <c r="F89" s="22"/>
      <c r="G89" s="12"/>
      <c r="H89" s="22"/>
      <c r="I89" s="13"/>
      <c r="J89" s="14"/>
      <c r="K89" s="12"/>
      <c r="L89" s="15"/>
      <c r="M89" s="16"/>
      <c r="N89" s="15"/>
      <c r="O89" s="16"/>
      <c r="P89" s="17"/>
      <c r="Q89" s="15"/>
      <c r="R89" s="18"/>
      <c r="S89" s="20">
        <v>75</v>
      </c>
      <c r="V89" s="3">
        <f t="shared" si="14"/>
        <v>0</v>
      </c>
      <c r="X89" s="3" t="str">
        <f t="shared" si="15"/>
        <v/>
      </c>
      <c r="Y89" s="3" t="str">
        <f t="shared" si="16"/>
        <v/>
      </c>
      <c r="Z89" s="3" t="str">
        <f t="shared" si="17"/>
        <v/>
      </c>
      <c r="AA89" s="3" t="str">
        <f t="shared" si="27"/>
        <v/>
      </c>
      <c r="AB89" s="3" t="str">
        <f t="shared" si="18"/>
        <v/>
      </c>
      <c r="AC89" s="3" t="str">
        <f t="shared" si="19"/>
        <v/>
      </c>
      <c r="AD89" s="3" t="str">
        <f t="shared" si="20"/>
        <v/>
      </c>
      <c r="AE89" s="3" t="str">
        <f t="shared" si="21"/>
        <v/>
      </c>
      <c r="AF89" s="3" t="str">
        <f t="shared" si="22"/>
        <v/>
      </c>
      <c r="AG89" s="3" t="str">
        <f t="shared" si="23"/>
        <v/>
      </c>
      <c r="AH89" s="3" t="str">
        <f t="shared" si="24"/>
        <v/>
      </c>
      <c r="AI89" s="3" t="str">
        <f t="shared" si="25"/>
        <v/>
      </c>
      <c r="AJ89" s="3" t="str">
        <f t="shared" si="26"/>
        <v/>
      </c>
      <c r="AK89" s="3" t="str">
        <f>IF(V89=0,"",_xlfn.CONCAT(DADOS!$A$8,X89:AJ89,"
"))</f>
        <v/>
      </c>
    </row>
    <row r="90" spans="5:37" ht="15" customHeight="1" x14ac:dyDescent="0.25">
      <c r="E90" s="22"/>
      <c r="F90" s="22"/>
      <c r="G90" s="12"/>
      <c r="H90" s="22"/>
      <c r="I90" s="13"/>
      <c r="J90" s="14"/>
      <c r="K90" s="12"/>
      <c r="L90" s="15"/>
      <c r="M90" s="16"/>
      <c r="N90" s="15"/>
      <c r="O90" s="16"/>
      <c r="P90" s="17"/>
      <c r="Q90" s="15"/>
      <c r="R90" s="18"/>
      <c r="S90" s="20">
        <v>76</v>
      </c>
      <c r="V90" s="3">
        <f t="shared" si="14"/>
        <v>0</v>
      </c>
      <c r="X90" s="3" t="str">
        <f t="shared" si="15"/>
        <v/>
      </c>
      <c r="Y90" s="3" t="str">
        <f t="shared" si="16"/>
        <v/>
      </c>
      <c r="Z90" s="3" t="str">
        <f t="shared" si="17"/>
        <v/>
      </c>
      <c r="AA90" s="3" t="str">
        <f t="shared" si="27"/>
        <v/>
      </c>
      <c r="AB90" s="3" t="str">
        <f t="shared" si="18"/>
        <v/>
      </c>
      <c r="AC90" s="3" t="str">
        <f t="shared" si="19"/>
        <v/>
      </c>
      <c r="AD90" s="3" t="str">
        <f t="shared" si="20"/>
        <v/>
      </c>
      <c r="AE90" s="3" t="str">
        <f t="shared" si="21"/>
        <v/>
      </c>
      <c r="AF90" s="3" t="str">
        <f t="shared" si="22"/>
        <v/>
      </c>
      <c r="AG90" s="3" t="str">
        <f t="shared" si="23"/>
        <v/>
      </c>
      <c r="AH90" s="3" t="str">
        <f t="shared" si="24"/>
        <v/>
      </c>
      <c r="AI90" s="3" t="str">
        <f t="shared" si="25"/>
        <v/>
      </c>
      <c r="AJ90" s="3" t="str">
        <f t="shared" si="26"/>
        <v/>
      </c>
      <c r="AK90" s="3" t="str">
        <f>IF(V90=0,"",_xlfn.CONCAT(DADOS!$A$8,X90:AJ90,"
"))</f>
        <v/>
      </c>
    </row>
    <row r="91" spans="5:37" ht="15" customHeight="1" x14ac:dyDescent="0.25">
      <c r="E91" s="22"/>
      <c r="F91" s="22"/>
      <c r="G91" s="12"/>
      <c r="H91" s="22"/>
      <c r="I91" s="13"/>
      <c r="J91" s="14"/>
      <c r="K91" s="12"/>
      <c r="L91" s="15"/>
      <c r="M91" s="16"/>
      <c r="N91" s="15"/>
      <c r="O91" s="16"/>
      <c r="P91" s="17"/>
      <c r="Q91" s="15"/>
      <c r="R91" s="18"/>
      <c r="S91" s="20">
        <v>77</v>
      </c>
      <c r="V91" s="3">
        <f t="shared" si="14"/>
        <v>0</v>
      </c>
      <c r="X91" s="3" t="str">
        <f t="shared" si="15"/>
        <v/>
      </c>
      <c r="Y91" s="3" t="str">
        <f t="shared" si="16"/>
        <v/>
      </c>
      <c r="Z91" s="3" t="str">
        <f t="shared" si="17"/>
        <v/>
      </c>
      <c r="AA91" s="3" t="str">
        <f t="shared" si="27"/>
        <v/>
      </c>
      <c r="AB91" s="3" t="str">
        <f t="shared" si="18"/>
        <v/>
      </c>
      <c r="AC91" s="3" t="str">
        <f t="shared" si="19"/>
        <v/>
      </c>
      <c r="AD91" s="3" t="str">
        <f t="shared" si="20"/>
        <v/>
      </c>
      <c r="AE91" s="3" t="str">
        <f t="shared" si="21"/>
        <v/>
      </c>
      <c r="AF91" s="3" t="str">
        <f t="shared" si="22"/>
        <v/>
      </c>
      <c r="AG91" s="3" t="str">
        <f t="shared" si="23"/>
        <v/>
      </c>
      <c r="AH91" s="3" t="str">
        <f t="shared" si="24"/>
        <v/>
      </c>
      <c r="AI91" s="3" t="str">
        <f t="shared" si="25"/>
        <v/>
      </c>
      <c r="AJ91" s="3" t="str">
        <f t="shared" si="26"/>
        <v/>
      </c>
      <c r="AK91" s="3" t="str">
        <f>IF(V91=0,"",_xlfn.CONCAT(DADOS!$A$8,X91:AJ91,"
"))</f>
        <v/>
      </c>
    </row>
    <row r="92" spans="5:37" ht="15" customHeight="1" x14ac:dyDescent="0.25">
      <c r="E92" s="22"/>
      <c r="F92" s="22"/>
      <c r="G92" s="12"/>
      <c r="H92" s="22"/>
      <c r="I92" s="13"/>
      <c r="J92" s="14"/>
      <c r="K92" s="12"/>
      <c r="L92" s="15"/>
      <c r="M92" s="16"/>
      <c r="N92" s="15"/>
      <c r="O92" s="16"/>
      <c r="P92" s="17"/>
      <c r="Q92" s="15"/>
      <c r="R92" s="18"/>
      <c r="S92" s="20">
        <v>78</v>
      </c>
      <c r="V92" s="3">
        <f t="shared" si="14"/>
        <v>0</v>
      </c>
      <c r="X92" s="3" t="str">
        <f t="shared" si="15"/>
        <v/>
      </c>
      <c r="Y92" s="3" t="str">
        <f t="shared" si="16"/>
        <v/>
      </c>
      <c r="Z92" s="3" t="str">
        <f t="shared" si="17"/>
        <v/>
      </c>
      <c r="AA92" s="3" t="str">
        <f t="shared" si="27"/>
        <v/>
      </c>
      <c r="AB92" s="3" t="str">
        <f t="shared" si="18"/>
        <v/>
      </c>
      <c r="AC92" s="3" t="str">
        <f t="shared" si="19"/>
        <v/>
      </c>
      <c r="AD92" s="3" t="str">
        <f t="shared" si="20"/>
        <v/>
      </c>
      <c r="AE92" s="3" t="str">
        <f t="shared" si="21"/>
        <v/>
      </c>
      <c r="AF92" s="3" t="str">
        <f t="shared" si="22"/>
        <v/>
      </c>
      <c r="AG92" s="3" t="str">
        <f t="shared" si="23"/>
        <v/>
      </c>
      <c r="AH92" s="3" t="str">
        <f t="shared" si="24"/>
        <v/>
      </c>
      <c r="AI92" s="3" t="str">
        <f t="shared" si="25"/>
        <v/>
      </c>
      <c r="AJ92" s="3" t="str">
        <f t="shared" si="26"/>
        <v/>
      </c>
      <c r="AK92" s="3" t="str">
        <f>IF(V92=0,"",_xlfn.CONCAT(DADOS!$A$8,X92:AJ92,"
"))</f>
        <v/>
      </c>
    </row>
    <row r="93" spans="5:37" ht="15" customHeight="1" x14ac:dyDescent="0.25">
      <c r="E93" s="22"/>
      <c r="F93" s="22"/>
      <c r="G93" s="12"/>
      <c r="H93" s="22"/>
      <c r="I93" s="13"/>
      <c r="J93" s="14"/>
      <c r="K93" s="12"/>
      <c r="L93" s="15"/>
      <c r="M93" s="16"/>
      <c r="N93" s="15"/>
      <c r="O93" s="16"/>
      <c r="P93" s="17"/>
      <c r="Q93" s="15"/>
      <c r="R93" s="18"/>
      <c r="S93" s="20">
        <v>79</v>
      </c>
      <c r="V93" s="3">
        <f t="shared" si="14"/>
        <v>0</v>
      </c>
      <c r="X93" s="3" t="str">
        <f t="shared" si="15"/>
        <v/>
      </c>
      <c r="Y93" s="3" t="str">
        <f t="shared" si="16"/>
        <v/>
      </c>
      <c r="Z93" s="3" t="str">
        <f t="shared" si="17"/>
        <v/>
      </c>
      <c r="AA93" s="3" t="str">
        <f t="shared" si="27"/>
        <v/>
      </c>
      <c r="AB93" s="3" t="str">
        <f t="shared" si="18"/>
        <v/>
      </c>
      <c r="AC93" s="3" t="str">
        <f t="shared" si="19"/>
        <v/>
      </c>
      <c r="AD93" s="3" t="str">
        <f t="shared" si="20"/>
        <v/>
      </c>
      <c r="AE93" s="3" t="str">
        <f t="shared" si="21"/>
        <v/>
      </c>
      <c r="AF93" s="3" t="str">
        <f t="shared" si="22"/>
        <v/>
      </c>
      <c r="AG93" s="3" t="str">
        <f t="shared" si="23"/>
        <v/>
      </c>
      <c r="AH93" s="3" t="str">
        <f t="shared" si="24"/>
        <v/>
      </c>
      <c r="AI93" s="3" t="str">
        <f t="shared" si="25"/>
        <v/>
      </c>
      <c r="AJ93" s="3" t="str">
        <f t="shared" si="26"/>
        <v/>
      </c>
      <c r="AK93" s="3" t="str">
        <f>IF(V93=0,"",_xlfn.CONCAT(DADOS!$A$8,X93:AJ93,"
"))</f>
        <v/>
      </c>
    </row>
    <row r="94" spans="5:37" ht="15" customHeight="1" x14ac:dyDescent="0.25">
      <c r="E94" s="22"/>
      <c r="F94" s="22"/>
      <c r="G94" s="12"/>
      <c r="H94" s="22"/>
      <c r="I94" s="13"/>
      <c r="J94" s="14"/>
      <c r="K94" s="12"/>
      <c r="L94" s="15"/>
      <c r="M94" s="16"/>
      <c r="N94" s="15"/>
      <c r="O94" s="16"/>
      <c r="P94" s="17"/>
      <c r="Q94" s="15"/>
      <c r="R94" s="18"/>
      <c r="S94" s="20">
        <v>80</v>
      </c>
      <c r="V94" s="3">
        <f t="shared" si="14"/>
        <v>0</v>
      </c>
      <c r="X94" s="3" t="str">
        <f t="shared" si="15"/>
        <v/>
      </c>
      <c r="Y94" s="3" t="str">
        <f t="shared" si="16"/>
        <v/>
      </c>
      <c r="Z94" s="3" t="str">
        <f t="shared" si="17"/>
        <v/>
      </c>
      <c r="AA94" s="3" t="str">
        <f t="shared" si="27"/>
        <v/>
      </c>
      <c r="AB94" s="3" t="str">
        <f t="shared" si="18"/>
        <v/>
      </c>
      <c r="AC94" s="3" t="str">
        <f t="shared" si="19"/>
        <v/>
      </c>
      <c r="AD94" s="3" t="str">
        <f t="shared" si="20"/>
        <v/>
      </c>
      <c r="AE94" s="3" t="str">
        <f t="shared" si="21"/>
        <v/>
      </c>
      <c r="AF94" s="3" t="str">
        <f t="shared" si="22"/>
        <v/>
      </c>
      <c r="AG94" s="3" t="str">
        <f t="shared" si="23"/>
        <v/>
      </c>
      <c r="AH94" s="3" t="str">
        <f t="shared" si="24"/>
        <v/>
      </c>
      <c r="AI94" s="3" t="str">
        <f t="shared" si="25"/>
        <v/>
      </c>
      <c r="AJ94" s="3" t="str">
        <f t="shared" si="26"/>
        <v/>
      </c>
      <c r="AK94" s="3" t="str">
        <f>IF(V94=0,"",_xlfn.CONCAT(DADOS!$A$8,X94:AJ94,"
"))</f>
        <v/>
      </c>
    </row>
    <row r="95" spans="5:37" ht="15" customHeight="1" x14ac:dyDescent="0.25">
      <c r="E95" s="22"/>
      <c r="F95" s="22"/>
      <c r="G95" s="12"/>
      <c r="H95" s="22"/>
      <c r="I95" s="13"/>
      <c r="J95" s="14"/>
      <c r="K95" s="12"/>
      <c r="L95" s="15"/>
      <c r="M95" s="16"/>
      <c r="N95" s="15"/>
      <c r="O95" s="16"/>
      <c r="P95" s="17"/>
      <c r="Q95" s="15"/>
      <c r="R95" s="18"/>
      <c r="S95" s="20">
        <v>81</v>
      </c>
      <c r="V95" s="3">
        <f t="shared" si="14"/>
        <v>0</v>
      </c>
      <c r="X95" s="3" t="str">
        <f t="shared" si="15"/>
        <v/>
      </c>
      <c r="Y95" s="3" t="str">
        <f t="shared" si="16"/>
        <v/>
      </c>
      <c r="Z95" s="3" t="str">
        <f t="shared" si="17"/>
        <v/>
      </c>
      <c r="AA95" s="3" t="str">
        <f t="shared" si="27"/>
        <v/>
      </c>
      <c r="AB95" s="3" t="str">
        <f t="shared" si="18"/>
        <v/>
      </c>
      <c r="AC95" s="3" t="str">
        <f t="shared" si="19"/>
        <v/>
      </c>
      <c r="AD95" s="3" t="str">
        <f t="shared" si="20"/>
        <v/>
      </c>
      <c r="AE95" s="3" t="str">
        <f t="shared" si="21"/>
        <v/>
      </c>
      <c r="AF95" s="3" t="str">
        <f t="shared" si="22"/>
        <v/>
      </c>
      <c r="AG95" s="3" t="str">
        <f t="shared" si="23"/>
        <v/>
      </c>
      <c r="AH95" s="3" t="str">
        <f t="shared" si="24"/>
        <v/>
      </c>
      <c r="AI95" s="3" t="str">
        <f t="shared" si="25"/>
        <v/>
      </c>
      <c r="AJ95" s="3" t="str">
        <f t="shared" si="26"/>
        <v/>
      </c>
      <c r="AK95" s="3" t="str">
        <f>IF(V95=0,"",_xlfn.CONCAT(DADOS!$A$8,X95:AJ95,"
"))</f>
        <v/>
      </c>
    </row>
    <row r="96" spans="5:37" ht="15" customHeight="1" x14ac:dyDescent="0.25">
      <c r="E96" s="22"/>
      <c r="F96" s="22"/>
      <c r="G96" s="12"/>
      <c r="H96" s="22"/>
      <c r="I96" s="13"/>
      <c r="J96" s="14"/>
      <c r="K96" s="12"/>
      <c r="L96" s="15"/>
      <c r="M96" s="16"/>
      <c r="N96" s="15"/>
      <c r="O96" s="16"/>
      <c r="P96" s="17"/>
      <c r="Q96" s="15"/>
      <c r="R96" s="18"/>
      <c r="S96" s="20">
        <v>82</v>
      </c>
      <c r="V96" s="3">
        <f t="shared" si="14"/>
        <v>0</v>
      </c>
      <c r="X96" s="3" t="str">
        <f t="shared" si="15"/>
        <v/>
      </c>
      <c r="Y96" s="3" t="str">
        <f t="shared" si="16"/>
        <v/>
      </c>
      <c r="Z96" s="3" t="str">
        <f t="shared" si="17"/>
        <v/>
      </c>
      <c r="AA96" s="3" t="str">
        <f t="shared" si="27"/>
        <v/>
      </c>
      <c r="AB96" s="3" t="str">
        <f t="shared" si="18"/>
        <v/>
      </c>
      <c r="AC96" s="3" t="str">
        <f t="shared" si="19"/>
        <v/>
      </c>
      <c r="AD96" s="3" t="str">
        <f t="shared" si="20"/>
        <v/>
      </c>
      <c r="AE96" s="3" t="str">
        <f t="shared" si="21"/>
        <v/>
      </c>
      <c r="AF96" s="3" t="str">
        <f t="shared" si="22"/>
        <v/>
      </c>
      <c r="AG96" s="3" t="str">
        <f t="shared" si="23"/>
        <v/>
      </c>
      <c r="AH96" s="3" t="str">
        <f t="shared" si="24"/>
        <v/>
      </c>
      <c r="AI96" s="3" t="str">
        <f t="shared" si="25"/>
        <v/>
      </c>
      <c r="AJ96" s="3" t="str">
        <f t="shared" si="26"/>
        <v/>
      </c>
      <c r="AK96" s="3" t="str">
        <f>IF(V96=0,"",_xlfn.CONCAT(DADOS!$A$8,X96:AJ96,"
"))</f>
        <v/>
      </c>
    </row>
    <row r="97" spans="5:37" ht="15" customHeight="1" x14ac:dyDescent="0.25">
      <c r="E97" s="22"/>
      <c r="F97" s="22"/>
      <c r="G97" s="12"/>
      <c r="H97" s="22"/>
      <c r="I97" s="13"/>
      <c r="J97" s="14"/>
      <c r="K97" s="12"/>
      <c r="L97" s="15"/>
      <c r="M97" s="16"/>
      <c r="N97" s="15"/>
      <c r="O97" s="16"/>
      <c r="P97" s="17"/>
      <c r="Q97" s="15"/>
      <c r="R97" s="18"/>
      <c r="S97" s="20">
        <v>83</v>
      </c>
      <c r="V97" s="3">
        <f t="shared" si="14"/>
        <v>0</v>
      </c>
      <c r="X97" s="3" t="str">
        <f t="shared" si="15"/>
        <v/>
      </c>
      <c r="Y97" s="3" t="str">
        <f t="shared" si="16"/>
        <v/>
      </c>
      <c r="Z97" s="3" t="str">
        <f t="shared" si="17"/>
        <v/>
      </c>
      <c r="AA97" s="3" t="str">
        <f t="shared" si="27"/>
        <v/>
      </c>
      <c r="AB97" s="3" t="str">
        <f t="shared" si="18"/>
        <v/>
      </c>
      <c r="AC97" s="3" t="str">
        <f t="shared" si="19"/>
        <v/>
      </c>
      <c r="AD97" s="3" t="str">
        <f t="shared" si="20"/>
        <v/>
      </c>
      <c r="AE97" s="3" t="str">
        <f t="shared" si="21"/>
        <v/>
      </c>
      <c r="AF97" s="3" t="str">
        <f t="shared" si="22"/>
        <v/>
      </c>
      <c r="AG97" s="3" t="str">
        <f t="shared" si="23"/>
        <v/>
      </c>
      <c r="AH97" s="3" t="str">
        <f t="shared" si="24"/>
        <v/>
      </c>
      <c r="AI97" s="3" t="str">
        <f t="shared" si="25"/>
        <v/>
      </c>
      <c r="AJ97" s="3" t="str">
        <f t="shared" si="26"/>
        <v/>
      </c>
      <c r="AK97" s="3" t="str">
        <f>IF(V97=0,"",_xlfn.CONCAT(DADOS!$A$8,X97:AJ97,"
"))</f>
        <v/>
      </c>
    </row>
    <row r="98" spans="5:37" ht="15" customHeight="1" x14ac:dyDescent="0.25">
      <c r="E98" s="22"/>
      <c r="F98" s="22"/>
      <c r="G98" s="12"/>
      <c r="H98" s="22"/>
      <c r="I98" s="13"/>
      <c r="J98" s="14"/>
      <c r="K98" s="12"/>
      <c r="L98" s="15"/>
      <c r="M98" s="16"/>
      <c r="N98" s="15"/>
      <c r="O98" s="16"/>
      <c r="P98" s="17"/>
      <c r="Q98" s="15"/>
      <c r="R98" s="18"/>
      <c r="S98" s="20">
        <v>84</v>
      </c>
      <c r="V98" s="3">
        <f t="shared" si="14"/>
        <v>0</v>
      </c>
      <c r="X98" s="3" t="str">
        <f t="shared" si="15"/>
        <v/>
      </c>
      <c r="Y98" s="3" t="str">
        <f t="shared" si="16"/>
        <v/>
      </c>
      <c r="Z98" s="3" t="str">
        <f t="shared" si="17"/>
        <v/>
      </c>
      <c r="AA98" s="3" t="str">
        <f t="shared" si="27"/>
        <v/>
      </c>
      <c r="AB98" s="3" t="str">
        <f t="shared" si="18"/>
        <v/>
      </c>
      <c r="AC98" s="3" t="str">
        <f t="shared" si="19"/>
        <v/>
      </c>
      <c r="AD98" s="3" t="str">
        <f t="shared" si="20"/>
        <v/>
      </c>
      <c r="AE98" s="3" t="str">
        <f t="shared" si="21"/>
        <v/>
      </c>
      <c r="AF98" s="3" t="str">
        <f t="shared" si="22"/>
        <v/>
      </c>
      <c r="AG98" s="3" t="str">
        <f t="shared" si="23"/>
        <v/>
      </c>
      <c r="AH98" s="3" t="str">
        <f t="shared" si="24"/>
        <v/>
      </c>
      <c r="AI98" s="3" t="str">
        <f t="shared" si="25"/>
        <v/>
      </c>
      <c r="AJ98" s="3" t="str">
        <f t="shared" si="26"/>
        <v/>
      </c>
      <c r="AK98" s="3" t="str">
        <f>IF(V98=0,"",_xlfn.CONCAT(DADOS!$A$8,X98:AJ98,"
"))</f>
        <v/>
      </c>
    </row>
    <row r="99" spans="5:37" ht="15" customHeight="1" x14ac:dyDescent="0.25">
      <c r="E99" s="22"/>
      <c r="F99" s="22"/>
      <c r="G99" s="12"/>
      <c r="H99" s="22"/>
      <c r="I99" s="13"/>
      <c r="J99" s="14"/>
      <c r="K99" s="12"/>
      <c r="L99" s="15"/>
      <c r="M99" s="16"/>
      <c r="N99" s="15"/>
      <c r="O99" s="16"/>
      <c r="P99" s="17"/>
      <c r="Q99" s="15"/>
      <c r="R99" s="18"/>
      <c r="S99" s="20">
        <v>85</v>
      </c>
      <c r="V99" s="3">
        <f t="shared" si="14"/>
        <v>0</v>
      </c>
      <c r="X99" s="3" t="str">
        <f t="shared" si="15"/>
        <v/>
      </c>
      <c r="Y99" s="3" t="str">
        <f t="shared" si="16"/>
        <v/>
      </c>
      <c r="Z99" s="3" t="str">
        <f t="shared" si="17"/>
        <v/>
      </c>
      <c r="AA99" s="3" t="str">
        <f t="shared" si="27"/>
        <v/>
      </c>
      <c r="AB99" s="3" t="str">
        <f t="shared" si="18"/>
        <v/>
      </c>
      <c r="AC99" s="3" t="str">
        <f t="shared" si="19"/>
        <v/>
      </c>
      <c r="AD99" s="3" t="str">
        <f t="shared" si="20"/>
        <v/>
      </c>
      <c r="AE99" s="3" t="str">
        <f t="shared" si="21"/>
        <v/>
      </c>
      <c r="AF99" s="3" t="str">
        <f t="shared" si="22"/>
        <v/>
      </c>
      <c r="AG99" s="3" t="str">
        <f t="shared" si="23"/>
        <v/>
      </c>
      <c r="AH99" s="3" t="str">
        <f t="shared" si="24"/>
        <v/>
      </c>
      <c r="AI99" s="3" t="str">
        <f t="shared" si="25"/>
        <v/>
      </c>
      <c r="AJ99" s="3" t="str">
        <f t="shared" si="26"/>
        <v/>
      </c>
      <c r="AK99" s="3" t="str">
        <f>IF(V99=0,"",_xlfn.CONCAT(DADOS!$A$8,X99:AJ99,"
"))</f>
        <v/>
      </c>
    </row>
    <row r="100" spans="5:37" ht="15" customHeight="1" x14ac:dyDescent="0.25">
      <c r="E100" s="22"/>
      <c r="F100" s="22"/>
      <c r="G100" s="12"/>
      <c r="H100" s="22"/>
      <c r="I100" s="13"/>
      <c r="J100" s="14"/>
      <c r="K100" s="12"/>
      <c r="L100" s="15"/>
      <c r="M100" s="16"/>
      <c r="N100" s="15"/>
      <c r="O100" s="16"/>
      <c r="P100" s="17"/>
      <c r="Q100" s="15"/>
      <c r="R100" s="18"/>
      <c r="S100" s="20">
        <v>86</v>
      </c>
      <c r="V100" s="3">
        <f t="shared" si="14"/>
        <v>0</v>
      </c>
      <c r="X100" s="3" t="str">
        <f t="shared" si="15"/>
        <v/>
      </c>
      <c r="Y100" s="3" t="str">
        <f t="shared" si="16"/>
        <v/>
      </c>
      <c r="Z100" s="3" t="str">
        <f t="shared" si="17"/>
        <v/>
      </c>
      <c r="AA100" s="3" t="str">
        <f t="shared" si="27"/>
        <v/>
      </c>
      <c r="AB100" s="3" t="str">
        <f t="shared" si="18"/>
        <v/>
      </c>
      <c r="AC100" s="3" t="str">
        <f t="shared" si="19"/>
        <v/>
      </c>
      <c r="AD100" s="3" t="str">
        <f t="shared" si="20"/>
        <v/>
      </c>
      <c r="AE100" s="3" t="str">
        <f t="shared" si="21"/>
        <v/>
      </c>
      <c r="AF100" s="3" t="str">
        <f t="shared" si="22"/>
        <v/>
      </c>
      <c r="AG100" s="3" t="str">
        <f t="shared" si="23"/>
        <v/>
      </c>
      <c r="AH100" s="3" t="str">
        <f t="shared" si="24"/>
        <v/>
      </c>
      <c r="AI100" s="3" t="str">
        <f t="shared" si="25"/>
        <v/>
      </c>
      <c r="AJ100" s="3" t="str">
        <f t="shared" si="26"/>
        <v/>
      </c>
      <c r="AK100" s="3" t="str">
        <f>IF(V100=0,"",_xlfn.CONCAT(DADOS!$A$8,X100:AJ100,"
"))</f>
        <v/>
      </c>
    </row>
    <row r="101" spans="5:37" ht="15" customHeight="1" x14ac:dyDescent="0.25">
      <c r="E101" s="22"/>
      <c r="F101" s="22"/>
      <c r="G101" s="12"/>
      <c r="H101" s="22"/>
      <c r="I101" s="13"/>
      <c r="J101" s="14"/>
      <c r="K101" s="12"/>
      <c r="L101" s="15"/>
      <c r="M101" s="16"/>
      <c r="N101" s="15"/>
      <c r="O101" s="16"/>
      <c r="P101" s="17"/>
      <c r="Q101" s="15"/>
      <c r="R101" s="18"/>
      <c r="S101" s="20">
        <v>87</v>
      </c>
      <c r="V101" s="3">
        <f t="shared" si="14"/>
        <v>0</v>
      </c>
      <c r="X101" s="3" t="str">
        <f t="shared" si="15"/>
        <v/>
      </c>
      <c r="Y101" s="3" t="str">
        <f t="shared" si="16"/>
        <v/>
      </c>
      <c r="Z101" s="3" t="str">
        <f t="shared" si="17"/>
        <v/>
      </c>
      <c r="AA101" s="3" t="str">
        <f t="shared" si="27"/>
        <v/>
      </c>
      <c r="AB101" s="3" t="str">
        <f t="shared" si="18"/>
        <v/>
      </c>
      <c r="AC101" s="3" t="str">
        <f t="shared" si="19"/>
        <v/>
      </c>
      <c r="AD101" s="3" t="str">
        <f t="shared" si="20"/>
        <v/>
      </c>
      <c r="AE101" s="3" t="str">
        <f t="shared" si="21"/>
        <v/>
      </c>
      <c r="AF101" s="3" t="str">
        <f t="shared" si="22"/>
        <v/>
      </c>
      <c r="AG101" s="3" t="str">
        <f t="shared" si="23"/>
        <v/>
      </c>
      <c r="AH101" s="3" t="str">
        <f t="shared" si="24"/>
        <v/>
      </c>
      <c r="AI101" s="3" t="str">
        <f t="shared" si="25"/>
        <v/>
      </c>
      <c r="AJ101" s="3" t="str">
        <f t="shared" si="26"/>
        <v/>
      </c>
      <c r="AK101" s="3" t="str">
        <f>IF(V101=0,"",_xlfn.CONCAT(DADOS!$A$8,X101:AJ101,"
"))</f>
        <v/>
      </c>
    </row>
    <row r="102" spans="5:37" ht="15" customHeight="1" x14ac:dyDescent="0.25">
      <c r="E102" s="22"/>
      <c r="F102" s="22"/>
      <c r="G102" s="12"/>
      <c r="H102" s="22"/>
      <c r="I102" s="13"/>
      <c r="J102" s="14"/>
      <c r="K102" s="12"/>
      <c r="L102" s="15"/>
      <c r="M102" s="16"/>
      <c r="N102" s="15"/>
      <c r="O102" s="16"/>
      <c r="P102" s="17"/>
      <c r="Q102" s="15"/>
      <c r="R102" s="18"/>
      <c r="S102" s="20">
        <v>88</v>
      </c>
      <c r="V102" s="3">
        <f t="shared" si="14"/>
        <v>0</v>
      </c>
      <c r="X102" s="3" t="str">
        <f t="shared" si="15"/>
        <v/>
      </c>
      <c r="Y102" s="3" t="str">
        <f t="shared" si="16"/>
        <v/>
      </c>
      <c r="Z102" s="3" t="str">
        <f t="shared" si="17"/>
        <v/>
      </c>
      <c r="AA102" s="3" t="str">
        <f t="shared" si="27"/>
        <v/>
      </c>
      <c r="AB102" s="3" t="str">
        <f t="shared" si="18"/>
        <v/>
      </c>
      <c r="AC102" s="3" t="str">
        <f t="shared" si="19"/>
        <v/>
      </c>
      <c r="AD102" s="3" t="str">
        <f t="shared" si="20"/>
        <v/>
      </c>
      <c r="AE102" s="3" t="str">
        <f t="shared" si="21"/>
        <v/>
      </c>
      <c r="AF102" s="3" t="str">
        <f t="shared" si="22"/>
        <v/>
      </c>
      <c r="AG102" s="3" t="str">
        <f t="shared" si="23"/>
        <v/>
      </c>
      <c r="AH102" s="3" t="str">
        <f t="shared" si="24"/>
        <v/>
      </c>
      <c r="AI102" s="3" t="str">
        <f t="shared" si="25"/>
        <v/>
      </c>
      <c r="AJ102" s="3" t="str">
        <f t="shared" si="26"/>
        <v/>
      </c>
      <c r="AK102" s="3" t="str">
        <f>IF(V102=0,"",_xlfn.CONCAT(DADOS!$A$8,X102:AJ102,"
"))</f>
        <v/>
      </c>
    </row>
    <row r="103" spans="5:37" ht="15" customHeight="1" x14ac:dyDescent="0.25">
      <c r="E103" s="22"/>
      <c r="F103" s="22"/>
      <c r="G103" s="12"/>
      <c r="H103" s="22"/>
      <c r="I103" s="13"/>
      <c r="J103" s="14"/>
      <c r="K103" s="12"/>
      <c r="L103" s="15"/>
      <c r="M103" s="16"/>
      <c r="N103" s="15"/>
      <c r="O103" s="16"/>
      <c r="P103" s="17"/>
      <c r="Q103" s="15"/>
      <c r="R103" s="18"/>
      <c r="S103" s="20">
        <v>89</v>
      </c>
      <c r="V103" s="3">
        <f t="shared" si="14"/>
        <v>0</v>
      </c>
      <c r="X103" s="3" t="str">
        <f t="shared" si="15"/>
        <v/>
      </c>
      <c r="Y103" s="3" t="str">
        <f t="shared" si="16"/>
        <v/>
      </c>
      <c r="Z103" s="3" t="str">
        <f t="shared" si="17"/>
        <v/>
      </c>
      <c r="AA103" s="3" t="str">
        <f t="shared" si="27"/>
        <v/>
      </c>
      <c r="AB103" s="3" t="str">
        <f t="shared" si="18"/>
        <v/>
      </c>
      <c r="AC103" s="3" t="str">
        <f t="shared" si="19"/>
        <v/>
      </c>
      <c r="AD103" s="3" t="str">
        <f t="shared" si="20"/>
        <v/>
      </c>
      <c r="AE103" s="3" t="str">
        <f t="shared" si="21"/>
        <v/>
      </c>
      <c r="AF103" s="3" t="str">
        <f t="shared" si="22"/>
        <v/>
      </c>
      <c r="AG103" s="3" t="str">
        <f t="shared" si="23"/>
        <v/>
      </c>
      <c r="AH103" s="3" t="str">
        <f t="shared" si="24"/>
        <v/>
      </c>
      <c r="AI103" s="3" t="str">
        <f t="shared" si="25"/>
        <v/>
      </c>
      <c r="AJ103" s="3" t="str">
        <f t="shared" si="26"/>
        <v/>
      </c>
      <c r="AK103" s="3" t="str">
        <f>IF(V103=0,"",_xlfn.CONCAT(DADOS!$A$8,X103:AJ103,"
"))</f>
        <v/>
      </c>
    </row>
    <row r="104" spans="5:37" ht="15" customHeight="1" x14ac:dyDescent="0.25">
      <c r="E104" s="22"/>
      <c r="F104" s="22"/>
      <c r="G104" s="12"/>
      <c r="H104" s="22"/>
      <c r="I104" s="13"/>
      <c r="J104" s="14"/>
      <c r="K104" s="12"/>
      <c r="L104" s="15"/>
      <c r="M104" s="16"/>
      <c r="N104" s="15"/>
      <c r="O104" s="16"/>
      <c r="P104" s="17"/>
      <c r="Q104" s="15"/>
      <c r="R104" s="18"/>
      <c r="S104" s="20">
        <v>90</v>
      </c>
      <c r="V104" s="3">
        <f t="shared" si="14"/>
        <v>0</v>
      </c>
      <c r="X104" s="3" t="str">
        <f t="shared" si="15"/>
        <v/>
      </c>
      <c r="Y104" s="3" t="str">
        <f t="shared" si="16"/>
        <v/>
      </c>
      <c r="Z104" s="3" t="str">
        <f t="shared" si="17"/>
        <v/>
      </c>
      <c r="AA104" s="3" t="str">
        <f t="shared" si="27"/>
        <v/>
      </c>
      <c r="AB104" s="3" t="str">
        <f t="shared" si="18"/>
        <v/>
      </c>
      <c r="AC104" s="3" t="str">
        <f t="shared" si="19"/>
        <v/>
      </c>
      <c r="AD104" s="3" t="str">
        <f t="shared" si="20"/>
        <v/>
      </c>
      <c r="AE104" s="3" t="str">
        <f t="shared" si="21"/>
        <v/>
      </c>
      <c r="AF104" s="3" t="str">
        <f t="shared" si="22"/>
        <v/>
      </c>
      <c r="AG104" s="3" t="str">
        <f t="shared" si="23"/>
        <v/>
      </c>
      <c r="AH104" s="3" t="str">
        <f t="shared" si="24"/>
        <v/>
      </c>
      <c r="AI104" s="3" t="str">
        <f t="shared" si="25"/>
        <v/>
      </c>
      <c r="AJ104" s="3" t="str">
        <f t="shared" si="26"/>
        <v/>
      </c>
      <c r="AK104" s="3" t="str">
        <f>IF(V104=0,"",_xlfn.CONCAT(DADOS!$A$8,X104:AJ104,"
"))</f>
        <v/>
      </c>
    </row>
    <row r="105" spans="5:37" ht="15" customHeight="1" x14ac:dyDescent="0.25">
      <c r="E105" s="22"/>
      <c r="F105" s="22"/>
      <c r="G105" s="12"/>
      <c r="H105" s="22"/>
      <c r="I105" s="13"/>
      <c r="J105" s="14"/>
      <c r="K105" s="12"/>
      <c r="L105" s="15"/>
      <c r="M105" s="16"/>
      <c r="N105" s="15"/>
      <c r="O105" s="16"/>
      <c r="P105" s="17"/>
      <c r="Q105" s="15"/>
      <c r="R105" s="18"/>
      <c r="S105" s="20">
        <v>91</v>
      </c>
      <c r="V105" s="3">
        <f t="shared" si="14"/>
        <v>0</v>
      </c>
      <c r="X105" s="3" t="str">
        <f t="shared" si="15"/>
        <v/>
      </c>
      <c r="Y105" s="3" t="str">
        <f t="shared" si="16"/>
        <v/>
      </c>
      <c r="Z105" s="3" t="str">
        <f t="shared" si="17"/>
        <v/>
      </c>
      <c r="AA105" s="3" t="str">
        <f t="shared" si="27"/>
        <v/>
      </c>
      <c r="AB105" s="3" t="str">
        <f t="shared" si="18"/>
        <v/>
      </c>
      <c r="AC105" s="3" t="str">
        <f t="shared" si="19"/>
        <v/>
      </c>
      <c r="AD105" s="3" t="str">
        <f t="shared" si="20"/>
        <v/>
      </c>
      <c r="AE105" s="3" t="str">
        <f t="shared" si="21"/>
        <v/>
      </c>
      <c r="AF105" s="3" t="str">
        <f t="shared" si="22"/>
        <v/>
      </c>
      <c r="AG105" s="3" t="str">
        <f t="shared" si="23"/>
        <v/>
      </c>
      <c r="AH105" s="3" t="str">
        <f t="shared" si="24"/>
        <v/>
      </c>
      <c r="AI105" s="3" t="str">
        <f t="shared" si="25"/>
        <v/>
      </c>
      <c r="AJ105" s="3" t="str">
        <f t="shared" si="26"/>
        <v/>
      </c>
      <c r="AK105" s="3" t="str">
        <f>IF(V105=0,"",_xlfn.CONCAT(DADOS!$A$8,X105:AJ105,"
"))</f>
        <v/>
      </c>
    </row>
    <row r="106" spans="5:37" ht="15" customHeight="1" x14ac:dyDescent="0.25">
      <c r="E106" s="22"/>
      <c r="F106" s="22"/>
      <c r="G106" s="12"/>
      <c r="H106" s="22"/>
      <c r="I106" s="13"/>
      <c r="J106" s="14"/>
      <c r="K106" s="12"/>
      <c r="L106" s="15"/>
      <c r="M106" s="16"/>
      <c r="N106" s="15"/>
      <c r="O106" s="16"/>
      <c r="P106" s="17"/>
      <c r="Q106" s="15"/>
      <c r="R106" s="18"/>
      <c r="S106" s="20">
        <v>92</v>
      </c>
      <c r="V106" s="3">
        <f t="shared" si="14"/>
        <v>0</v>
      </c>
      <c r="X106" s="3" t="str">
        <f t="shared" si="15"/>
        <v/>
      </c>
      <c r="Y106" s="3" t="str">
        <f t="shared" si="16"/>
        <v/>
      </c>
      <c r="Z106" s="3" t="str">
        <f t="shared" si="17"/>
        <v/>
      </c>
      <c r="AA106" s="3" t="str">
        <f t="shared" si="27"/>
        <v/>
      </c>
      <c r="AB106" s="3" t="str">
        <f t="shared" si="18"/>
        <v/>
      </c>
      <c r="AC106" s="3" t="str">
        <f t="shared" si="19"/>
        <v/>
      </c>
      <c r="AD106" s="3" t="str">
        <f t="shared" si="20"/>
        <v/>
      </c>
      <c r="AE106" s="3" t="str">
        <f t="shared" si="21"/>
        <v/>
      </c>
      <c r="AF106" s="3" t="str">
        <f t="shared" si="22"/>
        <v/>
      </c>
      <c r="AG106" s="3" t="str">
        <f t="shared" si="23"/>
        <v/>
      </c>
      <c r="AH106" s="3" t="str">
        <f t="shared" si="24"/>
        <v/>
      </c>
      <c r="AI106" s="3" t="str">
        <f t="shared" si="25"/>
        <v/>
      </c>
      <c r="AJ106" s="3" t="str">
        <f t="shared" si="26"/>
        <v/>
      </c>
      <c r="AK106" s="3" t="str">
        <f>IF(V106=0,"",_xlfn.CONCAT(DADOS!$A$8,X106:AJ106,"
"))</f>
        <v/>
      </c>
    </row>
    <row r="107" spans="5:37" ht="15" customHeight="1" x14ac:dyDescent="0.25">
      <c r="E107" s="22"/>
      <c r="F107" s="22"/>
      <c r="G107" s="12"/>
      <c r="H107" s="22"/>
      <c r="I107" s="13"/>
      <c r="J107" s="14"/>
      <c r="K107" s="12"/>
      <c r="L107" s="15"/>
      <c r="M107" s="16"/>
      <c r="N107" s="15"/>
      <c r="O107" s="16"/>
      <c r="P107" s="17"/>
      <c r="Q107" s="15"/>
      <c r="R107" s="18"/>
      <c r="S107" s="20">
        <v>93</v>
      </c>
      <c r="V107" s="3">
        <f t="shared" si="14"/>
        <v>0</v>
      </c>
      <c r="X107" s="3" t="str">
        <f t="shared" si="15"/>
        <v/>
      </c>
      <c r="Y107" s="3" t="str">
        <f t="shared" si="16"/>
        <v/>
      </c>
      <c r="Z107" s="3" t="str">
        <f t="shared" si="17"/>
        <v/>
      </c>
      <c r="AA107" s="3" t="str">
        <f t="shared" si="27"/>
        <v/>
      </c>
      <c r="AB107" s="3" t="str">
        <f t="shared" si="18"/>
        <v/>
      </c>
      <c r="AC107" s="3" t="str">
        <f t="shared" si="19"/>
        <v/>
      </c>
      <c r="AD107" s="3" t="str">
        <f t="shared" si="20"/>
        <v/>
      </c>
      <c r="AE107" s="3" t="str">
        <f t="shared" si="21"/>
        <v/>
      </c>
      <c r="AF107" s="3" t="str">
        <f t="shared" si="22"/>
        <v/>
      </c>
      <c r="AG107" s="3" t="str">
        <f t="shared" si="23"/>
        <v/>
      </c>
      <c r="AH107" s="3" t="str">
        <f t="shared" si="24"/>
        <v/>
      </c>
      <c r="AI107" s="3" t="str">
        <f t="shared" si="25"/>
        <v/>
      </c>
      <c r="AJ107" s="3" t="str">
        <f t="shared" si="26"/>
        <v/>
      </c>
      <c r="AK107" s="3" t="str">
        <f>IF(V107=0,"",_xlfn.CONCAT(DADOS!$A$8,X107:AJ107,"
"))</f>
        <v/>
      </c>
    </row>
    <row r="108" spans="5:37" ht="15" customHeight="1" x14ac:dyDescent="0.25">
      <c r="E108" s="22"/>
      <c r="F108" s="22"/>
      <c r="G108" s="12"/>
      <c r="H108" s="22"/>
      <c r="I108" s="13"/>
      <c r="J108" s="14"/>
      <c r="K108" s="12"/>
      <c r="L108" s="15"/>
      <c r="M108" s="16"/>
      <c r="N108" s="15"/>
      <c r="O108" s="16"/>
      <c r="P108" s="17"/>
      <c r="Q108" s="15"/>
      <c r="R108" s="18"/>
      <c r="S108" s="20">
        <v>94</v>
      </c>
      <c r="V108" s="3">
        <f t="shared" si="14"/>
        <v>0</v>
      </c>
      <c r="X108" s="3" t="str">
        <f t="shared" si="15"/>
        <v/>
      </c>
      <c r="Y108" s="3" t="str">
        <f t="shared" si="16"/>
        <v/>
      </c>
      <c r="Z108" s="3" t="str">
        <f t="shared" si="17"/>
        <v/>
      </c>
      <c r="AA108" s="3" t="str">
        <f t="shared" si="27"/>
        <v/>
      </c>
      <c r="AB108" s="3" t="str">
        <f t="shared" si="18"/>
        <v/>
      </c>
      <c r="AC108" s="3" t="str">
        <f t="shared" si="19"/>
        <v/>
      </c>
      <c r="AD108" s="3" t="str">
        <f t="shared" si="20"/>
        <v/>
      </c>
      <c r="AE108" s="3" t="str">
        <f t="shared" si="21"/>
        <v/>
      </c>
      <c r="AF108" s="3" t="str">
        <f t="shared" si="22"/>
        <v/>
      </c>
      <c r="AG108" s="3" t="str">
        <f t="shared" si="23"/>
        <v/>
      </c>
      <c r="AH108" s="3" t="str">
        <f t="shared" si="24"/>
        <v/>
      </c>
      <c r="AI108" s="3" t="str">
        <f t="shared" si="25"/>
        <v/>
      </c>
      <c r="AJ108" s="3" t="str">
        <f t="shared" si="26"/>
        <v/>
      </c>
      <c r="AK108" s="3" t="str">
        <f>IF(V108=0,"",_xlfn.CONCAT(DADOS!$A$8,X108:AJ108,"
"))</f>
        <v/>
      </c>
    </row>
    <row r="109" spans="5:37" ht="15" customHeight="1" x14ac:dyDescent="0.25">
      <c r="E109" s="22"/>
      <c r="F109" s="22"/>
      <c r="G109" s="12"/>
      <c r="H109" s="22"/>
      <c r="I109" s="13"/>
      <c r="J109" s="14"/>
      <c r="K109" s="12"/>
      <c r="L109" s="15"/>
      <c r="M109" s="16"/>
      <c r="N109" s="15"/>
      <c r="O109" s="16"/>
      <c r="P109" s="17"/>
      <c r="Q109" s="15"/>
      <c r="R109" s="18"/>
      <c r="S109" s="20">
        <v>95</v>
      </c>
      <c r="V109" s="3">
        <f t="shared" si="14"/>
        <v>0</v>
      </c>
      <c r="X109" s="3" t="str">
        <f t="shared" si="15"/>
        <v/>
      </c>
      <c r="Y109" s="3" t="str">
        <f t="shared" si="16"/>
        <v/>
      </c>
      <c r="Z109" s="3" t="str">
        <f t="shared" si="17"/>
        <v/>
      </c>
      <c r="AA109" s="3" t="str">
        <f t="shared" si="27"/>
        <v/>
      </c>
      <c r="AB109" s="3" t="str">
        <f t="shared" si="18"/>
        <v/>
      </c>
      <c r="AC109" s="3" t="str">
        <f t="shared" si="19"/>
        <v/>
      </c>
      <c r="AD109" s="3" t="str">
        <f t="shared" si="20"/>
        <v/>
      </c>
      <c r="AE109" s="3" t="str">
        <f t="shared" si="21"/>
        <v/>
      </c>
      <c r="AF109" s="3" t="str">
        <f t="shared" si="22"/>
        <v/>
      </c>
      <c r="AG109" s="3" t="str">
        <f t="shared" si="23"/>
        <v/>
      </c>
      <c r="AH109" s="3" t="str">
        <f t="shared" si="24"/>
        <v/>
      </c>
      <c r="AI109" s="3" t="str">
        <f t="shared" si="25"/>
        <v/>
      </c>
      <c r="AJ109" s="3" t="str">
        <f t="shared" si="26"/>
        <v/>
      </c>
      <c r="AK109" s="3" t="str">
        <f>IF(V109=0,"",_xlfn.CONCAT(DADOS!$A$8,X109:AJ109,"
"))</f>
        <v/>
      </c>
    </row>
    <row r="110" spans="5:37" ht="15" customHeight="1" x14ac:dyDescent="0.25">
      <c r="E110" s="22"/>
      <c r="F110" s="22"/>
      <c r="G110" s="12"/>
      <c r="H110" s="22"/>
      <c r="I110" s="13"/>
      <c r="J110" s="14"/>
      <c r="K110" s="12"/>
      <c r="L110" s="15"/>
      <c r="M110" s="16"/>
      <c r="N110" s="15"/>
      <c r="O110" s="16"/>
      <c r="P110" s="17"/>
      <c r="Q110" s="15"/>
      <c r="R110" s="18"/>
      <c r="S110" s="20">
        <v>96</v>
      </c>
      <c r="V110" s="3">
        <f t="shared" si="14"/>
        <v>0</v>
      </c>
      <c r="X110" s="3" t="str">
        <f t="shared" si="15"/>
        <v/>
      </c>
      <c r="Y110" s="3" t="str">
        <f t="shared" si="16"/>
        <v/>
      </c>
      <c r="Z110" s="3" t="str">
        <f t="shared" si="17"/>
        <v/>
      </c>
      <c r="AA110" s="3" t="str">
        <f t="shared" si="27"/>
        <v/>
      </c>
      <c r="AB110" s="3" t="str">
        <f t="shared" si="18"/>
        <v/>
      </c>
      <c r="AC110" s="3" t="str">
        <f t="shared" si="19"/>
        <v/>
      </c>
      <c r="AD110" s="3" t="str">
        <f t="shared" si="20"/>
        <v/>
      </c>
      <c r="AE110" s="3" t="str">
        <f t="shared" si="21"/>
        <v/>
      </c>
      <c r="AF110" s="3" t="str">
        <f t="shared" si="22"/>
        <v/>
      </c>
      <c r="AG110" s="3" t="str">
        <f t="shared" si="23"/>
        <v/>
      </c>
      <c r="AH110" s="3" t="str">
        <f t="shared" si="24"/>
        <v/>
      </c>
      <c r="AI110" s="3" t="str">
        <f t="shared" si="25"/>
        <v/>
      </c>
      <c r="AJ110" s="3" t="str">
        <f t="shared" si="26"/>
        <v/>
      </c>
      <c r="AK110" s="3" t="str">
        <f>IF(V110=0,"",_xlfn.CONCAT(DADOS!$A$8,X110:AJ110,"
"))</f>
        <v/>
      </c>
    </row>
    <row r="111" spans="5:37" ht="15" customHeight="1" x14ac:dyDescent="0.25">
      <c r="E111" s="22"/>
      <c r="F111" s="22"/>
      <c r="G111" s="12"/>
      <c r="H111" s="22"/>
      <c r="I111" s="13"/>
      <c r="J111" s="14"/>
      <c r="K111" s="12"/>
      <c r="L111" s="15"/>
      <c r="M111" s="16"/>
      <c r="N111" s="15"/>
      <c r="O111" s="16"/>
      <c r="P111" s="17"/>
      <c r="Q111" s="15"/>
      <c r="R111" s="18"/>
      <c r="S111" s="20">
        <v>97</v>
      </c>
      <c r="V111" s="3">
        <f t="shared" si="14"/>
        <v>0</v>
      </c>
      <c r="X111" s="3" t="str">
        <f t="shared" si="15"/>
        <v/>
      </c>
      <c r="Y111" s="3" t="str">
        <f t="shared" si="16"/>
        <v/>
      </c>
      <c r="Z111" s="3" t="str">
        <f t="shared" si="17"/>
        <v/>
      </c>
      <c r="AA111" s="3" t="str">
        <f t="shared" si="27"/>
        <v/>
      </c>
      <c r="AB111" s="3" t="str">
        <f t="shared" si="18"/>
        <v/>
      </c>
      <c r="AC111" s="3" t="str">
        <f t="shared" si="19"/>
        <v/>
      </c>
      <c r="AD111" s="3" t="str">
        <f t="shared" si="20"/>
        <v/>
      </c>
      <c r="AE111" s="3" t="str">
        <f t="shared" si="21"/>
        <v/>
      </c>
      <c r="AF111" s="3" t="str">
        <f t="shared" si="22"/>
        <v/>
      </c>
      <c r="AG111" s="3" t="str">
        <f t="shared" si="23"/>
        <v/>
      </c>
      <c r="AH111" s="3" t="str">
        <f t="shared" si="24"/>
        <v/>
      </c>
      <c r="AI111" s="3" t="str">
        <f t="shared" si="25"/>
        <v/>
      </c>
      <c r="AJ111" s="3" t="str">
        <f t="shared" si="26"/>
        <v/>
      </c>
      <c r="AK111" s="3" t="str">
        <f>IF(V111=0,"",_xlfn.CONCAT(DADOS!$A$8,X111:AJ111,"
"))</f>
        <v/>
      </c>
    </row>
    <row r="112" spans="5:37" ht="15" customHeight="1" x14ac:dyDescent="0.25">
      <c r="E112" s="22"/>
      <c r="F112" s="22"/>
      <c r="G112" s="12"/>
      <c r="H112" s="22"/>
      <c r="I112" s="13"/>
      <c r="J112" s="14"/>
      <c r="K112" s="12"/>
      <c r="L112" s="15"/>
      <c r="M112" s="16"/>
      <c r="N112" s="15"/>
      <c r="O112" s="16"/>
      <c r="P112" s="17"/>
      <c r="Q112" s="15"/>
      <c r="R112" s="18"/>
      <c r="S112" s="20">
        <v>98</v>
      </c>
      <c r="V112" s="3">
        <f t="shared" si="14"/>
        <v>0</v>
      </c>
      <c r="X112" s="3" t="str">
        <f t="shared" si="15"/>
        <v/>
      </c>
      <c r="Y112" s="3" t="str">
        <f t="shared" si="16"/>
        <v/>
      </c>
      <c r="Z112" s="3" t="str">
        <f t="shared" si="17"/>
        <v/>
      </c>
      <c r="AA112" s="3" t="str">
        <f t="shared" si="27"/>
        <v/>
      </c>
      <c r="AB112" s="3" t="str">
        <f t="shared" si="18"/>
        <v/>
      </c>
      <c r="AC112" s="3" t="str">
        <f t="shared" si="19"/>
        <v/>
      </c>
      <c r="AD112" s="3" t="str">
        <f t="shared" si="20"/>
        <v/>
      </c>
      <c r="AE112" s="3" t="str">
        <f t="shared" si="21"/>
        <v/>
      </c>
      <c r="AF112" s="3" t="str">
        <f t="shared" si="22"/>
        <v/>
      </c>
      <c r="AG112" s="3" t="str">
        <f t="shared" si="23"/>
        <v/>
      </c>
      <c r="AH112" s="3" t="str">
        <f t="shared" si="24"/>
        <v/>
      </c>
      <c r="AI112" s="3" t="str">
        <f t="shared" si="25"/>
        <v/>
      </c>
      <c r="AJ112" s="3" t="str">
        <f t="shared" si="26"/>
        <v/>
      </c>
      <c r="AK112" s="3" t="str">
        <f>IF(V112=0,"",_xlfn.CONCAT(DADOS!$A$8,X112:AJ112,"
"))</f>
        <v/>
      </c>
    </row>
    <row r="113" spans="5:37" ht="15" customHeight="1" x14ac:dyDescent="0.25">
      <c r="E113" s="22"/>
      <c r="F113" s="22"/>
      <c r="G113" s="12"/>
      <c r="H113" s="22"/>
      <c r="I113" s="13"/>
      <c r="J113" s="14"/>
      <c r="K113" s="12"/>
      <c r="L113" s="15"/>
      <c r="M113" s="16"/>
      <c r="N113" s="15"/>
      <c r="O113" s="16"/>
      <c r="P113" s="17"/>
      <c r="Q113" s="15"/>
      <c r="R113" s="18"/>
      <c r="S113" s="20">
        <v>99</v>
      </c>
      <c r="V113" s="3">
        <f t="shared" si="14"/>
        <v>0</v>
      </c>
      <c r="X113" s="3" t="str">
        <f t="shared" si="15"/>
        <v/>
      </c>
      <c r="Y113" s="3" t="str">
        <f t="shared" si="16"/>
        <v/>
      </c>
      <c r="Z113" s="3" t="str">
        <f t="shared" si="17"/>
        <v/>
      </c>
      <c r="AA113" s="3" t="str">
        <f t="shared" si="27"/>
        <v/>
      </c>
      <c r="AB113" s="3" t="str">
        <f t="shared" si="18"/>
        <v/>
      </c>
      <c r="AC113" s="3" t="str">
        <f t="shared" si="19"/>
        <v/>
      </c>
      <c r="AD113" s="3" t="str">
        <f t="shared" si="20"/>
        <v/>
      </c>
      <c r="AE113" s="3" t="str">
        <f t="shared" si="21"/>
        <v/>
      </c>
      <c r="AF113" s="3" t="str">
        <f t="shared" si="22"/>
        <v/>
      </c>
      <c r="AG113" s="3" t="str">
        <f t="shared" si="23"/>
        <v/>
      </c>
      <c r="AH113" s="3" t="str">
        <f t="shared" si="24"/>
        <v/>
      </c>
      <c r="AI113" s="3" t="str">
        <f t="shared" si="25"/>
        <v/>
      </c>
      <c r="AJ113" s="3" t="str">
        <f t="shared" si="26"/>
        <v/>
      </c>
      <c r="AK113" s="3" t="str">
        <f>IF(V113=0,"",_xlfn.CONCAT(DADOS!$A$8,X113:AJ113,"
"))</f>
        <v/>
      </c>
    </row>
    <row r="114" spans="5:37" ht="15" customHeight="1" x14ac:dyDescent="0.25">
      <c r="E114" s="22"/>
      <c r="F114" s="22"/>
      <c r="G114" s="12"/>
      <c r="H114" s="22"/>
      <c r="I114" s="13"/>
      <c r="J114" s="14"/>
      <c r="K114" s="12"/>
      <c r="L114" s="15"/>
      <c r="M114" s="16"/>
      <c r="N114" s="15"/>
      <c r="O114" s="16"/>
      <c r="P114" s="17"/>
      <c r="Q114" s="15"/>
      <c r="R114" s="18"/>
      <c r="S114" s="20">
        <v>100</v>
      </c>
      <c r="V114" s="3">
        <f t="shared" si="14"/>
        <v>0</v>
      </c>
      <c r="X114" s="3" t="str">
        <f t="shared" si="15"/>
        <v/>
      </c>
      <c r="Y114" s="3" t="str">
        <f t="shared" si="16"/>
        <v/>
      </c>
      <c r="Z114" s="3" t="str">
        <f t="shared" si="17"/>
        <v/>
      </c>
      <c r="AA114" s="3" t="str">
        <f t="shared" si="27"/>
        <v/>
      </c>
      <c r="AB114" s="3" t="str">
        <f t="shared" si="18"/>
        <v/>
      </c>
      <c r="AC114" s="3" t="str">
        <f t="shared" si="19"/>
        <v/>
      </c>
      <c r="AD114" s="3" t="str">
        <f t="shared" si="20"/>
        <v/>
      </c>
      <c r="AE114" s="3" t="str">
        <f t="shared" si="21"/>
        <v/>
      </c>
      <c r="AF114" s="3" t="str">
        <f t="shared" si="22"/>
        <v/>
      </c>
      <c r="AG114" s="3" t="str">
        <f t="shared" si="23"/>
        <v/>
      </c>
      <c r="AH114" s="3" t="str">
        <f t="shared" si="24"/>
        <v/>
      </c>
      <c r="AI114" s="3" t="str">
        <f t="shared" si="25"/>
        <v/>
      </c>
      <c r="AJ114" s="3" t="str">
        <f t="shared" si="26"/>
        <v/>
      </c>
      <c r="AK114" s="3" t="str">
        <f>IF(V114=0,"",_xlfn.CONCAT(DADOS!$A$8,X114:AJ114,"
"))</f>
        <v/>
      </c>
    </row>
    <row r="115" spans="5:37" ht="15" customHeight="1" x14ac:dyDescent="0.25">
      <c r="E115" s="22"/>
      <c r="F115" s="22"/>
      <c r="G115" s="12"/>
      <c r="H115" s="22"/>
      <c r="I115" s="13"/>
      <c r="J115" s="14"/>
      <c r="K115" s="12"/>
      <c r="L115" s="15"/>
      <c r="M115" s="16"/>
      <c r="N115" s="15"/>
      <c r="O115" s="16"/>
      <c r="P115" s="17"/>
      <c r="Q115" s="15"/>
      <c r="R115" s="18"/>
      <c r="S115" s="20">
        <v>101</v>
      </c>
      <c r="V115" s="3">
        <f t="shared" si="14"/>
        <v>0</v>
      </c>
      <c r="X115" s="3" t="str">
        <f t="shared" si="15"/>
        <v/>
      </c>
      <c r="Y115" s="3" t="str">
        <f t="shared" si="16"/>
        <v/>
      </c>
      <c r="Z115" s="3" t="str">
        <f t="shared" si="17"/>
        <v/>
      </c>
      <c r="AA115" s="3" t="str">
        <f t="shared" si="27"/>
        <v/>
      </c>
      <c r="AB115" s="3" t="str">
        <f t="shared" si="18"/>
        <v/>
      </c>
      <c r="AC115" s="3" t="str">
        <f t="shared" si="19"/>
        <v/>
      </c>
      <c r="AD115" s="3" t="str">
        <f t="shared" si="20"/>
        <v/>
      </c>
      <c r="AE115" s="3" t="str">
        <f t="shared" si="21"/>
        <v/>
      </c>
      <c r="AF115" s="3" t="str">
        <f t="shared" si="22"/>
        <v/>
      </c>
      <c r="AG115" s="3" t="str">
        <f t="shared" si="23"/>
        <v/>
      </c>
      <c r="AH115" s="3" t="str">
        <f t="shared" si="24"/>
        <v/>
      </c>
      <c r="AI115" s="3" t="str">
        <f t="shared" si="25"/>
        <v/>
      </c>
      <c r="AJ115" s="3" t="str">
        <f t="shared" si="26"/>
        <v/>
      </c>
      <c r="AK115" s="3" t="str">
        <f>IF(V115=0,"",_xlfn.CONCAT(DADOS!$A$8,X115:AJ115,"
"))</f>
        <v/>
      </c>
    </row>
    <row r="116" spans="5:37" ht="15" customHeight="1" x14ac:dyDescent="0.25">
      <c r="E116" s="22"/>
      <c r="F116" s="22"/>
      <c r="G116" s="12"/>
      <c r="H116" s="22"/>
      <c r="I116" s="13"/>
      <c r="J116" s="14"/>
      <c r="K116" s="12"/>
      <c r="L116" s="15"/>
      <c r="M116" s="16"/>
      <c r="N116" s="15"/>
      <c r="O116" s="16"/>
      <c r="P116" s="17"/>
      <c r="Q116" s="15"/>
      <c r="R116" s="18"/>
      <c r="S116" s="20">
        <v>102</v>
      </c>
      <c r="V116" s="3">
        <f t="shared" si="14"/>
        <v>0</v>
      </c>
      <c r="X116" s="3" t="str">
        <f t="shared" si="15"/>
        <v/>
      </c>
      <c r="Y116" s="3" t="str">
        <f t="shared" si="16"/>
        <v/>
      </c>
      <c r="Z116" s="3" t="str">
        <f t="shared" si="17"/>
        <v/>
      </c>
      <c r="AA116" s="3" t="str">
        <f t="shared" si="27"/>
        <v/>
      </c>
      <c r="AB116" s="3" t="str">
        <f t="shared" si="18"/>
        <v/>
      </c>
      <c r="AC116" s="3" t="str">
        <f t="shared" si="19"/>
        <v/>
      </c>
      <c r="AD116" s="3" t="str">
        <f t="shared" si="20"/>
        <v/>
      </c>
      <c r="AE116" s="3" t="str">
        <f t="shared" si="21"/>
        <v/>
      </c>
      <c r="AF116" s="3" t="str">
        <f t="shared" si="22"/>
        <v/>
      </c>
      <c r="AG116" s="3" t="str">
        <f t="shared" si="23"/>
        <v/>
      </c>
      <c r="AH116" s="3" t="str">
        <f t="shared" si="24"/>
        <v/>
      </c>
      <c r="AI116" s="3" t="str">
        <f t="shared" si="25"/>
        <v/>
      </c>
      <c r="AJ116" s="3" t="str">
        <f t="shared" si="26"/>
        <v/>
      </c>
      <c r="AK116" s="3" t="str">
        <f>IF(V116=0,"",_xlfn.CONCAT(DADOS!$A$8,X116:AJ116,"
"))</f>
        <v/>
      </c>
    </row>
    <row r="117" spans="5:37" ht="15" customHeight="1" x14ac:dyDescent="0.25">
      <c r="E117" s="22"/>
      <c r="F117" s="22"/>
      <c r="G117" s="12"/>
      <c r="H117" s="22"/>
      <c r="I117" s="13"/>
      <c r="J117" s="14"/>
      <c r="K117" s="12"/>
      <c r="L117" s="15"/>
      <c r="M117" s="16"/>
      <c r="N117" s="15"/>
      <c r="O117" s="16"/>
      <c r="P117" s="17"/>
      <c r="Q117" s="15"/>
      <c r="R117" s="18"/>
      <c r="S117" s="20">
        <v>103</v>
      </c>
      <c r="V117" s="3">
        <f t="shared" si="14"/>
        <v>0</v>
      </c>
      <c r="X117" s="3" t="str">
        <f t="shared" si="15"/>
        <v/>
      </c>
      <c r="Y117" s="3" t="str">
        <f t="shared" si="16"/>
        <v/>
      </c>
      <c r="Z117" s="3" t="str">
        <f t="shared" si="17"/>
        <v/>
      </c>
      <c r="AA117" s="3" t="str">
        <f t="shared" si="27"/>
        <v/>
      </c>
      <c r="AB117" s="3" t="str">
        <f t="shared" si="18"/>
        <v/>
      </c>
      <c r="AC117" s="3" t="str">
        <f t="shared" si="19"/>
        <v/>
      </c>
      <c r="AD117" s="3" t="str">
        <f t="shared" si="20"/>
        <v/>
      </c>
      <c r="AE117" s="3" t="str">
        <f t="shared" si="21"/>
        <v/>
      </c>
      <c r="AF117" s="3" t="str">
        <f t="shared" si="22"/>
        <v/>
      </c>
      <c r="AG117" s="3" t="str">
        <f t="shared" si="23"/>
        <v/>
      </c>
      <c r="AH117" s="3" t="str">
        <f t="shared" si="24"/>
        <v/>
      </c>
      <c r="AI117" s="3" t="str">
        <f t="shared" si="25"/>
        <v/>
      </c>
      <c r="AJ117" s="3" t="str">
        <f t="shared" si="26"/>
        <v/>
      </c>
      <c r="AK117" s="3" t="str">
        <f>IF(V117=0,"",_xlfn.CONCAT(DADOS!$A$8,X117:AJ117,"
"))</f>
        <v/>
      </c>
    </row>
    <row r="118" spans="5:37" ht="15" customHeight="1" x14ac:dyDescent="0.25">
      <c r="E118" s="22"/>
      <c r="F118" s="22"/>
      <c r="G118" s="12"/>
      <c r="H118" s="22"/>
      <c r="I118" s="13"/>
      <c r="J118" s="14"/>
      <c r="K118" s="12"/>
      <c r="L118" s="15"/>
      <c r="M118" s="16"/>
      <c r="N118" s="15"/>
      <c r="O118" s="16"/>
      <c r="P118" s="17"/>
      <c r="Q118" s="15"/>
      <c r="R118" s="18"/>
      <c r="S118" s="20">
        <v>104</v>
      </c>
      <c r="V118" s="3">
        <f t="shared" si="14"/>
        <v>0</v>
      </c>
      <c r="X118" s="3" t="str">
        <f t="shared" si="15"/>
        <v/>
      </c>
      <c r="Y118" s="3" t="str">
        <f t="shared" si="16"/>
        <v/>
      </c>
      <c r="Z118" s="3" t="str">
        <f t="shared" si="17"/>
        <v/>
      </c>
      <c r="AA118" s="3" t="str">
        <f t="shared" si="27"/>
        <v/>
      </c>
      <c r="AB118" s="3" t="str">
        <f t="shared" si="18"/>
        <v/>
      </c>
      <c r="AC118" s="3" t="str">
        <f t="shared" si="19"/>
        <v/>
      </c>
      <c r="AD118" s="3" t="str">
        <f t="shared" si="20"/>
        <v/>
      </c>
      <c r="AE118" s="3" t="str">
        <f t="shared" si="21"/>
        <v/>
      </c>
      <c r="AF118" s="3" t="str">
        <f t="shared" si="22"/>
        <v/>
      </c>
      <c r="AG118" s="3" t="str">
        <f t="shared" si="23"/>
        <v/>
      </c>
      <c r="AH118" s="3" t="str">
        <f t="shared" si="24"/>
        <v/>
      </c>
      <c r="AI118" s="3" t="str">
        <f t="shared" si="25"/>
        <v/>
      </c>
      <c r="AJ118" s="3" t="str">
        <f t="shared" si="26"/>
        <v/>
      </c>
      <c r="AK118" s="3" t="str">
        <f>IF(V118=0,"",_xlfn.CONCAT(DADOS!$A$8,X118:AJ118,"
"))</f>
        <v/>
      </c>
    </row>
    <row r="119" spans="5:37" ht="15" customHeight="1" x14ac:dyDescent="0.25">
      <c r="E119" s="22"/>
      <c r="F119" s="22"/>
      <c r="G119" s="12"/>
      <c r="H119" s="22"/>
      <c r="I119" s="13"/>
      <c r="J119" s="14"/>
      <c r="K119" s="12"/>
      <c r="L119" s="15"/>
      <c r="M119" s="16"/>
      <c r="N119" s="15"/>
      <c r="O119" s="16"/>
      <c r="P119" s="17"/>
      <c r="Q119" s="15"/>
      <c r="R119" s="18"/>
      <c r="S119" s="20">
        <v>105</v>
      </c>
      <c r="V119" s="3">
        <f t="shared" si="14"/>
        <v>0</v>
      </c>
      <c r="X119" s="3" t="str">
        <f t="shared" si="15"/>
        <v/>
      </c>
      <c r="Y119" s="3" t="str">
        <f t="shared" si="16"/>
        <v/>
      </c>
      <c r="Z119" s="3" t="str">
        <f t="shared" si="17"/>
        <v/>
      </c>
      <c r="AA119" s="3" t="str">
        <f t="shared" si="27"/>
        <v/>
      </c>
      <c r="AB119" s="3" t="str">
        <f t="shared" si="18"/>
        <v/>
      </c>
      <c r="AC119" s="3" t="str">
        <f t="shared" si="19"/>
        <v/>
      </c>
      <c r="AD119" s="3" t="str">
        <f t="shared" si="20"/>
        <v/>
      </c>
      <c r="AE119" s="3" t="str">
        <f t="shared" si="21"/>
        <v/>
      </c>
      <c r="AF119" s="3" t="str">
        <f t="shared" si="22"/>
        <v/>
      </c>
      <c r="AG119" s="3" t="str">
        <f t="shared" si="23"/>
        <v/>
      </c>
      <c r="AH119" s="3" t="str">
        <f t="shared" si="24"/>
        <v/>
      </c>
      <c r="AI119" s="3" t="str">
        <f t="shared" si="25"/>
        <v/>
      </c>
      <c r="AJ119" s="3" t="str">
        <f t="shared" si="26"/>
        <v/>
      </c>
      <c r="AK119" s="3" t="str">
        <f>IF(V119=0,"",_xlfn.CONCAT(DADOS!$A$8,X119:AJ119,"
"))</f>
        <v/>
      </c>
    </row>
    <row r="120" spans="5:37" ht="15" customHeight="1" x14ac:dyDescent="0.25">
      <c r="E120" s="22"/>
      <c r="F120" s="22"/>
      <c r="G120" s="12"/>
      <c r="H120" s="22"/>
      <c r="I120" s="13"/>
      <c r="J120" s="14"/>
      <c r="K120" s="12"/>
      <c r="L120" s="15"/>
      <c r="M120" s="16"/>
      <c r="N120" s="15"/>
      <c r="O120" s="16"/>
      <c r="P120" s="17"/>
      <c r="Q120" s="15"/>
      <c r="R120" s="18"/>
      <c r="S120" s="20">
        <v>106</v>
      </c>
      <c r="V120" s="3">
        <f t="shared" si="14"/>
        <v>0</v>
      </c>
      <c r="X120" s="3" t="str">
        <f t="shared" si="15"/>
        <v/>
      </c>
      <c r="Y120" s="3" t="str">
        <f t="shared" si="16"/>
        <v/>
      </c>
      <c r="Z120" s="3" t="str">
        <f t="shared" si="17"/>
        <v/>
      </c>
      <c r="AA120" s="3" t="str">
        <f t="shared" si="27"/>
        <v/>
      </c>
      <c r="AB120" s="3" t="str">
        <f t="shared" si="18"/>
        <v/>
      </c>
      <c r="AC120" s="3" t="str">
        <f t="shared" si="19"/>
        <v/>
      </c>
      <c r="AD120" s="3" t="str">
        <f t="shared" si="20"/>
        <v/>
      </c>
      <c r="AE120" s="3" t="str">
        <f t="shared" si="21"/>
        <v/>
      </c>
      <c r="AF120" s="3" t="str">
        <f t="shared" si="22"/>
        <v/>
      </c>
      <c r="AG120" s="3" t="str">
        <f t="shared" si="23"/>
        <v/>
      </c>
      <c r="AH120" s="3" t="str">
        <f t="shared" si="24"/>
        <v/>
      </c>
      <c r="AI120" s="3" t="str">
        <f t="shared" si="25"/>
        <v/>
      </c>
      <c r="AJ120" s="3" t="str">
        <f t="shared" si="26"/>
        <v/>
      </c>
      <c r="AK120" s="3" t="str">
        <f>IF(V120=0,"",_xlfn.CONCAT(DADOS!$A$8,X120:AJ120,"
"))</f>
        <v/>
      </c>
    </row>
    <row r="121" spans="5:37" ht="15" customHeight="1" x14ac:dyDescent="0.25">
      <c r="E121" s="22"/>
      <c r="F121" s="22"/>
      <c r="G121" s="12"/>
      <c r="H121" s="22"/>
      <c r="I121" s="13"/>
      <c r="J121" s="14"/>
      <c r="K121" s="12"/>
      <c r="L121" s="15"/>
      <c r="M121" s="16"/>
      <c r="N121" s="15"/>
      <c r="O121" s="16"/>
      <c r="P121" s="17"/>
      <c r="Q121" s="15"/>
      <c r="R121" s="18"/>
      <c r="S121" s="20">
        <v>107</v>
      </c>
      <c r="V121" s="3">
        <f t="shared" si="14"/>
        <v>0</v>
      </c>
      <c r="X121" s="3" t="str">
        <f t="shared" si="15"/>
        <v/>
      </c>
      <c r="Y121" s="3" t="str">
        <f t="shared" si="16"/>
        <v/>
      </c>
      <c r="Z121" s="3" t="str">
        <f t="shared" si="17"/>
        <v/>
      </c>
      <c r="AA121" s="3" t="str">
        <f t="shared" si="27"/>
        <v/>
      </c>
      <c r="AB121" s="3" t="str">
        <f t="shared" si="18"/>
        <v/>
      </c>
      <c r="AC121" s="3" t="str">
        <f t="shared" si="19"/>
        <v/>
      </c>
      <c r="AD121" s="3" t="str">
        <f t="shared" si="20"/>
        <v/>
      </c>
      <c r="AE121" s="3" t="str">
        <f t="shared" si="21"/>
        <v/>
      </c>
      <c r="AF121" s="3" t="str">
        <f t="shared" si="22"/>
        <v/>
      </c>
      <c r="AG121" s="3" t="str">
        <f t="shared" si="23"/>
        <v/>
      </c>
      <c r="AH121" s="3" t="str">
        <f t="shared" si="24"/>
        <v/>
      </c>
      <c r="AI121" s="3" t="str">
        <f t="shared" si="25"/>
        <v/>
      </c>
      <c r="AJ121" s="3" t="str">
        <f t="shared" si="26"/>
        <v/>
      </c>
      <c r="AK121" s="3" t="str">
        <f>IF(V121=0,"",_xlfn.CONCAT(DADOS!$A$8,X121:AJ121,"
"))</f>
        <v/>
      </c>
    </row>
    <row r="122" spans="5:37" ht="15" customHeight="1" x14ac:dyDescent="0.25">
      <c r="E122" s="22"/>
      <c r="F122" s="22"/>
      <c r="G122" s="12"/>
      <c r="H122" s="22"/>
      <c r="I122" s="13"/>
      <c r="J122" s="14"/>
      <c r="K122" s="12"/>
      <c r="L122" s="15"/>
      <c r="M122" s="16"/>
      <c r="N122" s="15"/>
      <c r="O122" s="16"/>
      <c r="P122" s="17"/>
      <c r="Q122" s="15"/>
      <c r="R122" s="18"/>
      <c r="S122" s="20">
        <v>108</v>
      </c>
      <c r="V122" s="3">
        <f t="shared" si="14"/>
        <v>0</v>
      </c>
      <c r="X122" s="3" t="str">
        <f t="shared" si="15"/>
        <v/>
      </c>
      <c r="Y122" s="3" t="str">
        <f t="shared" si="16"/>
        <v/>
      </c>
      <c r="Z122" s="3" t="str">
        <f t="shared" si="17"/>
        <v/>
      </c>
      <c r="AA122" s="3" t="str">
        <f t="shared" si="27"/>
        <v/>
      </c>
      <c r="AB122" s="3" t="str">
        <f t="shared" si="18"/>
        <v/>
      </c>
      <c r="AC122" s="3" t="str">
        <f t="shared" si="19"/>
        <v/>
      </c>
      <c r="AD122" s="3" t="str">
        <f t="shared" si="20"/>
        <v/>
      </c>
      <c r="AE122" s="3" t="str">
        <f t="shared" si="21"/>
        <v/>
      </c>
      <c r="AF122" s="3" t="str">
        <f t="shared" si="22"/>
        <v/>
      </c>
      <c r="AG122" s="3" t="str">
        <f t="shared" si="23"/>
        <v/>
      </c>
      <c r="AH122" s="3" t="str">
        <f t="shared" si="24"/>
        <v/>
      </c>
      <c r="AI122" s="3" t="str">
        <f t="shared" si="25"/>
        <v/>
      </c>
      <c r="AJ122" s="3" t="str">
        <f t="shared" si="26"/>
        <v/>
      </c>
      <c r="AK122" s="3" t="str">
        <f>IF(V122=0,"",_xlfn.CONCAT(DADOS!$A$8,X122:AJ122,"
"))</f>
        <v/>
      </c>
    </row>
    <row r="123" spans="5:37" ht="15" customHeight="1" x14ac:dyDescent="0.25">
      <c r="E123" s="22"/>
      <c r="F123" s="22"/>
      <c r="G123" s="12"/>
      <c r="H123" s="22"/>
      <c r="I123" s="13"/>
      <c r="J123" s="14"/>
      <c r="K123" s="12"/>
      <c r="L123" s="15"/>
      <c r="M123" s="16"/>
      <c r="N123" s="15"/>
      <c r="O123" s="16"/>
      <c r="P123" s="17"/>
      <c r="Q123" s="15"/>
      <c r="R123" s="18"/>
      <c r="S123" s="20">
        <v>109</v>
      </c>
      <c r="V123" s="3">
        <f t="shared" si="14"/>
        <v>0</v>
      </c>
      <c r="X123" s="3" t="str">
        <f t="shared" si="15"/>
        <v/>
      </c>
      <c r="Y123" s="3" t="str">
        <f t="shared" si="16"/>
        <v/>
      </c>
      <c r="Z123" s="3" t="str">
        <f t="shared" si="17"/>
        <v/>
      </c>
      <c r="AA123" s="3" t="str">
        <f t="shared" si="27"/>
        <v/>
      </c>
      <c r="AB123" s="3" t="str">
        <f t="shared" si="18"/>
        <v/>
      </c>
      <c r="AC123" s="3" t="str">
        <f t="shared" si="19"/>
        <v/>
      </c>
      <c r="AD123" s="3" t="str">
        <f t="shared" si="20"/>
        <v/>
      </c>
      <c r="AE123" s="3" t="str">
        <f t="shared" si="21"/>
        <v/>
      </c>
      <c r="AF123" s="3" t="str">
        <f t="shared" si="22"/>
        <v/>
      </c>
      <c r="AG123" s="3" t="str">
        <f t="shared" si="23"/>
        <v/>
      </c>
      <c r="AH123" s="3" t="str">
        <f t="shared" si="24"/>
        <v/>
      </c>
      <c r="AI123" s="3" t="str">
        <f t="shared" si="25"/>
        <v/>
      </c>
      <c r="AJ123" s="3" t="str">
        <f t="shared" si="26"/>
        <v/>
      </c>
      <c r="AK123" s="3" t="str">
        <f>IF(V123=0,"",_xlfn.CONCAT(DADOS!$A$8,X123:AJ123,"
"))</f>
        <v/>
      </c>
    </row>
    <row r="124" spans="5:37" ht="15" customHeight="1" x14ac:dyDescent="0.25">
      <c r="E124" s="22"/>
      <c r="F124" s="22"/>
      <c r="G124" s="12"/>
      <c r="H124" s="22"/>
      <c r="I124" s="13"/>
      <c r="J124" s="14"/>
      <c r="K124" s="12"/>
      <c r="L124" s="15"/>
      <c r="M124" s="16"/>
      <c r="N124" s="15"/>
      <c r="O124" s="16"/>
      <c r="P124" s="17"/>
      <c r="Q124" s="15"/>
      <c r="R124" s="18"/>
      <c r="S124" s="20">
        <v>110</v>
      </c>
      <c r="V124" s="3">
        <f t="shared" si="14"/>
        <v>0</v>
      </c>
      <c r="X124" s="3" t="str">
        <f t="shared" si="15"/>
        <v/>
      </c>
      <c r="Y124" s="3" t="str">
        <f t="shared" si="16"/>
        <v/>
      </c>
      <c r="Z124" s="3" t="str">
        <f t="shared" si="17"/>
        <v/>
      </c>
      <c r="AA124" s="3" t="str">
        <f t="shared" si="27"/>
        <v/>
      </c>
      <c r="AB124" s="3" t="str">
        <f t="shared" si="18"/>
        <v/>
      </c>
      <c r="AC124" s="3" t="str">
        <f t="shared" si="19"/>
        <v/>
      </c>
      <c r="AD124" s="3" t="str">
        <f t="shared" si="20"/>
        <v/>
      </c>
      <c r="AE124" s="3" t="str">
        <f t="shared" si="21"/>
        <v/>
      </c>
      <c r="AF124" s="3" t="str">
        <f t="shared" si="22"/>
        <v/>
      </c>
      <c r="AG124" s="3" t="str">
        <f t="shared" si="23"/>
        <v/>
      </c>
      <c r="AH124" s="3" t="str">
        <f t="shared" si="24"/>
        <v/>
      </c>
      <c r="AI124" s="3" t="str">
        <f t="shared" si="25"/>
        <v/>
      </c>
      <c r="AJ124" s="3" t="str">
        <f t="shared" si="26"/>
        <v/>
      </c>
      <c r="AK124" s="3" t="str">
        <f>IF(V124=0,"",_xlfn.CONCAT(DADOS!$A$8,X124:AJ124,"
"))</f>
        <v/>
      </c>
    </row>
    <row r="125" spans="5:37" ht="15" customHeight="1" x14ac:dyDescent="0.25">
      <c r="E125" s="22"/>
      <c r="F125" s="22"/>
      <c r="G125" s="12"/>
      <c r="H125" s="22"/>
      <c r="I125" s="13"/>
      <c r="J125" s="14"/>
      <c r="K125" s="12"/>
      <c r="L125" s="15"/>
      <c r="M125" s="16"/>
      <c r="N125" s="15"/>
      <c r="O125" s="16"/>
      <c r="P125" s="17"/>
      <c r="Q125" s="15"/>
      <c r="R125" s="18"/>
      <c r="S125" s="20">
        <v>111</v>
      </c>
      <c r="V125" s="3">
        <f t="shared" si="14"/>
        <v>0</v>
      </c>
      <c r="X125" s="3" t="str">
        <f t="shared" si="15"/>
        <v/>
      </c>
      <c r="Y125" s="3" t="str">
        <f t="shared" si="16"/>
        <v/>
      </c>
      <c r="Z125" s="3" t="str">
        <f t="shared" si="17"/>
        <v/>
      </c>
      <c r="AA125" s="3" t="str">
        <f t="shared" si="27"/>
        <v/>
      </c>
      <c r="AB125" s="3" t="str">
        <f t="shared" si="18"/>
        <v/>
      </c>
      <c r="AC125" s="3" t="str">
        <f t="shared" si="19"/>
        <v/>
      </c>
      <c r="AD125" s="3" t="str">
        <f t="shared" si="20"/>
        <v/>
      </c>
      <c r="AE125" s="3" t="str">
        <f t="shared" si="21"/>
        <v/>
      </c>
      <c r="AF125" s="3" t="str">
        <f t="shared" si="22"/>
        <v/>
      </c>
      <c r="AG125" s="3" t="str">
        <f t="shared" si="23"/>
        <v/>
      </c>
      <c r="AH125" s="3" t="str">
        <f t="shared" si="24"/>
        <v/>
      </c>
      <c r="AI125" s="3" t="str">
        <f t="shared" si="25"/>
        <v/>
      </c>
      <c r="AJ125" s="3" t="str">
        <f t="shared" si="26"/>
        <v/>
      </c>
      <c r="AK125" s="3" t="str">
        <f>IF(V125=0,"",_xlfn.CONCAT(DADOS!$A$8,X125:AJ125,"
"))</f>
        <v/>
      </c>
    </row>
    <row r="126" spans="5:37" ht="15" customHeight="1" x14ac:dyDescent="0.25">
      <c r="E126" s="22"/>
      <c r="F126" s="22"/>
      <c r="G126" s="12"/>
      <c r="H126" s="22"/>
      <c r="I126" s="13"/>
      <c r="J126" s="14"/>
      <c r="K126" s="12"/>
      <c r="L126" s="15"/>
      <c r="M126" s="16"/>
      <c r="N126" s="15"/>
      <c r="O126" s="16"/>
      <c r="P126" s="17"/>
      <c r="Q126" s="15"/>
      <c r="R126" s="18"/>
      <c r="S126" s="20">
        <v>112</v>
      </c>
      <c r="V126" s="3">
        <f t="shared" si="14"/>
        <v>0</v>
      </c>
      <c r="X126" s="3" t="str">
        <f t="shared" si="15"/>
        <v/>
      </c>
      <c r="Y126" s="3" t="str">
        <f t="shared" si="16"/>
        <v/>
      </c>
      <c r="Z126" s="3" t="str">
        <f t="shared" si="17"/>
        <v/>
      </c>
      <c r="AA126" s="3" t="str">
        <f t="shared" si="27"/>
        <v/>
      </c>
      <c r="AB126" s="3" t="str">
        <f t="shared" si="18"/>
        <v/>
      </c>
      <c r="AC126" s="3" t="str">
        <f t="shared" si="19"/>
        <v/>
      </c>
      <c r="AD126" s="3" t="str">
        <f t="shared" si="20"/>
        <v/>
      </c>
      <c r="AE126" s="3" t="str">
        <f t="shared" si="21"/>
        <v/>
      </c>
      <c r="AF126" s="3" t="str">
        <f t="shared" si="22"/>
        <v/>
      </c>
      <c r="AG126" s="3" t="str">
        <f t="shared" si="23"/>
        <v/>
      </c>
      <c r="AH126" s="3" t="str">
        <f t="shared" si="24"/>
        <v/>
      </c>
      <c r="AI126" s="3" t="str">
        <f t="shared" si="25"/>
        <v/>
      </c>
      <c r="AJ126" s="3" t="str">
        <f t="shared" si="26"/>
        <v/>
      </c>
      <c r="AK126" s="3" t="str">
        <f>IF(V126=0,"",_xlfn.CONCAT(DADOS!$A$8,X126:AJ126,"
"))</f>
        <v/>
      </c>
    </row>
    <row r="127" spans="5:37" ht="15" customHeight="1" x14ac:dyDescent="0.25">
      <c r="E127" s="22"/>
      <c r="F127" s="22"/>
      <c r="G127" s="12"/>
      <c r="H127" s="22"/>
      <c r="I127" s="13"/>
      <c r="J127" s="14"/>
      <c r="K127" s="12"/>
      <c r="L127" s="15"/>
      <c r="M127" s="16"/>
      <c r="N127" s="15"/>
      <c r="O127" s="16"/>
      <c r="P127" s="17"/>
      <c r="Q127" s="15"/>
      <c r="R127" s="18"/>
      <c r="S127" s="20">
        <v>113</v>
      </c>
      <c r="V127" s="3">
        <f t="shared" si="14"/>
        <v>0</v>
      </c>
      <c r="X127" s="3" t="str">
        <f t="shared" si="15"/>
        <v/>
      </c>
      <c r="Y127" s="3" t="str">
        <f t="shared" si="16"/>
        <v/>
      </c>
      <c r="Z127" s="3" t="str">
        <f t="shared" si="17"/>
        <v/>
      </c>
      <c r="AA127" s="3" t="str">
        <f t="shared" si="27"/>
        <v/>
      </c>
      <c r="AB127" s="3" t="str">
        <f t="shared" si="18"/>
        <v/>
      </c>
      <c r="AC127" s="3" t="str">
        <f t="shared" si="19"/>
        <v/>
      </c>
      <c r="AD127" s="3" t="str">
        <f t="shared" si="20"/>
        <v/>
      </c>
      <c r="AE127" s="3" t="str">
        <f t="shared" si="21"/>
        <v/>
      </c>
      <c r="AF127" s="3" t="str">
        <f t="shared" si="22"/>
        <v/>
      </c>
      <c r="AG127" s="3" t="str">
        <f t="shared" si="23"/>
        <v/>
      </c>
      <c r="AH127" s="3" t="str">
        <f t="shared" si="24"/>
        <v/>
      </c>
      <c r="AI127" s="3" t="str">
        <f t="shared" si="25"/>
        <v/>
      </c>
      <c r="AJ127" s="3" t="str">
        <f t="shared" si="26"/>
        <v/>
      </c>
      <c r="AK127" s="3" t="str">
        <f>IF(V127=0,"",_xlfn.CONCAT(DADOS!$A$8,X127:AJ127,"
"))</f>
        <v/>
      </c>
    </row>
    <row r="128" spans="5:37" ht="15" customHeight="1" x14ac:dyDescent="0.25">
      <c r="E128" s="22"/>
      <c r="F128" s="22"/>
      <c r="G128" s="12"/>
      <c r="H128" s="22"/>
      <c r="I128" s="13"/>
      <c r="J128" s="14"/>
      <c r="K128" s="12"/>
      <c r="L128" s="15"/>
      <c r="M128" s="16"/>
      <c r="N128" s="15"/>
      <c r="O128" s="16"/>
      <c r="P128" s="17"/>
      <c r="Q128" s="15"/>
      <c r="R128" s="18"/>
      <c r="S128" s="20">
        <v>114</v>
      </c>
      <c r="V128" s="3">
        <f t="shared" si="14"/>
        <v>0</v>
      </c>
      <c r="X128" s="3" t="str">
        <f t="shared" si="15"/>
        <v/>
      </c>
      <c r="Y128" s="3" t="str">
        <f t="shared" si="16"/>
        <v/>
      </c>
      <c r="Z128" s="3" t="str">
        <f t="shared" si="17"/>
        <v/>
      </c>
      <c r="AA128" s="3" t="str">
        <f t="shared" si="27"/>
        <v/>
      </c>
      <c r="AB128" s="3" t="str">
        <f t="shared" si="18"/>
        <v/>
      </c>
      <c r="AC128" s="3" t="str">
        <f t="shared" si="19"/>
        <v/>
      </c>
      <c r="AD128" s="3" t="str">
        <f t="shared" si="20"/>
        <v/>
      </c>
      <c r="AE128" s="3" t="str">
        <f t="shared" si="21"/>
        <v/>
      </c>
      <c r="AF128" s="3" t="str">
        <f t="shared" si="22"/>
        <v/>
      </c>
      <c r="AG128" s="3" t="str">
        <f t="shared" si="23"/>
        <v/>
      </c>
      <c r="AH128" s="3" t="str">
        <f t="shared" si="24"/>
        <v/>
      </c>
      <c r="AI128" s="3" t="str">
        <f t="shared" si="25"/>
        <v/>
      </c>
      <c r="AJ128" s="3" t="str">
        <f t="shared" si="26"/>
        <v/>
      </c>
      <c r="AK128" s="3" t="str">
        <f>IF(V128=0,"",_xlfn.CONCAT(DADOS!$A$8,X128:AJ128,"
"))</f>
        <v/>
      </c>
    </row>
    <row r="129" spans="5:37" ht="15" customHeight="1" x14ac:dyDescent="0.25">
      <c r="E129" s="22"/>
      <c r="F129" s="22"/>
      <c r="G129" s="12"/>
      <c r="H129" s="22"/>
      <c r="I129" s="13"/>
      <c r="J129" s="14"/>
      <c r="K129" s="12"/>
      <c r="L129" s="15"/>
      <c r="M129" s="16"/>
      <c r="N129" s="15"/>
      <c r="O129" s="16"/>
      <c r="P129" s="17"/>
      <c r="Q129" s="15"/>
      <c r="R129" s="18"/>
      <c r="S129" s="20">
        <v>115</v>
      </c>
      <c r="V129" s="3">
        <f t="shared" si="14"/>
        <v>0</v>
      </c>
      <c r="X129" s="3" t="str">
        <f t="shared" si="15"/>
        <v/>
      </c>
      <c r="Y129" s="3" t="str">
        <f t="shared" si="16"/>
        <v/>
      </c>
      <c r="Z129" s="3" t="str">
        <f t="shared" si="17"/>
        <v/>
      </c>
      <c r="AA129" s="3" t="str">
        <f t="shared" si="27"/>
        <v/>
      </c>
      <c r="AB129" s="3" t="str">
        <f t="shared" si="18"/>
        <v/>
      </c>
      <c r="AC129" s="3" t="str">
        <f t="shared" si="19"/>
        <v/>
      </c>
      <c r="AD129" s="3" t="str">
        <f t="shared" si="20"/>
        <v/>
      </c>
      <c r="AE129" s="3" t="str">
        <f t="shared" si="21"/>
        <v/>
      </c>
      <c r="AF129" s="3" t="str">
        <f t="shared" si="22"/>
        <v/>
      </c>
      <c r="AG129" s="3" t="str">
        <f t="shared" si="23"/>
        <v/>
      </c>
      <c r="AH129" s="3" t="str">
        <f t="shared" si="24"/>
        <v/>
      </c>
      <c r="AI129" s="3" t="str">
        <f t="shared" si="25"/>
        <v/>
      </c>
      <c r="AJ129" s="3" t="str">
        <f t="shared" si="26"/>
        <v/>
      </c>
      <c r="AK129" s="3" t="str">
        <f>IF(V129=0,"",_xlfn.CONCAT(DADOS!$A$8,X129:AJ129,"
"))</f>
        <v/>
      </c>
    </row>
    <row r="130" spans="5:37" ht="15" customHeight="1" x14ac:dyDescent="0.25">
      <c r="E130" s="22"/>
      <c r="F130" s="22"/>
      <c r="G130" s="12"/>
      <c r="H130" s="22"/>
      <c r="I130" s="13"/>
      <c r="J130" s="14"/>
      <c r="K130" s="12"/>
      <c r="L130" s="15"/>
      <c r="M130" s="16"/>
      <c r="N130" s="15"/>
      <c r="O130" s="16"/>
      <c r="P130" s="17"/>
      <c r="Q130" s="15"/>
      <c r="R130" s="18"/>
      <c r="S130" s="20">
        <v>116</v>
      </c>
      <c r="V130" s="3">
        <f t="shared" si="14"/>
        <v>0</v>
      </c>
      <c r="X130" s="3" t="str">
        <f t="shared" si="15"/>
        <v/>
      </c>
      <c r="Y130" s="3" t="str">
        <f t="shared" si="16"/>
        <v/>
      </c>
      <c r="Z130" s="3" t="str">
        <f t="shared" si="17"/>
        <v/>
      </c>
      <c r="AA130" s="3" t="str">
        <f t="shared" si="27"/>
        <v/>
      </c>
      <c r="AB130" s="3" t="str">
        <f t="shared" si="18"/>
        <v/>
      </c>
      <c r="AC130" s="3" t="str">
        <f t="shared" si="19"/>
        <v/>
      </c>
      <c r="AD130" s="3" t="str">
        <f t="shared" si="20"/>
        <v/>
      </c>
      <c r="AE130" s="3" t="str">
        <f t="shared" si="21"/>
        <v/>
      </c>
      <c r="AF130" s="3" t="str">
        <f t="shared" si="22"/>
        <v/>
      </c>
      <c r="AG130" s="3" t="str">
        <f t="shared" si="23"/>
        <v/>
      </c>
      <c r="AH130" s="3" t="str">
        <f t="shared" si="24"/>
        <v/>
      </c>
      <c r="AI130" s="3" t="str">
        <f t="shared" si="25"/>
        <v/>
      </c>
      <c r="AJ130" s="3" t="str">
        <f t="shared" si="26"/>
        <v/>
      </c>
      <c r="AK130" s="3" t="str">
        <f>IF(V130=0,"",_xlfn.CONCAT(DADOS!$A$8,X130:AJ130,"
"))</f>
        <v/>
      </c>
    </row>
    <row r="131" spans="5:37" ht="15" customHeight="1" x14ac:dyDescent="0.25">
      <c r="E131" s="22"/>
      <c r="F131" s="22"/>
      <c r="G131" s="12"/>
      <c r="H131" s="22"/>
      <c r="I131" s="13"/>
      <c r="J131" s="14"/>
      <c r="K131" s="12"/>
      <c r="L131" s="15"/>
      <c r="M131" s="16"/>
      <c r="N131" s="15"/>
      <c r="O131" s="16"/>
      <c r="P131" s="17"/>
      <c r="Q131" s="15"/>
      <c r="R131" s="18"/>
      <c r="S131" s="20">
        <v>117</v>
      </c>
      <c r="V131" s="3">
        <f t="shared" si="14"/>
        <v>0</v>
      </c>
      <c r="X131" s="3" t="str">
        <f t="shared" si="15"/>
        <v/>
      </c>
      <c r="Y131" s="3" t="str">
        <f t="shared" si="16"/>
        <v/>
      </c>
      <c r="Z131" s="3" t="str">
        <f t="shared" si="17"/>
        <v/>
      </c>
      <c r="AA131" s="3" t="str">
        <f t="shared" si="27"/>
        <v/>
      </c>
      <c r="AB131" s="3" t="str">
        <f t="shared" si="18"/>
        <v/>
      </c>
      <c r="AC131" s="3" t="str">
        <f t="shared" si="19"/>
        <v/>
      </c>
      <c r="AD131" s="3" t="str">
        <f t="shared" si="20"/>
        <v/>
      </c>
      <c r="AE131" s="3" t="str">
        <f t="shared" si="21"/>
        <v/>
      </c>
      <c r="AF131" s="3" t="str">
        <f t="shared" si="22"/>
        <v/>
      </c>
      <c r="AG131" s="3" t="str">
        <f t="shared" si="23"/>
        <v/>
      </c>
      <c r="AH131" s="3" t="str">
        <f t="shared" si="24"/>
        <v/>
      </c>
      <c r="AI131" s="3" t="str">
        <f t="shared" si="25"/>
        <v/>
      </c>
      <c r="AJ131" s="3" t="str">
        <f t="shared" si="26"/>
        <v/>
      </c>
      <c r="AK131" s="3" t="str">
        <f>IF(V131=0,"",_xlfn.CONCAT(DADOS!$A$8,X131:AJ131,"
"))</f>
        <v/>
      </c>
    </row>
    <row r="132" spans="5:37" ht="15" customHeight="1" x14ac:dyDescent="0.25">
      <c r="E132" s="22"/>
      <c r="F132" s="22"/>
      <c r="G132" s="12"/>
      <c r="H132" s="22"/>
      <c r="I132" s="13"/>
      <c r="J132" s="14"/>
      <c r="K132" s="12"/>
      <c r="L132" s="15"/>
      <c r="M132" s="16"/>
      <c r="N132" s="15"/>
      <c r="O132" s="16"/>
      <c r="P132" s="17"/>
      <c r="Q132" s="15"/>
      <c r="R132" s="18"/>
      <c r="S132" s="20">
        <v>118</v>
      </c>
      <c r="V132" s="3">
        <f t="shared" si="14"/>
        <v>0</v>
      </c>
      <c r="X132" s="3" t="str">
        <f t="shared" si="15"/>
        <v/>
      </c>
      <c r="Y132" s="3" t="str">
        <f t="shared" si="16"/>
        <v/>
      </c>
      <c r="Z132" s="3" t="str">
        <f t="shared" si="17"/>
        <v/>
      </c>
      <c r="AA132" s="3" t="str">
        <f t="shared" si="27"/>
        <v/>
      </c>
      <c r="AB132" s="3" t="str">
        <f t="shared" si="18"/>
        <v/>
      </c>
      <c r="AC132" s="3" t="str">
        <f t="shared" si="19"/>
        <v/>
      </c>
      <c r="AD132" s="3" t="str">
        <f t="shared" si="20"/>
        <v/>
      </c>
      <c r="AE132" s="3" t="str">
        <f t="shared" si="21"/>
        <v/>
      </c>
      <c r="AF132" s="3" t="str">
        <f t="shared" si="22"/>
        <v/>
      </c>
      <c r="AG132" s="3" t="str">
        <f t="shared" si="23"/>
        <v/>
      </c>
      <c r="AH132" s="3" t="str">
        <f t="shared" si="24"/>
        <v/>
      </c>
      <c r="AI132" s="3" t="str">
        <f t="shared" si="25"/>
        <v/>
      </c>
      <c r="AJ132" s="3" t="str">
        <f t="shared" si="26"/>
        <v/>
      </c>
      <c r="AK132" s="3" t="str">
        <f>IF(V132=0,"",_xlfn.CONCAT(DADOS!$A$8,X132:AJ132,"
"))</f>
        <v/>
      </c>
    </row>
    <row r="133" spans="5:37" ht="15" customHeight="1" x14ac:dyDescent="0.25">
      <c r="E133" s="22"/>
      <c r="F133" s="22"/>
      <c r="G133" s="12"/>
      <c r="H133" s="22"/>
      <c r="I133" s="13"/>
      <c r="J133" s="14"/>
      <c r="K133" s="12"/>
      <c r="L133" s="15"/>
      <c r="M133" s="16"/>
      <c r="N133" s="15"/>
      <c r="O133" s="16"/>
      <c r="P133" s="17"/>
      <c r="Q133" s="15"/>
      <c r="R133" s="18"/>
      <c r="S133" s="20">
        <v>119</v>
      </c>
      <c r="V133" s="3">
        <f t="shared" si="14"/>
        <v>0</v>
      </c>
      <c r="X133" s="3" t="str">
        <f t="shared" si="15"/>
        <v/>
      </c>
      <c r="Y133" s="3" t="str">
        <f t="shared" si="16"/>
        <v/>
      </c>
      <c r="Z133" s="3" t="str">
        <f t="shared" si="17"/>
        <v/>
      </c>
      <c r="AA133" s="3" t="str">
        <f t="shared" si="27"/>
        <v/>
      </c>
      <c r="AB133" s="3" t="str">
        <f t="shared" si="18"/>
        <v/>
      </c>
      <c r="AC133" s="3" t="str">
        <f t="shared" si="19"/>
        <v/>
      </c>
      <c r="AD133" s="3" t="str">
        <f t="shared" si="20"/>
        <v/>
      </c>
      <c r="AE133" s="3" t="str">
        <f t="shared" si="21"/>
        <v/>
      </c>
      <c r="AF133" s="3" t="str">
        <f t="shared" si="22"/>
        <v/>
      </c>
      <c r="AG133" s="3" t="str">
        <f t="shared" si="23"/>
        <v/>
      </c>
      <c r="AH133" s="3" t="str">
        <f t="shared" si="24"/>
        <v/>
      </c>
      <c r="AI133" s="3" t="str">
        <f t="shared" si="25"/>
        <v/>
      </c>
      <c r="AJ133" s="3" t="str">
        <f t="shared" si="26"/>
        <v/>
      </c>
      <c r="AK133" s="3" t="str">
        <f>IF(V133=0,"",_xlfn.CONCAT(DADOS!$A$8,X133:AJ133,"
"))</f>
        <v/>
      </c>
    </row>
    <row r="134" spans="5:37" ht="15" customHeight="1" x14ac:dyDescent="0.25">
      <c r="E134" s="22"/>
      <c r="F134" s="22"/>
      <c r="G134" s="12"/>
      <c r="H134" s="22"/>
      <c r="I134" s="13"/>
      <c r="J134" s="14"/>
      <c r="K134" s="12"/>
      <c r="L134" s="15"/>
      <c r="M134" s="16"/>
      <c r="N134" s="15"/>
      <c r="O134" s="16"/>
      <c r="P134" s="17"/>
      <c r="Q134" s="15"/>
      <c r="R134" s="18"/>
      <c r="S134" s="20">
        <v>120</v>
      </c>
      <c r="V134" s="3">
        <f t="shared" si="14"/>
        <v>0</v>
      </c>
      <c r="X134" s="3" t="str">
        <f t="shared" si="15"/>
        <v/>
      </c>
      <c r="Y134" s="3" t="str">
        <f t="shared" si="16"/>
        <v/>
      </c>
      <c r="Z134" s="3" t="str">
        <f t="shared" si="17"/>
        <v/>
      </c>
      <c r="AA134" s="3" t="str">
        <f t="shared" si="27"/>
        <v/>
      </c>
      <c r="AB134" s="3" t="str">
        <f t="shared" si="18"/>
        <v/>
      </c>
      <c r="AC134" s="3" t="str">
        <f t="shared" si="19"/>
        <v/>
      </c>
      <c r="AD134" s="3" t="str">
        <f t="shared" si="20"/>
        <v/>
      </c>
      <c r="AE134" s="3" t="str">
        <f t="shared" si="21"/>
        <v/>
      </c>
      <c r="AF134" s="3" t="str">
        <f t="shared" si="22"/>
        <v/>
      </c>
      <c r="AG134" s="3" t="str">
        <f t="shared" si="23"/>
        <v/>
      </c>
      <c r="AH134" s="3" t="str">
        <f t="shared" si="24"/>
        <v/>
      </c>
      <c r="AI134" s="3" t="str">
        <f t="shared" si="25"/>
        <v/>
      </c>
      <c r="AJ134" s="3" t="str">
        <f t="shared" si="26"/>
        <v/>
      </c>
      <c r="AK134" s="3" t="str">
        <f>IF(V134=0,"",_xlfn.CONCAT(DADOS!$A$8,X134:AJ134,"
"))</f>
        <v/>
      </c>
    </row>
    <row r="135" spans="5:37" ht="15" customHeight="1" x14ac:dyDescent="0.25">
      <c r="E135" s="22"/>
      <c r="F135" s="22"/>
      <c r="G135" s="12"/>
      <c r="H135" s="22"/>
      <c r="I135" s="13"/>
      <c r="J135" s="14"/>
      <c r="K135" s="12"/>
      <c r="L135" s="15"/>
      <c r="M135" s="16"/>
      <c r="N135" s="15"/>
      <c r="O135" s="16"/>
      <c r="P135" s="17"/>
      <c r="Q135" s="15"/>
      <c r="R135" s="18"/>
      <c r="S135" s="20">
        <v>121</v>
      </c>
      <c r="V135" s="3">
        <f t="shared" si="14"/>
        <v>0</v>
      </c>
      <c r="X135" s="3" t="str">
        <f t="shared" si="15"/>
        <v/>
      </c>
      <c r="Y135" s="3" t="str">
        <f t="shared" si="16"/>
        <v/>
      </c>
      <c r="Z135" s="3" t="str">
        <f t="shared" si="17"/>
        <v/>
      </c>
      <c r="AA135" s="3" t="str">
        <f t="shared" si="27"/>
        <v/>
      </c>
      <c r="AB135" s="3" t="str">
        <f t="shared" si="18"/>
        <v/>
      </c>
      <c r="AC135" s="3" t="str">
        <f t="shared" si="19"/>
        <v/>
      </c>
      <c r="AD135" s="3" t="str">
        <f t="shared" si="20"/>
        <v/>
      </c>
      <c r="AE135" s="3" t="str">
        <f t="shared" si="21"/>
        <v/>
      </c>
      <c r="AF135" s="3" t="str">
        <f t="shared" si="22"/>
        <v/>
      </c>
      <c r="AG135" s="3" t="str">
        <f t="shared" si="23"/>
        <v/>
      </c>
      <c r="AH135" s="3" t="str">
        <f t="shared" si="24"/>
        <v/>
      </c>
      <c r="AI135" s="3" t="str">
        <f t="shared" si="25"/>
        <v/>
      </c>
      <c r="AJ135" s="3" t="str">
        <f t="shared" si="26"/>
        <v/>
      </c>
      <c r="AK135" s="3" t="str">
        <f>IF(V135=0,"",_xlfn.CONCAT(DADOS!$A$8,X135:AJ135,"
"))</f>
        <v/>
      </c>
    </row>
    <row r="136" spans="5:37" ht="15" customHeight="1" x14ac:dyDescent="0.25">
      <c r="E136" s="22"/>
      <c r="F136" s="22"/>
      <c r="G136" s="12"/>
      <c r="H136" s="22"/>
      <c r="I136" s="13"/>
      <c r="J136" s="14"/>
      <c r="K136" s="12"/>
      <c r="L136" s="15"/>
      <c r="M136" s="16"/>
      <c r="N136" s="15"/>
      <c r="O136" s="16"/>
      <c r="P136" s="17"/>
      <c r="Q136" s="15"/>
      <c r="R136" s="18"/>
      <c r="S136" s="20">
        <v>122</v>
      </c>
      <c r="V136" s="3">
        <f t="shared" si="14"/>
        <v>0</v>
      </c>
      <c r="X136" s="3" t="str">
        <f t="shared" si="15"/>
        <v/>
      </c>
      <c r="Y136" s="3" t="str">
        <f t="shared" si="16"/>
        <v/>
      </c>
      <c r="Z136" s="3" t="str">
        <f t="shared" si="17"/>
        <v/>
      </c>
      <c r="AA136" s="3" t="str">
        <f t="shared" si="27"/>
        <v/>
      </c>
      <c r="AB136" s="3" t="str">
        <f t="shared" si="18"/>
        <v/>
      </c>
      <c r="AC136" s="3" t="str">
        <f t="shared" si="19"/>
        <v/>
      </c>
      <c r="AD136" s="3" t="str">
        <f t="shared" si="20"/>
        <v/>
      </c>
      <c r="AE136" s="3" t="str">
        <f t="shared" si="21"/>
        <v/>
      </c>
      <c r="AF136" s="3" t="str">
        <f t="shared" si="22"/>
        <v/>
      </c>
      <c r="AG136" s="3" t="str">
        <f t="shared" si="23"/>
        <v/>
      </c>
      <c r="AH136" s="3" t="str">
        <f t="shared" si="24"/>
        <v/>
      </c>
      <c r="AI136" s="3" t="str">
        <f t="shared" si="25"/>
        <v/>
      </c>
      <c r="AJ136" s="3" t="str">
        <f t="shared" si="26"/>
        <v/>
      </c>
      <c r="AK136" s="3" t="str">
        <f>IF(V136=0,"",_xlfn.CONCAT(DADOS!$A$8,X136:AJ136,"
"))</f>
        <v/>
      </c>
    </row>
    <row r="137" spans="5:37" ht="15" customHeight="1" x14ac:dyDescent="0.25">
      <c r="E137" s="22"/>
      <c r="F137" s="22"/>
      <c r="G137" s="12"/>
      <c r="H137" s="22"/>
      <c r="I137" s="13"/>
      <c r="J137" s="14"/>
      <c r="K137" s="12"/>
      <c r="L137" s="15"/>
      <c r="M137" s="16"/>
      <c r="N137" s="15"/>
      <c r="O137" s="16"/>
      <c r="P137" s="17"/>
      <c r="Q137" s="15"/>
      <c r="R137" s="18"/>
      <c r="S137" s="20">
        <v>123</v>
      </c>
      <c r="V137" s="3">
        <f t="shared" si="14"/>
        <v>0</v>
      </c>
      <c r="X137" s="3" t="str">
        <f t="shared" si="15"/>
        <v/>
      </c>
      <c r="Y137" s="3" t="str">
        <f t="shared" si="16"/>
        <v/>
      </c>
      <c r="Z137" s="3" t="str">
        <f t="shared" si="17"/>
        <v/>
      </c>
      <c r="AA137" s="3" t="str">
        <f t="shared" si="27"/>
        <v/>
      </c>
      <c r="AB137" s="3" t="str">
        <f t="shared" si="18"/>
        <v/>
      </c>
      <c r="AC137" s="3" t="str">
        <f t="shared" si="19"/>
        <v/>
      </c>
      <c r="AD137" s="3" t="str">
        <f t="shared" si="20"/>
        <v/>
      </c>
      <c r="AE137" s="3" t="str">
        <f t="shared" si="21"/>
        <v/>
      </c>
      <c r="AF137" s="3" t="str">
        <f t="shared" si="22"/>
        <v/>
      </c>
      <c r="AG137" s="3" t="str">
        <f t="shared" si="23"/>
        <v/>
      </c>
      <c r="AH137" s="3" t="str">
        <f t="shared" si="24"/>
        <v/>
      </c>
      <c r="AI137" s="3" t="str">
        <f t="shared" si="25"/>
        <v/>
      </c>
      <c r="AJ137" s="3" t="str">
        <f t="shared" si="26"/>
        <v/>
      </c>
      <c r="AK137" s="3" t="str">
        <f>IF(V137=0,"",_xlfn.CONCAT(DADOS!$A$8,X137:AJ137,"
"))</f>
        <v/>
      </c>
    </row>
    <row r="138" spans="5:37" ht="15" customHeight="1" x14ac:dyDescent="0.25">
      <c r="E138" s="22"/>
      <c r="F138" s="22"/>
      <c r="G138" s="12"/>
      <c r="H138" s="22"/>
      <c r="I138" s="13"/>
      <c r="J138" s="14"/>
      <c r="K138" s="12"/>
      <c r="L138" s="15"/>
      <c r="M138" s="16"/>
      <c r="N138" s="15"/>
      <c r="O138" s="16"/>
      <c r="P138" s="17"/>
      <c r="Q138" s="15"/>
      <c r="R138" s="18"/>
      <c r="S138" s="20">
        <v>124</v>
      </c>
      <c r="V138" s="3">
        <f t="shared" si="14"/>
        <v>0</v>
      </c>
      <c r="X138" s="3" t="str">
        <f t="shared" si="15"/>
        <v/>
      </c>
      <c r="Y138" s="3" t="str">
        <f t="shared" si="16"/>
        <v/>
      </c>
      <c r="Z138" s="3" t="str">
        <f t="shared" si="17"/>
        <v/>
      </c>
      <c r="AA138" s="3" t="str">
        <f t="shared" si="27"/>
        <v/>
      </c>
      <c r="AB138" s="3" t="str">
        <f t="shared" si="18"/>
        <v/>
      </c>
      <c r="AC138" s="3" t="str">
        <f t="shared" si="19"/>
        <v/>
      </c>
      <c r="AD138" s="3" t="str">
        <f t="shared" si="20"/>
        <v/>
      </c>
      <c r="AE138" s="3" t="str">
        <f t="shared" si="21"/>
        <v/>
      </c>
      <c r="AF138" s="3" t="str">
        <f t="shared" si="22"/>
        <v/>
      </c>
      <c r="AG138" s="3" t="str">
        <f t="shared" si="23"/>
        <v/>
      </c>
      <c r="AH138" s="3" t="str">
        <f t="shared" si="24"/>
        <v/>
      </c>
      <c r="AI138" s="3" t="str">
        <f t="shared" si="25"/>
        <v/>
      </c>
      <c r="AJ138" s="3" t="str">
        <f t="shared" si="26"/>
        <v/>
      </c>
      <c r="AK138" s="3" t="str">
        <f>IF(V138=0,"",_xlfn.CONCAT(DADOS!$A$8,X138:AJ138,"
"))</f>
        <v/>
      </c>
    </row>
    <row r="139" spans="5:37" ht="15" customHeight="1" x14ac:dyDescent="0.25">
      <c r="E139" s="22"/>
      <c r="F139" s="22"/>
      <c r="G139" s="12"/>
      <c r="H139" s="22"/>
      <c r="I139" s="13"/>
      <c r="J139" s="14"/>
      <c r="K139" s="12"/>
      <c r="L139" s="15"/>
      <c r="M139" s="16"/>
      <c r="N139" s="15"/>
      <c r="O139" s="16"/>
      <c r="P139" s="17"/>
      <c r="Q139" s="15"/>
      <c r="R139" s="18"/>
      <c r="S139" s="20">
        <v>125</v>
      </c>
      <c r="V139" s="3">
        <f t="shared" si="14"/>
        <v>0</v>
      </c>
      <c r="X139" s="3" t="str">
        <f t="shared" si="15"/>
        <v/>
      </c>
      <c r="Y139" s="3" t="str">
        <f t="shared" si="16"/>
        <v/>
      </c>
      <c r="Z139" s="3" t="str">
        <f t="shared" si="17"/>
        <v/>
      </c>
      <c r="AA139" s="3" t="str">
        <f t="shared" si="27"/>
        <v/>
      </c>
      <c r="AB139" s="3" t="str">
        <f t="shared" si="18"/>
        <v/>
      </c>
      <c r="AC139" s="3" t="str">
        <f t="shared" si="19"/>
        <v/>
      </c>
      <c r="AD139" s="3" t="str">
        <f t="shared" si="20"/>
        <v/>
      </c>
      <c r="AE139" s="3" t="str">
        <f t="shared" si="21"/>
        <v/>
      </c>
      <c r="AF139" s="3" t="str">
        <f t="shared" si="22"/>
        <v/>
      </c>
      <c r="AG139" s="3" t="str">
        <f t="shared" si="23"/>
        <v/>
      </c>
      <c r="AH139" s="3" t="str">
        <f t="shared" si="24"/>
        <v/>
      </c>
      <c r="AI139" s="3" t="str">
        <f t="shared" si="25"/>
        <v/>
      </c>
      <c r="AJ139" s="3" t="str">
        <f t="shared" si="26"/>
        <v/>
      </c>
      <c r="AK139" s="3" t="str">
        <f>IF(V139=0,"",_xlfn.CONCAT(DADOS!$A$8,X139:AJ139,"
"))</f>
        <v/>
      </c>
    </row>
    <row r="140" spans="5:37" ht="15" customHeight="1" x14ac:dyDescent="0.25">
      <c r="E140" s="22"/>
      <c r="F140" s="22"/>
      <c r="G140" s="12"/>
      <c r="H140" s="22"/>
      <c r="I140" s="13"/>
      <c r="J140" s="14"/>
      <c r="K140" s="12"/>
      <c r="L140" s="15"/>
      <c r="M140" s="16"/>
      <c r="N140" s="15"/>
      <c r="O140" s="16"/>
      <c r="P140" s="17"/>
      <c r="Q140" s="15"/>
      <c r="R140" s="18"/>
      <c r="S140" s="20">
        <v>126</v>
      </c>
      <c r="V140" s="3">
        <f t="shared" si="14"/>
        <v>0</v>
      </c>
      <c r="X140" s="3" t="str">
        <f t="shared" si="15"/>
        <v/>
      </c>
      <c r="Y140" s="3" t="str">
        <f t="shared" si="16"/>
        <v/>
      </c>
      <c r="Z140" s="3" t="str">
        <f t="shared" si="17"/>
        <v/>
      </c>
      <c r="AA140" s="3" t="str">
        <f t="shared" si="27"/>
        <v/>
      </c>
      <c r="AB140" s="3" t="str">
        <f t="shared" si="18"/>
        <v/>
      </c>
      <c r="AC140" s="3" t="str">
        <f t="shared" si="19"/>
        <v/>
      </c>
      <c r="AD140" s="3" t="str">
        <f t="shared" si="20"/>
        <v/>
      </c>
      <c r="AE140" s="3" t="str">
        <f t="shared" si="21"/>
        <v/>
      </c>
      <c r="AF140" s="3" t="str">
        <f t="shared" si="22"/>
        <v/>
      </c>
      <c r="AG140" s="3" t="str">
        <f t="shared" si="23"/>
        <v/>
      </c>
      <c r="AH140" s="3" t="str">
        <f t="shared" si="24"/>
        <v/>
      </c>
      <c r="AI140" s="3" t="str">
        <f t="shared" si="25"/>
        <v/>
      </c>
      <c r="AJ140" s="3" t="str">
        <f t="shared" si="26"/>
        <v/>
      </c>
      <c r="AK140" s="3" t="str">
        <f>IF(V140=0,"",_xlfn.CONCAT(DADOS!$A$8,X140:AJ140,"
"))</f>
        <v/>
      </c>
    </row>
    <row r="141" spans="5:37" ht="15" customHeight="1" x14ac:dyDescent="0.25">
      <c r="E141" s="22"/>
      <c r="F141" s="22"/>
      <c r="G141" s="12"/>
      <c r="H141" s="22"/>
      <c r="I141" s="13"/>
      <c r="J141" s="14"/>
      <c r="K141" s="12"/>
      <c r="L141" s="15"/>
      <c r="M141" s="16"/>
      <c r="N141" s="15"/>
      <c r="O141" s="16"/>
      <c r="P141" s="17"/>
      <c r="Q141" s="15"/>
      <c r="R141" s="18"/>
      <c r="S141" s="20">
        <v>127</v>
      </c>
      <c r="V141" s="3">
        <f t="shared" si="14"/>
        <v>0</v>
      </c>
      <c r="X141" s="3" t="str">
        <f t="shared" si="15"/>
        <v/>
      </c>
      <c r="Y141" s="3" t="str">
        <f t="shared" si="16"/>
        <v/>
      </c>
      <c r="Z141" s="3" t="str">
        <f t="shared" si="17"/>
        <v/>
      </c>
      <c r="AA141" s="3" t="str">
        <f t="shared" si="27"/>
        <v/>
      </c>
      <c r="AB141" s="3" t="str">
        <f t="shared" si="18"/>
        <v/>
      </c>
      <c r="AC141" s="3" t="str">
        <f t="shared" si="19"/>
        <v/>
      </c>
      <c r="AD141" s="3" t="str">
        <f t="shared" si="20"/>
        <v/>
      </c>
      <c r="AE141" s="3" t="str">
        <f t="shared" si="21"/>
        <v/>
      </c>
      <c r="AF141" s="3" t="str">
        <f t="shared" si="22"/>
        <v/>
      </c>
      <c r="AG141" s="3" t="str">
        <f t="shared" si="23"/>
        <v/>
      </c>
      <c r="AH141" s="3" t="str">
        <f t="shared" si="24"/>
        <v/>
      </c>
      <c r="AI141" s="3" t="str">
        <f t="shared" si="25"/>
        <v/>
      </c>
      <c r="AJ141" s="3" t="str">
        <f t="shared" si="26"/>
        <v/>
      </c>
      <c r="AK141" s="3" t="str">
        <f>IF(V141=0,"",_xlfn.CONCAT(DADOS!$A$8,X141:AJ141,"
"))</f>
        <v/>
      </c>
    </row>
    <row r="142" spans="5:37" ht="15" customHeight="1" x14ac:dyDescent="0.25">
      <c r="E142" s="22"/>
      <c r="F142" s="22"/>
      <c r="G142" s="12"/>
      <c r="H142" s="22"/>
      <c r="I142" s="13"/>
      <c r="J142" s="14"/>
      <c r="K142" s="12"/>
      <c r="L142" s="15"/>
      <c r="M142" s="16"/>
      <c r="N142" s="15"/>
      <c r="O142" s="16"/>
      <c r="P142" s="17"/>
      <c r="Q142" s="15"/>
      <c r="R142" s="18"/>
      <c r="S142" s="20">
        <v>128</v>
      </c>
      <c r="V142" s="3">
        <f t="shared" si="14"/>
        <v>0</v>
      </c>
      <c r="X142" s="3" t="str">
        <f t="shared" si="15"/>
        <v/>
      </c>
      <c r="Y142" s="3" t="str">
        <f t="shared" si="16"/>
        <v/>
      </c>
      <c r="Z142" s="3" t="str">
        <f t="shared" si="17"/>
        <v/>
      </c>
      <c r="AA142" s="3" t="str">
        <f t="shared" si="27"/>
        <v/>
      </c>
      <c r="AB142" s="3" t="str">
        <f t="shared" si="18"/>
        <v/>
      </c>
      <c r="AC142" s="3" t="str">
        <f t="shared" si="19"/>
        <v/>
      </c>
      <c r="AD142" s="3" t="str">
        <f t="shared" si="20"/>
        <v/>
      </c>
      <c r="AE142" s="3" t="str">
        <f t="shared" si="21"/>
        <v/>
      </c>
      <c r="AF142" s="3" t="str">
        <f t="shared" si="22"/>
        <v/>
      </c>
      <c r="AG142" s="3" t="str">
        <f t="shared" si="23"/>
        <v/>
      </c>
      <c r="AH142" s="3" t="str">
        <f t="shared" si="24"/>
        <v/>
      </c>
      <c r="AI142" s="3" t="str">
        <f t="shared" si="25"/>
        <v/>
      </c>
      <c r="AJ142" s="3" t="str">
        <f t="shared" si="26"/>
        <v/>
      </c>
      <c r="AK142" s="3" t="str">
        <f>IF(V142=0,"",_xlfn.CONCAT(DADOS!$A$8,X142:AJ142,"
"))</f>
        <v/>
      </c>
    </row>
    <row r="143" spans="5:37" ht="15" customHeight="1" x14ac:dyDescent="0.25">
      <c r="E143" s="22"/>
      <c r="F143" s="22"/>
      <c r="G143" s="12"/>
      <c r="H143" s="22"/>
      <c r="I143" s="13"/>
      <c r="J143" s="14"/>
      <c r="K143" s="12"/>
      <c r="L143" s="15"/>
      <c r="M143" s="16"/>
      <c r="N143" s="15"/>
      <c r="O143" s="16"/>
      <c r="P143" s="17"/>
      <c r="Q143" s="15"/>
      <c r="R143" s="18"/>
      <c r="S143" s="20">
        <v>129</v>
      </c>
      <c r="V143" s="3">
        <f t="shared" ref="V143:V206" si="28">IF(E143="",0,1)</f>
        <v>0</v>
      </c>
      <c r="X143" s="3" t="str">
        <f t="shared" ref="X143:X206" si="29">_xlfn.CONCAT(E143,IF(LEN(E143)=1,"  ",IF(LEN(E143)=2," ","")))</f>
        <v/>
      </c>
      <c r="Y143" s="3" t="str">
        <f t="shared" ref="Y143:Y206" si="30">_xlfn.CONCAT(F143,IF(LEN(F143)=1,"  ",IF(LEN(F143)=2," ","")))</f>
        <v/>
      </c>
      <c r="Z143" s="3" t="str">
        <f t="shared" ref="Z143:Z206" si="31">IF(V143=0,"",G143)</f>
        <v/>
      </c>
      <c r="AA143" s="3" t="str">
        <f t="shared" si="27"/>
        <v/>
      </c>
      <c r="AB143" s="3" t="str">
        <f t="shared" ref="AB143:AB206" si="32">IF(V143=0,"",IF(LEN(I143)=1,_xlfn.CONCAT(0,I143),I143))</f>
        <v/>
      </c>
      <c r="AC143" s="3" t="str">
        <f t="shared" ref="AC143:AC206" si="33">IF(I143=20,"",(IF(I143=8,IF(LEN(J143)=1,_xlfn.CONCAT("00",J143),IF(LEN(J143)=2,_xlfn.CONCAT("0",J143),J143)),"")))</f>
        <v/>
      </c>
      <c r="AD143" s="3" t="str">
        <f t="shared" ref="AD143:AD206" si="34">IF(I143=20,"",IF(I143=8,IF(LEN(K143)=1,_xlfn.CONCAT(0,K143),K143),""))</f>
        <v/>
      </c>
      <c r="AE143" s="3" t="str">
        <f t="shared" ref="AE143:AE206" si="35">IF(I143=8,L143,"")</f>
        <v/>
      </c>
      <c r="AF143" s="3" t="str">
        <f t="shared" ref="AF143:AF206" si="36">IF(V143=0,"",IF($I143=20,"",IF(LEN(M143)=1,_xlfn.CONCAT("00",M143),IF(LEN(M143)=2,_xlfn.CONCAT("0",M143),M143))))</f>
        <v/>
      </c>
      <c r="AG143" s="3" t="str">
        <f t="shared" ref="AG143:AG206" si="37">IF(V143=0,"",IF($I143=20,"",IF(LEN(N143)=1,_xlfn.CONCAT(0,N143),N143)))</f>
        <v/>
      </c>
      <c r="AH143" s="3" t="str">
        <f t="shared" ref="AH143:AH206" si="38">IF(V143=0,"",IF($I143=20,"",IF(LEN(P143)=3,_xlfn.CONCAT("00",P143),_xlfn.CONCAT("0",P143))))</f>
        <v/>
      </c>
      <c r="AI143" s="3" t="str">
        <f t="shared" ref="AI143:AI206" si="39">IF(V143=0,"",IF(I143=20,"",_xlfn.CONCAT(R143,"0",$AJ$14)))</f>
        <v/>
      </c>
      <c r="AJ143" s="3" t="str">
        <f t="shared" ref="AJ143:AJ206" si="40">IF(V143=0,"",IF(LEN(R143)&lt;4,$AJ$14,""))</f>
        <v/>
      </c>
      <c r="AK143" s="3" t="str">
        <f>IF(V143=0,"",_xlfn.CONCAT(DADOS!$A$8,X143:AJ143,"
"))</f>
        <v/>
      </c>
    </row>
    <row r="144" spans="5:37" ht="15" customHeight="1" x14ac:dyDescent="0.25">
      <c r="E144" s="22"/>
      <c r="F144" s="22"/>
      <c r="G144" s="12"/>
      <c r="H144" s="22"/>
      <c r="I144" s="13"/>
      <c r="J144" s="14"/>
      <c r="K144" s="12"/>
      <c r="L144" s="15"/>
      <c r="M144" s="16"/>
      <c r="N144" s="15"/>
      <c r="O144" s="16"/>
      <c r="P144" s="17"/>
      <c r="Q144" s="15"/>
      <c r="R144" s="18"/>
      <c r="S144" s="20">
        <v>130</v>
      </c>
      <c r="V144" s="3">
        <f t="shared" si="28"/>
        <v>0</v>
      </c>
      <c r="X144" s="3" t="str">
        <f t="shared" si="29"/>
        <v/>
      </c>
      <c r="Y144" s="3" t="str">
        <f t="shared" si="30"/>
        <v/>
      </c>
      <c r="Z144" s="3" t="str">
        <f t="shared" si="31"/>
        <v/>
      </c>
      <c r="AA144" s="3" t="str">
        <f t="shared" ref="AA144:AA207" si="41">IF(OR(G144=0,G144=4),"",H144)</f>
        <v/>
      </c>
      <c r="AB144" s="3" t="str">
        <f t="shared" si="32"/>
        <v/>
      </c>
      <c r="AC144" s="3" t="str">
        <f t="shared" si="33"/>
        <v/>
      </c>
      <c r="AD144" s="3" t="str">
        <f t="shared" si="34"/>
        <v/>
      </c>
      <c r="AE144" s="3" t="str">
        <f t="shared" si="35"/>
        <v/>
      </c>
      <c r="AF144" s="3" t="str">
        <f t="shared" si="36"/>
        <v/>
      </c>
      <c r="AG144" s="3" t="str">
        <f t="shared" si="37"/>
        <v/>
      </c>
      <c r="AH144" s="3" t="str">
        <f t="shared" si="38"/>
        <v/>
      </c>
      <c r="AI144" s="3" t="str">
        <f t="shared" si="39"/>
        <v/>
      </c>
      <c r="AJ144" s="3" t="str">
        <f t="shared" si="40"/>
        <v/>
      </c>
      <c r="AK144" s="3" t="str">
        <f>IF(V144=0,"",_xlfn.CONCAT(DADOS!$A$8,X144:AJ144,"
"))</f>
        <v/>
      </c>
    </row>
    <row r="145" spans="5:37" ht="15" customHeight="1" x14ac:dyDescent="0.25">
      <c r="E145" s="22"/>
      <c r="F145" s="22"/>
      <c r="G145" s="12"/>
      <c r="H145" s="22"/>
      <c r="I145" s="13"/>
      <c r="J145" s="14"/>
      <c r="K145" s="12"/>
      <c r="L145" s="15"/>
      <c r="M145" s="16"/>
      <c r="N145" s="15"/>
      <c r="O145" s="16"/>
      <c r="P145" s="17"/>
      <c r="Q145" s="15"/>
      <c r="R145" s="18"/>
      <c r="S145" s="20">
        <v>131</v>
      </c>
      <c r="V145" s="3">
        <f t="shared" si="28"/>
        <v>0</v>
      </c>
      <c r="X145" s="3" t="str">
        <f t="shared" si="29"/>
        <v/>
      </c>
      <c r="Y145" s="3" t="str">
        <f t="shared" si="30"/>
        <v/>
      </c>
      <c r="Z145" s="3" t="str">
        <f t="shared" si="31"/>
        <v/>
      </c>
      <c r="AA145" s="3" t="str">
        <f t="shared" si="41"/>
        <v/>
      </c>
      <c r="AB145" s="3" t="str">
        <f t="shared" si="32"/>
        <v/>
      </c>
      <c r="AC145" s="3" t="str">
        <f t="shared" si="33"/>
        <v/>
      </c>
      <c r="AD145" s="3" t="str">
        <f t="shared" si="34"/>
        <v/>
      </c>
      <c r="AE145" s="3" t="str">
        <f t="shared" si="35"/>
        <v/>
      </c>
      <c r="AF145" s="3" t="str">
        <f t="shared" si="36"/>
        <v/>
      </c>
      <c r="AG145" s="3" t="str">
        <f t="shared" si="37"/>
        <v/>
      </c>
      <c r="AH145" s="3" t="str">
        <f t="shared" si="38"/>
        <v/>
      </c>
      <c r="AI145" s="3" t="str">
        <f t="shared" si="39"/>
        <v/>
      </c>
      <c r="AJ145" s="3" t="str">
        <f t="shared" si="40"/>
        <v/>
      </c>
      <c r="AK145" s="3" t="str">
        <f>IF(V145=0,"",_xlfn.CONCAT(DADOS!$A$8,X145:AJ145,"
"))</f>
        <v/>
      </c>
    </row>
    <row r="146" spans="5:37" ht="15" customHeight="1" x14ac:dyDescent="0.25">
      <c r="E146" s="22"/>
      <c r="F146" s="22"/>
      <c r="G146" s="12"/>
      <c r="H146" s="22"/>
      <c r="I146" s="13"/>
      <c r="J146" s="14"/>
      <c r="K146" s="12"/>
      <c r="L146" s="15"/>
      <c r="M146" s="16"/>
      <c r="N146" s="15"/>
      <c r="O146" s="16"/>
      <c r="P146" s="17"/>
      <c r="Q146" s="15"/>
      <c r="R146" s="18"/>
      <c r="S146" s="20">
        <v>132</v>
      </c>
      <c r="V146" s="3">
        <f t="shared" si="28"/>
        <v>0</v>
      </c>
      <c r="X146" s="3" t="str">
        <f t="shared" si="29"/>
        <v/>
      </c>
      <c r="Y146" s="3" t="str">
        <f t="shared" si="30"/>
        <v/>
      </c>
      <c r="Z146" s="3" t="str">
        <f t="shared" si="31"/>
        <v/>
      </c>
      <c r="AA146" s="3" t="str">
        <f t="shared" si="41"/>
        <v/>
      </c>
      <c r="AB146" s="3" t="str">
        <f t="shared" si="32"/>
        <v/>
      </c>
      <c r="AC146" s="3" t="str">
        <f t="shared" si="33"/>
        <v/>
      </c>
      <c r="AD146" s="3" t="str">
        <f t="shared" si="34"/>
        <v/>
      </c>
      <c r="AE146" s="3" t="str">
        <f t="shared" si="35"/>
        <v/>
      </c>
      <c r="AF146" s="3" t="str">
        <f t="shared" si="36"/>
        <v/>
      </c>
      <c r="AG146" s="3" t="str">
        <f t="shared" si="37"/>
        <v/>
      </c>
      <c r="AH146" s="3" t="str">
        <f t="shared" si="38"/>
        <v/>
      </c>
      <c r="AI146" s="3" t="str">
        <f t="shared" si="39"/>
        <v/>
      </c>
      <c r="AJ146" s="3" t="str">
        <f t="shared" si="40"/>
        <v/>
      </c>
      <c r="AK146" s="3" t="str">
        <f>IF(V146=0,"",_xlfn.CONCAT(DADOS!$A$8,X146:AJ146,"
"))</f>
        <v/>
      </c>
    </row>
    <row r="147" spans="5:37" ht="15" customHeight="1" x14ac:dyDescent="0.25">
      <c r="E147" s="22"/>
      <c r="F147" s="22"/>
      <c r="G147" s="12"/>
      <c r="H147" s="22"/>
      <c r="I147" s="13"/>
      <c r="J147" s="14"/>
      <c r="K147" s="12"/>
      <c r="L147" s="15"/>
      <c r="M147" s="16"/>
      <c r="N147" s="15"/>
      <c r="O147" s="16"/>
      <c r="P147" s="17"/>
      <c r="Q147" s="15"/>
      <c r="R147" s="18"/>
      <c r="S147" s="20">
        <v>133</v>
      </c>
      <c r="V147" s="3">
        <f t="shared" si="28"/>
        <v>0</v>
      </c>
      <c r="X147" s="3" t="str">
        <f t="shared" si="29"/>
        <v/>
      </c>
      <c r="Y147" s="3" t="str">
        <f t="shared" si="30"/>
        <v/>
      </c>
      <c r="Z147" s="3" t="str">
        <f t="shared" si="31"/>
        <v/>
      </c>
      <c r="AA147" s="3" t="str">
        <f t="shared" si="41"/>
        <v/>
      </c>
      <c r="AB147" s="3" t="str">
        <f t="shared" si="32"/>
        <v/>
      </c>
      <c r="AC147" s="3" t="str">
        <f t="shared" si="33"/>
        <v/>
      </c>
      <c r="AD147" s="3" t="str">
        <f t="shared" si="34"/>
        <v/>
      </c>
      <c r="AE147" s="3" t="str">
        <f t="shared" si="35"/>
        <v/>
      </c>
      <c r="AF147" s="3" t="str">
        <f t="shared" si="36"/>
        <v/>
      </c>
      <c r="AG147" s="3" t="str">
        <f t="shared" si="37"/>
        <v/>
      </c>
      <c r="AH147" s="3" t="str">
        <f t="shared" si="38"/>
        <v/>
      </c>
      <c r="AI147" s="3" t="str">
        <f t="shared" si="39"/>
        <v/>
      </c>
      <c r="AJ147" s="3" t="str">
        <f t="shared" si="40"/>
        <v/>
      </c>
      <c r="AK147" s="3" t="str">
        <f>IF(V147=0,"",_xlfn.CONCAT(DADOS!$A$8,X147:AJ147,"
"))</f>
        <v/>
      </c>
    </row>
    <row r="148" spans="5:37" ht="15" customHeight="1" x14ac:dyDescent="0.25">
      <c r="E148" s="22"/>
      <c r="F148" s="22"/>
      <c r="G148" s="12"/>
      <c r="H148" s="22"/>
      <c r="I148" s="13"/>
      <c r="J148" s="14"/>
      <c r="K148" s="12"/>
      <c r="L148" s="15"/>
      <c r="M148" s="16"/>
      <c r="N148" s="15"/>
      <c r="O148" s="16"/>
      <c r="P148" s="17"/>
      <c r="Q148" s="15"/>
      <c r="R148" s="18"/>
      <c r="S148" s="20">
        <v>134</v>
      </c>
      <c r="V148" s="3">
        <f t="shared" si="28"/>
        <v>0</v>
      </c>
      <c r="X148" s="3" t="str">
        <f t="shared" si="29"/>
        <v/>
      </c>
      <c r="Y148" s="3" t="str">
        <f t="shared" si="30"/>
        <v/>
      </c>
      <c r="Z148" s="3" t="str">
        <f t="shared" si="31"/>
        <v/>
      </c>
      <c r="AA148" s="3" t="str">
        <f t="shared" si="41"/>
        <v/>
      </c>
      <c r="AB148" s="3" t="str">
        <f t="shared" si="32"/>
        <v/>
      </c>
      <c r="AC148" s="3" t="str">
        <f t="shared" si="33"/>
        <v/>
      </c>
      <c r="AD148" s="3" t="str">
        <f t="shared" si="34"/>
        <v/>
      </c>
      <c r="AE148" s="3" t="str">
        <f t="shared" si="35"/>
        <v/>
      </c>
      <c r="AF148" s="3" t="str">
        <f t="shared" si="36"/>
        <v/>
      </c>
      <c r="AG148" s="3" t="str">
        <f t="shared" si="37"/>
        <v/>
      </c>
      <c r="AH148" s="3" t="str">
        <f t="shared" si="38"/>
        <v/>
      </c>
      <c r="AI148" s="3" t="str">
        <f t="shared" si="39"/>
        <v/>
      </c>
      <c r="AJ148" s="3" t="str">
        <f t="shared" si="40"/>
        <v/>
      </c>
      <c r="AK148" s="3" t="str">
        <f>IF(V148=0,"",_xlfn.CONCAT(DADOS!$A$8,X148:AJ148,"
"))</f>
        <v/>
      </c>
    </row>
    <row r="149" spans="5:37" ht="15" customHeight="1" x14ac:dyDescent="0.25">
      <c r="E149" s="22"/>
      <c r="F149" s="22"/>
      <c r="G149" s="12"/>
      <c r="H149" s="22"/>
      <c r="I149" s="13"/>
      <c r="J149" s="14"/>
      <c r="K149" s="12"/>
      <c r="L149" s="15"/>
      <c r="M149" s="16"/>
      <c r="N149" s="15"/>
      <c r="O149" s="16"/>
      <c r="P149" s="17"/>
      <c r="Q149" s="15"/>
      <c r="R149" s="18"/>
      <c r="S149" s="20">
        <v>135</v>
      </c>
      <c r="V149" s="3">
        <f t="shared" si="28"/>
        <v>0</v>
      </c>
      <c r="X149" s="3" t="str">
        <f t="shared" si="29"/>
        <v/>
      </c>
      <c r="Y149" s="3" t="str">
        <f t="shared" si="30"/>
        <v/>
      </c>
      <c r="Z149" s="3" t="str">
        <f t="shared" si="31"/>
        <v/>
      </c>
      <c r="AA149" s="3" t="str">
        <f t="shared" si="41"/>
        <v/>
      </c>
      <c r="AB149" s="3" t="str">
        <f t="shared" si="32"/>
        <v/>
      </c>
      <c r="AC149" s="3" t="str">
        <f t="shared" si="33"/>
        <v/>
      </c>
      <c r="AD149" s="3" t="str">
        <f t="shared" si="34"/>
        <v/>
      </c>
      <c r="AE149" s="3" t="str">
        <f t="shared" si="35"/>
        <v/>
      </c>
      <c r="AF149" s="3" t="str">
        <f t="shared" si="36"/>
        <v/>
      </c>
      <c r="AG149" s="3" t="str">
        <f t="shared" si="37"/>
        <v/>
      </c>
      <c r="AH149" s="3" t="str">
        <f t="shared" si="38"/>
        <v/>
      </c>
      <c r="AI149" s="3" t="str">
        <f t="shared" si="39"/>
        <v/>
      </c>
      <c r="AJ149" s="3" t="str">
        <f t="shared" si="40"/>
        <v/>
      </c>
      <c r="AK149" s="3" t="str">
        <f>IF(V149=0,"",_xlfn.CONCAT(DADOS!$A$8,X149:AJ149,"
"))</f>
        <v/>
      </c>
    </row>
    <row r="150" spans="5:37" ht="15" customHeight="1" x14ac:dyDescent="0.25">
      <c r="E150" s="22"/>
      <c r="F150" s="22"/>
      <c r="G150" s="12"/>
      <c r="H150" s="22"/>
      <c r="I150" s="13"/>
      <c r="J150" s="14"/>
      <c r="K150" s="12"/>
      <c r="L150" s="15"/>
      <c r="M150" s="16"/>
      <c r="N150" s="15"/>
      <c r="O150" s="16"/>
      <c r="P150" s="17"/>
      <c r="Q150" s="15"/>
      <c r="R150" s="18"/>
      <c r="S150" s="20">
        <v>136</v>
      </c>
      <c r="V150" s="3">
        <f t="shared" si="28"/>
        <v>0</v>
      </c>
      <c r="X150" s="3" t="str">
        <f t="shared" si="29"/>
        <v/>
      </c>
      <c r="Y150" s="3" t="str">
        <f t="shared" si="30"/>
        <v/>
      </c>
      <c r="Z150" s="3" t="str">
        <f t="shared" si="31"/>
        <v/>
      </c>
      <c r="AA150" s="3" t="str">
        <f t="shared" si="41"/>
        <v/>
      </c>
      <c r="AB150" s="3" t="str">
        <f t="shared" si="32"/>
        <v/>
      </c>
      <c r="AC150" s="3" t="str">
        <f t="shared" si="33"/>
        <v/>
      </c>
      <c r="AD150" s="3" t="str">
        <f t="shared" si="34"/>
        <v/>
      </c>
      <c r="AE150" s="3" t="str">
        <f t="shared" si="35"/>
        <v/>
      </c>
      <c r="AF150" s="3" t="str">
        <f t="shared" si="36"/>
        <v/>
      </c>
      <c r="AG150" s="3" t="str">
        <f t="shared" si="37"/>
        <v/>
      </c>
      <c r="AH150" s="3" t="str">
        <f t="shared" si="38"/>
        <v/>
      </c>
      <c r="AI150" s="3" t="str">
        <f t="shared" si="39"/>
        <v/>
      </c>
      <c r="AJ150" s="3" t="str">
        <f t="shared" si="40"/>
        <v/>
      </c>
      <c r="AK150" s="3" t="str">
        <f>IF(V150=0,"",_xlfn.CONCAT(DADOS!$A$8,X150:AJ150,"
"))</f>
        <v/>
      </c>
    </row>
    <row r="151" spans="5:37" ht="15" customHeight="1" x14ac:dyDescent="0.25">
      <c r="E151" s="22"/>
      <c r="F151" s="22"/>
      <c r="G151" s="12"/>
      <c r="H151" s="22"/>
      <c r="I151" s="13"/>
      <c r="J151" s="14"/>
      <c r="K151" s="12"/>
      <c r="L151" s="15"/>
      <c r="M151" s="16"/>
      <c r="N151" s="15"/>
      <c r="O151" s="16"/>
      <c r="P151" s="17"/>
      <c r="Q151" s="15"/>
      <c r="R151" s="18"/>
      <c r="S151" s="20">
        <v>137</v>
      </c>
      <c r="V151" s="3">
        <f t="shared" si="28"/>
        <v>0</v>
      </c>
      <c r="X151" s="3" t="str">
        <f t="shared" si="29"/>
        <v/>
      </c>
      <c r="Y151" s="3" t="str">
        <f t="shared" si="30"/>
        <v/>
      </c>
      <c r="Z151" s="3" t="str">
        <f t="shared" si="31"/>
        <v/>
      </c>
      <c r="AA151" s="3" t="str">
        <f t="shared" si="41"/>
        <v/>
      </c>
      <c r="AB151" s="3" t="str">
        <f t="shared" si="32"/>
        <v/>
      </c>
      <c r="AC151" s="3" t="str">
        <f t="shared" si="33"/>
        <v/>
      </c>
      <c r="AD151" s="3" t="str">
        <f t="shared" si="34"/>
        <v/>
      </c>
      <c r="AE151" s="3" t="str">
        <f t="shared" si="35"/>
        <v/>
      </c>
      <c r="AF151" s="3" t="str">
        <f t="shared" si="36"/>
        <v/>
      </c>
      <c r="AG151" s="3" t="str">
        <f t="shared" si="37"/>
        <v/>
      </c>
      <c r="AH151" s="3" t="str">
        <f t="shared" si="38"/>
        <v/>
      </c>
      <c r="AI151" s="3" t="str">
        <f t="shared" si="39"/>
        <v/>
      </c>
      <c r="AJ151" s="3" t="str">
        <f t="shared" si="40"/>
        <v/>
      </c>
      <c r="AK151" s="3" t="str">
        <f>IF(V151=0,"",_xlfn.CONCAT(DADOS!$A$8,X151:AJ151,"
"))</f>
        <v/>
      </c>
    </row>
    <row r="152" spans="5:37" ht="15" customHeight="1" x14ac:dyDescent="0.25">
      <c r="E152" s="22"/>
      <c r="F152" s="22"/>
      <c r="G152" s="12"/>
      <c r="H152" s="22"/>
      <c r="I152" s="13"/>
      <c r="J152" s="14"/>
      <c r="K152" s="12"/>
      <c r="L152" s="15"/>
      <c r="M152" s="16"/>
      <c r="N152" s="15"/>
      <c r="O152" s="16"/>
      <c r="P152" s="17"/>
      <c r="Q152" s="15"/>
      <c r="R152" s="18"/>
      <c r="S152" s="20">
        <v>138</v>
      </c>
      <c r="V152" s="3">
        <f t="shared" si="28"/>
        <v>0</v>
      </c>
      <c r="X152" s="3" t="str">
        <f t="shared" si="29"/>
        <v/>
      </c>
      <c r="Y152" s="3" t="str">
        <f t="shared" si="30"/>
        <v/>
      </c>
      <c r="Z152" s="3" t="str">
        <f t="shared" si="31"/>
        <v/>
      </c>
      <c r="AA152" s="3" t="str">
        <f t="shared" si="41"/>
        <v/>
      </c>
      <c r="AB152" s="3" t="str">
        <f t="shared" si="32"/>
        <v/>
      </c>
      <c r="AC152" s="3" t="str">
        <f t="shared" si="33"/>
        <v/>
      </c>
      <c r="AD152" s="3" t="str">
        <f t="shared" si="34"/>
        <v/>
      </c>
      <c r="AE152" s="3" t="str">
        <f t="shared" si="35"/>
        <v/>
      </c>
      <c r="AF152" s="3" t="str">
        <f t="shared" si="36"/>
        <v/>
      </c>
      <c r="AG152" s="3" t="str">
        <f t="shared" si="37"/>
        <v/>
      </c>
      <c r="AH152" s="3" t="str">
        <f t="shared" si="38"/>
        <v/>
      </c>
      <c r="AI152" s="3" t="str">
        <f t="shared" si="39"/>
        <v/>
      </c>
      <c r="AJ152" s="3" t="str">
        <f t="shared" si="40"/>
        <v/>
      </c>
      <c r="AK152" s="3" t="str">
        <f>IF(V152=0,"",_xlfn.CONCAT(DADOS!$A$8,X152:AJ152,"
"))</f>
        <v/>
      </c>
    </row>
    <row r="153" spans="5:37" ht="15" customHeight="1" x14ac:dyDescent="0.25">
      <c r="E153" s="22"/>
      <c r="F153" s="22"/>
      <c r="G153" s="12"/>
      <c r="H153" s="22"/>
      <c r="I153" s="13"/>
      <c r="J153" s="14"/>
      <c r="K153" s="12"/>
      <c r="L153" s="15"/>
      <c r="M153" s="16"/>
      <c r="N153" s="15"/>
      <c r="O153" s="16"/>
      <c r="P153" s="17"/>
      <c r="Q153" s="15"/>
      <c r="R153" s="18"/>
      <c r="S153" s="20">
        <v>139</v>
      </c>
      <c r="V153" s="3">
        <f t="shared" si="28"/>
        <v>0</v>
      </c>
      <c r="X153" s="3" t="str">
        <f t="shared" si="29"/>
        <v/>
      </c>
      <c r="Y153" s="3" t="str">
        <f t="shared" si="30"/>
        <v/>
      </c>
      <c r="Z153" s="3" t="str">
        <f t="shared" si="31"/>
        <v/>
      </c>
      <c r="AA153" s="3" t="str">
        <f t="shared" si="41"/>
        <v/>
      </c>
      <c r="AB153" s="3" t="str">
        <f t="shared" si="32"/>
        <v/>
      </c>
      <c r="AC153" s="3" t="str">
        <f t="shared" si="33"/>
        <v/>
      </c>
      <c r="AD153" s="3" t="str">
        <f t="shared" si="34"/>
        <v/>
      </c>
      <c r="AE153" s="3" t="str">
        <f t="shared" si="35"/>
        <v/>
      </c>
      <c r="AF153" s="3" t="str">
        <f t="shared" si="36"/>
        <v/>
      </c>
      <c r="AG153" s="3" t="str">
        <f t="shared" si="37"/>
        <v/>
      </c>
      <c r="AH153" s="3" t="str">
        <f t="shared" si="38"/>
        <v/>
      </c>
      <c r="AI153" s="3" t="str">
        <f t="shared" si="39"/>
        <v/>
      </c>
      <c r="AJ153" s="3" t="str">
        <f t="shared" si="40"/>
        <v/>
      </c>
      <c r="AK153" s="3" t="str">
        <f>IF(V153=0,"",_xlfn.CONCAT(DADOS!$A$8,X153:AJ153,"
"))</f>
        <v/>
      </c>
    </row>
    <row r="154" spans="5:37" ht="15" customHeight="1" x14ac:dyDescent="0.25">
      <c r="E154" s="22"/>
      <c r="F154" s="22"/>
      <c r="G154" s="12"/>
      <c r="H154" s="22"/>
      <c r="I154" s="13"/>
      <c r="J154" s="14"/>
      <c r="K154" s="12"/>
      <c r="L154" s="15"/>
      <c r="M154" s="16"/>
      <c r="N154" s="15"/>
      <c r="O154" s="16"/>
      <c r="P154" s="17"/>
      <c r="Q154" s="15"/>
      <c r="R154" s="18"/>
      <c r="S154" s="20">
        <v>140</v>
      </c>
      <c r="V154" s="3">
        <f t="shared" si="28"/>
        <v>0</v>
      </c>
      <c r="X154" s="3" t="str">
        <f t="shared" si="29"/>
        <v/>
      </c>
      <c r="Y154" s="3" t="str">
        <f t="shared" si="30"/>
        <v/>
      </c>
      <c r="Z154" s="3" t="str">
        <f t="shared" si="31"/>
        <v/>
      </c>
      <c r="AA154" s="3" t="str">
        <f t="shared" si="41"/>
        <v/>
      </c>
      <c r="AB154" s="3" t="str">
        <f t="shared" si="32"/>
        <v/>
      </c>
      <c r="AC154" s="3" t="str">
        <f t="shared" si="33"/>
        <v/>
      </c>
      <c r="AD154" s="3" t="str">
        <f t="shared" si="34"/>
        <v/>
      </c>
      <c r="AE154" s="3" t="str">
        <f t="shared" si="35"/>
        <v/>
      </c>
      <c r="AF154" s="3" t="str">
        <f t="shared" si="36"/>
        <v/>
      </c>
      <c r="AG154" s="3" t="str">
        <f t="shared" si="37"/>
        <v/>
      </c>
      <c r="AH154" s="3" t="str">
        <f t="shared" si="38"/>
        <v/>
      </c>
      <c r="AI154" s="3" t="str">
        <f t="shared" si="39"/>
        <v/>
      </c>
      <c r="AJ154" s="3" t="str">
        <f t="shared" si="40"/>
        <v/>
      </c>
      <c r="AK154" s="3" t="str">
        <f>IF(V154=0,"",_xlfn.CONCAT(DADOS!$A$8,X154:AJ154,"
"))</f>
        <v/>
      </c>
    </row>
    <row r="155" spans="5:37" ht="15" customHeight="1" x14ac:dyDescent="0.25">
      <c r="E155" s="22"/>
      <c r="F155" s="22"/>
      <c r="G155" s="12"/>
      <c r="H155" s="22"/>
      <c r="I155" s="13"/>
      <c r="J155" s="14"/>
      <c r="K155" s="12"/>
      <c r="L155" s="15"/>
      <c r="M155" s="16"/>
      <c r="N155" s="15"/>
      <c r="O155" s="16"/>
      <c r="P155" s="17"/>
      <c r="Q155" s="15"/>
      <c r="R155" s="18"/>
      <c r="S155" s="20">
        <v>141</v>
      </c>
      <c r="V155" s="3">
        <f t="shared" si="28"/>
        <v>0</v>
      </c>
      <c r="X155" s="3" t="str">
        <f t="shared" si="29"/>
        <v/>
      </c>
      <c r="Y155" s="3" t="str">
        <f t="shared" si="30"/>
        <v/>
      </c>
      <c r="Z155" s="3" t="str">
        <f t="shared" si="31"/>
        <v/>
      </c>
      <c r="AA155" s="3" t="str">
        <f t="shared" si="41"/>
        <v/>
      </c>
      <c r="AB155" s="3" t="str">
        <f t="shared" si="32"/>
        <v/>
      </c>
      <c r="AC155" s="3" t="str">
        <f t="shared" si="33"/>
        <v/>
      </c>
      <c r="AD155" s="3" t="str">
        <f t="shared" si="34"/>
        <v/>
      </c>
      <c r="AE155" s="3" t="str">
        <f t="shared" si="35"/>
        <v/>
      </c>
      <c r="AF155" s="3" t="str">
        <f t="shared" si="36"/>
        <v/>
      </c>
      <c r="AG155" s="3" t="str">
        <f t="shared" si="37"/>
        <v/>
      </c>
      <c r="AH155" s="3" t="str">
        <f t="shared" si="38"/>
        <v/>
      </c>
      <c r="AI155" s="3" t="str">
        <f t="shared" si="39"/>
        <v/>
      </c>
      <c r="AJ155" s="3" t="str">
        <f t="shared" si="40"/>
        <v/>
      </c>
      <c r="AK155" s="3" t="str">
        <f>IF(V155=0,"",_xlfn.CONCAT(DADOS!$A$8,X155:AJ155,"
"))</f>
        <v/>
      </c>
    </row>
    <row r="156" spans="5:37" ht="15" customHeight="1" x14ac:dyDescent="0.25">
      <c r="E156" s="22"/>
      <c r="F156" s="22"/>
      <c r="G156" s="12"/>
      <c r="H156" s="22"/>
      <c r="I156" s="13"/>
      <c r="J156" s="14"/>
      <c r="K156" s="12"/>
      <c r="L156" s="15"/>
      <c r="M156" s="16"/>
      <c r="N156" s="15"/>
      <c r="O156" s="16"/>
      <c r="P156" s="17"/>
      <c r="Q156" s="15"/>
      <c r="R156" s="18"/>
      <c r="S156" s="20">
        <v>142</v>
      </c>
      <c r="V156" s="3">
        <f t="shared" si="28"/>
        <v>0</v>
      </c>
      <c r="X156" s="3" t="str">
        <f t="shared" si="29"/>
        <v/>
      </c>
      <c r="Y156" s="3" t="str">
        <f t="shared" si="30"/>
        <v/>
      </c>
      <c r="Z156" s="3" t="str">
        <f t="shared" si="31"/>
        <v/>
      </c>
      <c r="AA156" s="3" t="str">
        <f t="shared" si="41"/>
        <v/>
      </c>
      <c r="AB156" s="3" t="str">
        <f t="shared" si="32"/>
        <v/>
      </c>
      <c r="AC156" s="3" t="str">
        <f t="shared" si="33"/>
        <v/>
      </c>
      <c r="AD156" s="3" t="str">
        <f t="shared" si="34"/>
        <v/>
      </c>
      <c r="AE156" s="3" t="str">
        <f t="shared" si="35"/>
        <v/>
      </c>
      <c r="AF156" s="3" t="str">
        <f t="shared" si="36"/>
        <v/>
      </c>
      <c r="AG156" s="3" t="str">
        <f t="shared" si="37"/>
        <v/>
      </c>
      <c r="AH156" s="3" t="str">
        <f t="shared" si="38"/>
        <v/>
      </c>
      <c r="AI156" s="3" t="str">
        <f t="shared" si="39"/>
        <v/>
      </c>
      <c r="AJ156" s="3" t="str">
        <f t="shared" si="40"/>
        <v/>
      </c>
      <c r="AK156" s="3" t="str">
        <f>IF(V156=0,"",_xlfn.CONCAT(DADOS!$A$8,X156:AJ156,"
"))</f>
        <v/>
      </c>
    </row>
    <row r="157" spans="5:37" ht="15" customHeight="1" x14ac:dyDescent="0.25">
      <c r="E157" s="22"/>
      <c r="F157" s="22"/>
      <c r="G157" s="12"/>
      <c r="H157" s="22"/>
      <c r="I157" s="13"/>
      <c r="J157" s="14"/>
      <c r="K157" s="12"/>
      <c r="L157" s="15"/>
      <c r="M157" s="16"/>
      <c r="N157" s="15"/>
      <c r="O157" s="16"/>
      <c r="P157" s="17"/>
      <c r="Q157" s="15"/>
      <c r="R157" s="18"/>
      <c r="S157" s="20">
        <v>143</v>
      </c>
      <c r="V157" s="3">
        <f t="shared" si="28"/>
        <v>0</v>
      </c>
      <c r="X157" s="3" t="str">
        <f t="shared" si="29"/>
        <v/>
      </c>
      <c r="Y157" s="3" t="str">
        <f t="shared" si="30"/>
        <v/>
      </c>
      <c r="Z157" s="3" t="str">
        <f t="shared" si="31"/>
        <v/>
      </c>
      <c r="AA157" s="3" t="str">
        <f t="shared" si="41"/>
        <v/>
      </c>
      <c r="AB157" s="3" t="str">
        <f t="shared" si="32"/>
        <v/>
      </c>
      <c r="AC157" s="3" t="str">
        <f t="shared" si="33"/>
        <v/>
      </c>
      <c r="AD157" s="3" t="str">
        <f t="shared" si="34"/>
        <v/>
      </c>
      <c r="AE157" s="3" t="str">
        <f t="shared" si="35"/>
        <v/>
      </c>
      <c r="AF157" s="3" t="str">
        <f t="shared" si="36"/>
        <v/>
      </c>
      <c r="AG157" s="3" t="str">
        <f t="shared" si="37"/>
        <v/>
      </c>
      <c r="AH157" s="3" t="str">
        <f t="shared" si="38"/>
        <v/>
      </c>
      <c r="AI157" s="3" t="str">
        <f t="shared" si="39"/>
        <v/>
      </c>
      <c r="AJ157" s="3" t="str">
        <f t="shared" si="40"/>
        <v/>
      </c>
      <c r="AK157" s="3" t="str">
        <f>IF(V157=0,"",_xlfn.CONCAT(DADOS!$A$8,X157:AJ157,"
"))</f>
        <v/>
      </c>
    </row>
    <row r="158" spans="5:37" ht="15" customHeight="1" x14ac:dyDescent="0.25">
      <c r="E158" s="22"/>
      <c r="F158" s="22"/>
      <c r="G158" s="12"/>
      <c r="H158" s="22"/>
      <c r="I158" s="13"/>
      <c r="J158" s="14"/>
      <c r="K158" s="12"/>
      <c r="L158" s="15"/>
      <c r="M158" s="16"/>
      <c r="N158" s="15"/>
      <c r="O158" s="16"/>
      <c r="P158" s="17"/>
      <c r="Q158" s="15"/>
      <c r="R158" s="18"/>
      <c r="S158" s="20">
        <v>144</v>
      </c>
      <c r="V158" s="3">
        <f t="shared" si="28"/>
        <v>0</v>
      </c>
      <c r="X158" s="3" t="str">
        <f t="shared" si="29"/>
        <v/>
      </c>
      <c r="Y158" s="3" t="str">
        <f t="shared" si="30"/>
        <v/>
      </c>
      <c r="Z158" s="3" t="str">
        <f t="shared" si="31"/>
        <v/>
      </c>
      <c r="AA158" s="3" t="str">
        <f t="shared" si="41"/>
        <v/>
      </c>
      <c r="AB158" s="3" t="str">
        <f t="shared" si="32"/>
        <v/>
      </c>
      <c r="AC158" s="3" t="str">
        <f t="shared" si="33"/>
        <v/>
      </c>
      <c r="AD158" s="3" t="str">
        <f t="shared" si="34"/>
        <v/>
      </c>
      <c r="AE158" s="3" t="str">
        <f t="shared" si="35"/>
        <v/>
      </c>
      <c r="AF158" s="3" t="str">
        <f t="shared" si="36"/>
        <v/>
      </c>
      <c r="AG158" s="3" t="str">
        <f t="shared" si="37"/>
        <v/>
      </c>
      <c r="AH158" s="3" t="str">
        <f t="shared" si="38"/>
        <v/>
      </c>
      <c r="AI158" s="3" t="str">
        <f t="shared" si="39"/>
        <v/>
      </c>
      <c r="AJ158" s="3" t="str">
        <f t="shared" si="40"/>
        <v/>
      </c>
      <c r="AK158" s="3" t="str">
        <f>IF(V158=0,"",_xlfn.CONCAT(DADOS!$A$8,X158:AJ158,"
"))</f>
        <v/>
      </c>
    </row>
    <row r="159" spans="5:37" ht="15" customHeight="1" x14ac:dyDescent="0.25">
      <c r="E159" s="22"/>
      <c r="F159" s="22"/>
      <c r="G159" s="12"/>
      <c r="H159" s="22"/>
      <c r="I159" s="13"/>
      <c r="J159" s="14"/>
      <c r="K159" s="12"/>
      <c r="L159" s="15"/>
      <c r="M159" s="16"/>
      <c r="N159" s="15"/>
      <c r="O159" s="16"/>
      <c r="P159" s="17"/>
      <c r="Q159" s="15"/>
      <c r="R159" s="18"/>
      <c r="S159" s="20">
        <v>145</v>
      </c>
      <c r="V159" s="3">
        <f t="shared" si="28"/>
        <v>0</v>
      </c>
      <c r="X159" s="3" t="str">
        <f t="shared" si="29"/>
        <v/>
      </c>
      <c r="Y159" s="3" t="str">
        <f t="shared" si="30"/>
        <v/>
      </c>
      <c r="Z159" s="3" t="str">
        <f t="shared" si="31"/>
        <v/>
      </c>
      <c r="AA159" s="3" t="str">
        <f t="shared" si="41"/>
        <v/>
      </c>
      <c r="AB159" s="3" t="str">
        <f t="shared" si="32"/>
        <v/>
      </c>
      <c r="AC159" s="3" t="str">
        <f t="shared" si="33"/>
        <v/>
      </c>
      <c r="AD159" s="3" t="str">
        <f t="shared" si="34"/>
        <v/>
      </c>
      <c r="AE159" s="3" t="str">
        <f t="shared" si="35"/>
        <v/>
      </c>
      <c r="AF159" s="3" t="str">
        <f t="shared" si="36"/>
        <v/>
      </c>
      <c r="AG159" s="3" t="str">
        <f t="shared" si="37"/>
        <v/>
      </c>
      <c r="AH159" s="3" t="str">
        <f t="shared" si="38"/>
        <v/>
      </c>
      <c r="AI159" s="3" t="str">
        <f t="shared" si="39"/>
        <v/>
      </c>
      <c r="AJ159" s="3" t="str">
        <f t="shared" si="40"/>
        <v/>
      </c>
      <c r="AK159" s="3" t="str">
        <f>IF(V159=0,"",_xlfn.CONCAT(DADOS!$A$8,X159:AJ159,"
"))</f>
        <v/>
      </c>
    </row>
    <row r="160" spans="5:37" ht="15" customHeight="1" x14ac:dyDescent="0.25">
      <c r="E160" s="22"/>
      <c r="F160" s="22"/>
      <c r="G160" s="12"/>
      <c r="H160" s="22"/>
      <c r="I160" s="13"/>
      <c r="J160" s="14"/>
      <c r="K160" s="12"/>
      <c r="L160" s="15"/>
      <c r="M160" s="16"/>
      <c r="N160" s="15"/>
      <c r="O160" s="16"/>
      <c r="P160" s="17"/>
      <c r="Q160" s="15"/>
      <c r="R160" s="18"/>
      <c r="S160" s="20">
        <v>146</v>
      </c>
      <c r="V160" s="3">
        <f t="shared" si="28"/>
        <v>0</v>
      </c>
      <c r="X160" s="3" t="str">
        <f t="shared" si="29"/>
        <v/>
      </c>
      <c r="Y160" s="3" t="str">
        <f t="shared" si="30"/>
        <v/>
      </c>
      <c r="Z160" s="3" t="str">
        <f t="shared" si="31"/>
        <v/>
      </c>
      <c r="AA160" s="3" t="str">
        <f t="shared" si="41"/>
        <v/>
      </c>
      <c r="AB160" s="3" t="str">
        <f t="shared" si="32"/>
        <v/>
      </c>
      <c r="AC160" s="3" t="str">
        <f t="shared" si="33"/>
        <v/>
      </c>
      <c r="AD160" s="3" t="str">
        <f t="shared" si="34"/>
        <v/>
      </c>
      <c r="AE160" s="3" t="str">
        <f t="shared" si="35"/>
        <v/>
      </c>
      <c r="AF160" s="3" t="str">
        <f t="shared" si="36"/>
        <v/>
      </c>
      <c r="AG160" s="3" t="str">
        <f t="shared" si="37"/>
        <v/>
      </c>
      <c r="AH160" s="3" t="str">
        <f t="shared" si="38"/>
        <v/>
      </c>
      <c r="AI160" s="3" t="str">
        <f t="shared" si="39"/>
        <v/>
      </c>
      <c r="AJ160" s="3" t="str">
        <f t="shared" si="40"/>
        <v/>
      </c>
      <c r="AK160" s="3" t="str">
        <f>IF(V160=0,"",_xlfn.CONCAT(DADOS!$A$8,X160:AJ160,"
"))</f>
        <v/>
      </c>
    </row>
    <row r="161" spans="5:37" ht="15" customHeight="1" x14ac:dyDescent="0.25">
      <c r="E161" s="22"/>
      <c r="F161" s="22"/>
      <c r="G161" s="12"/>
      <c r="H161" s="22"/>
      <c r="I161" s="13"/>
      <c r="J161" s="14"/>
      <c r="K161" s="12"/>
      <c r="L161" s="15"/>
      <c r="M161" s="16"/>
      <c r="N161" s="15"/>
      <c r="O161" s="16"/>
      <c r="P161" s="17"/>
      <c r="Q161" s="15"/>
      <c r="R161" s="18"/>
      <c r="S161" s="20">
        <v>147</v>
      </c>
      <c r="V161" s="3">
        <f t="shared" si="28"/>
        <v>0</v>
      </c>
      <c r="X161" s="3" t="str">
        <f t="shared" si="29"/>
        <v/>
      </c>
      <c r="Y161" s="3" t="str">
        <f t="shared" si="30"/>
        <v/>
      </c>
      <c r="Z161" s="3" t="str">
        <f t="shared" si="31"/>
        <v/>
      </c>
      <c r="AA161" s="3" t="str">
        <f t="shared" si="41"/>
        <v/>
      </c>
      <c r="AB161" s="3" t="str">
        <f t="shared" si="32"/>
        <v/>
      </c>
      <c r="AC161" s="3" t="str">
        <f t="shared" si="33"/>
        <v/>
      </c>
      <c r="AD161" s="3" t="str">
        <f t="shared" si="34"/>
        <v/>
      </c>
      <c r="AE161" s="3" t="str">
        <f t="shared" si="35"/>
        <v/>
      </c>
      <c r="AF161" s="3" t="str">
        <f t="shared" si="36"/>
        <v/>
      </c>
      <c r="AG161" s="3" t="str">
        <f t="shared" si="37"/>
        <v/>
      </c>
      <c r="AH161" s="3" t="str">
        <f t="shared" si="38"/>
        <v/>
      </c>
      <c r="AI161" s="3" t="str">
        <f t="shared" si="39"/>
        <v/>
      </c>
      <c r="AJ161" s="3" t="str">
        <f t="shared" si="40"/>
        <v/>
      </c>
      <c r="AK161" s="3" t="str">
        <f>IF(V161=0,"",_xlfn.CONCAT(DADOS!$A$8,X161:AJ161,"
"))</f>
        <v/>
      </c>
    </row>
    <row r="162" spans="5:37" ht="15" customHeight="1" x14ac:dyDescent="0.25">
      <c r="E162" s="22"/>
      <c r="F162" s="22"/>
      <c r="G162" s="12"/>
      <c r="H162" s="22"/>
      <c r="I162" s="13"/>
      <c r="J162" s="14"/>
      <c r="K162" s="12"/>
      <c r="L162" s="15"/>
      <c r="M162" s="16"/>
      <c r="N162" s="15"/>
      <c r="O162" s="16"/>
      <c r="P162" s="17"/>
      <c r="Q162" s="15"/>
      <c r="R162" s="18"/>
      <c r="S162" s="20">
        <v>148</v>
      </c>
      <c r="V162" s="3">
        <f t="shared" si="28"/>
        <v>0</v>
      </c>
      <c r="X162" s="3" t="str">
        <f t="shared" si="29"/>
        <v/>
      </c>
      <c r="Y162" s="3" t="str">
        <f t="shared" si="30"/>
        <v/>
      </c>
      <c r="Z162" s="3" t="str">
        <f t="shared" si="31"/>
        <v/>
      </c>
      <c r="AA162" s="3" t="str">
        <f t="shared" si="41"/>
        <v/>
      </c>
      <c r="AB162" s="3" t="str">
        <f t="shared" si="32"/>
        <v/>
      </c>
      <c r="AC162" s="3" t="str">
        <f t="shared" si="33"/>
        <v/>
      </c>
      <c r="AD162" s="3" t="str">
        <f t="shared" si="34"/>
        <v/>
      </c>
      <c r="AE162" s="3" t="str">
        <f t="shared" si="35"/>
        <v/>
      </c>
      <c r="AF162" s="3" t="str">
        <f t="shared" si="36"/>
        <v/>
      </c>
      <c r="AG162" s="3" t="str">
        <f t="shared" si="37"/>
        <v/>
      </c>
      <c r="AH162" s="3" t="str">
        <f t="shared" si="38"/>
        <v/>
      </c>
      <c r="AI162" s="3" t="str">
        <f t="shared" si="39"/>
        <v/>
      </c>
      <c r="AJ162" s="3" t="str">
        <f t="shared" si="40"/>
        <v/>
      </c>
      <c r="AK162" s="3" t="str">
        <f>IF(V162=0,"",_xlfn.CONCAT(DADOS!$A$8,X162:AJ162,"
"))</f>
        <v/>
      </c>
    </row>
    <row r="163" spans="5:37" ht="15" customHeight="1" x14ac:dyDescent="0.25">
      <c r="E163" s="22"/>
      <c r="F163" s="22"/>
      <c r="G163" s="12"/>
      <c r="H163" s="22"/>
      <c r="I163" s="13"/>
      <c r="J163" s="14"/>
      <c r="K163" s="12"/>
      <c r="L163" s="15"/>
      <c r="M163" s="16"/>
      <c r="N163" s="15"/>
      <c r="O163" s="16"/>
      <c r="P163" s="17"/>
      <c r="Q163" s="15"/>
      <c r="R163" s="18"/>
      <c r="S163" s="20">
        <v>149</v>
      </c>
      <c r="V163" s="3">
        <f t="shared" si="28"/>
        <v>0</v>
      </c>
      <c r="X163" s="3" t="str">
        <f t="shared" si="29"/>
        <v/>
      </c>
      <c r="Y163" s="3" t="str">
        <f t="shared" si="30"/>
        <v/>
      </c>
      <c r="Z163" s="3" t="str">
        <f t="shared" si="31"/>
        <v/>
      </c>
      <c r="AA163" s="3" t="str">
        <f t="shared" si="41"/>
        <v/>
      </c>
      <c r="AB163" s="3" t="str">
        <f t="shared" si="32"/>
        <v/>
      </c>
      <c r="AC163" s="3" t="str">
        <f t="shared" si="33"/>
        <v/>
      </c>
      <c r="AD163" s="3" t="str">
        <f t="shared" si="34"/>
        <v/>
      </c>
      <c r="AE163" s="3" t="str">
        <f t="shared" si="35"/>
        <v/>
      </c>
      <c r="AF163" s="3" t="str">
        <f t="shared" si="36"/>
        <v/>
      </c>
      <c r="AG163" s="3" t="str">
        <f t="shared" si="37"/>
        <v/>
      </c>
      <c r="AH163" s="3" t="str">
        <f t="shared" si="38"/>
        <v/>
      </c>
      <c r="AI163" s="3" t="str">
        <f t="shared" si="39"/>
        <v/>
      </c>
      <c r="AJ163" s="3" t="str">
        <f t="shared" si="40"/>
        <v/>
      </c>
      <c r="AK163" s="3" t="str">
        <f>IF(V163=0,"",_xlfn.CONCAT(DADOS!$A$8,X163:AJ163,"
"))</f>
        <v/>
      </c>
    </row>
    <row r="164" spans="5:37" ht="15" customHeight="1" x14ac:dyDescent="0.25">
      <c r="E164" s="22"/>
      <c r="F164" s="22"/>
      <c r="G164" s="12"/>
      <c r="H164" s="22"/>
      <c r="I164" s="13"/>
      <c r="J164" s="14"/>
      <c r="K164" s="12"/>
      <c r="L164" s="15"/>
      <c r="M164" s="16"/>
      <c r="N164" s="15"/>
      <c r="O164" s="16"/>
      <c r="P164" s="17"/>
      <c r="Q164" s="15"/>
      <c r="R164" s="18"/>
      <c r="S164" s="20">
        <v>150</v>
      </c>
      <c r="V164" s="3">
        <f t="shared" si="28"/>
        <v>0</v>
      </c>
      <c r="X164" s="3" t="str">
        <f t="shared" si="29"/>
        <v/>
      </c>
      <c r="Y164" s="3" t="str">
        <f t="shared" si="30"/>
        <v/>
      </c>
      <c r="Z164" s="3" t="str">
        <f t="shared" si="31"/>
        <v/>
      </c>
      <c r="AA164" s="3" t="str">
        <f t="shared" si="41"/>
        <v/>
      </c>
      <c r="AB164" s="3" t="str">
        <f t="shared" si="32"/>
        <v/>
      </c>
      <c r="AC164" s="3" t="str">
        <f t="shared" si="33"/>
        <v/>
      </c>
      <c r="AD164" s="3" t="str">
        <f t="shared" si="34"/>
        <v/>
      </c>
      <c r="AE164" s="3" t="str">
        <f t="shared" si="35"/>
        <v/>
      </c>
      <c r="AF164" s="3" t="str">
        <f t="shared" si="36"/>
        <v/>
      </c>
      <c r="AG164" s="3" t="str">
        <f t="shared" si="37"/>
        <v/>
      </c>
      <c r="AH164" s="3" t="str">
        <f t="shared" si="38"/>
        <v/>
      </c>
      <c r="AI164" s="3" t="str">
        <f t="shared" si="39"/>
        <v/>
      </c>
      <c r="AJ164" s="3" t="str">
        <f t="shared" si="40"/>
        <v/>
      </c>
      <c r="AK164" s="3" t="str">
        <f>IF(V164=0,"",_xlfn.CONCAT(DADOS!$A$8,X164:AJ164,"
"))</f>
        <v/>
      </c>
    </row>
    <row r="165" spans="5:37" ht="15" customHeight="1" x14ac:dyDescent="0.25">
      <c r="E165" s="22"/>
      <c r="F165" s="22"/>
      <c r="G165" s="12"/>
      <c r="H165" s="22"/>
      <c r="I165" s="13"/>
      <c r="J165" s="14"/>
      <c r="K165" s="12"/>
      <c r="L165" s="15"/>
      <c r="M165" s="16"/>
      <c r="N165" s="15"/>
      <c r="O165" s="16"/>
      <c r="P165" s="17"/>
      <c r="Q165" s="15"/>
      <c r="R165" s="18"/>
      <c r="S165" s="20">
        <v>151</v>
      </c>
      <c r="V165" s="3">
        <f t="shared" si="28"/>
        <v>0</v>
      </c>
      <c r="X165" s="3" t="str">
        <f t="shared" si="29"/>
        <v/>
      </c>
      <c r="Y165" s="3" t="str">
        <f t="shared" si="30"/>
        <v/>
      </c>
      <c r="Z165" s="3" t="str">
        <f t="shared" si="31"/>
        <v/>
      </c>
      <c r="AA165" s="3" t="str">
        <f t="shared" si="41"/>
        <v/>
      </c>
      <c r="AB165" s="3" t="str">
        <f t="shared" si="32"/>
        <v/>
      </c>
      <c r="AC165" s="3" t="str">
        <f t="shared" si="33"/>
        <v/>
      </c>
      <c r="AD165" s="3" t="str">
        <f t="shared" si="34"/>
        <v/>
      </c>
      <c r="AE165" s="3" t="str">
        <f t="shared" si="35"/>
        <v/>
      </c>
      <c r="AF165" s="3" t="str">
        <f t="shared" si="36"/>
        <v/>
      </c>
      <c r="AG165" s="3" t="str">
        <f t="shared" si="37"/>
        <v/>
      </c>
      <c r="AH165" s="3" t="str">
        <f t="shared" si="38"/>
        <v/>
      </c>
      <c r="AI165" s="3" t="str">
        <f t="shared" si="39"/>
        <v/>
      </c>
      <c r="AJ165" s="3" t="str">
        <f t="shared" si="40"/>
        <v/>
      </c>
      <c r="AK165" s="3" t="str">
        <f>IF(V165=0,"",_xlfn.CONCAT(DADOS!$A$8,X165:AJ165,"
"))</f>
        <v/>
      </c>
    </row>
    <row r="166" spans="5:37" ht="15" customHeight="1" x14ac:dyDescent="0.25">
      <c r="E166" s="22"/>
      <c r="F166" s="22"/>
      <c r="G166" s="12"/>
      <c r="H166" s="22"/>
      <c r="I166" s="13"/>
      <c r="J166" s="14"/>
      <c r="K166" s="12"/>
      <c r="L166" s="15"/>
      <c r="M166" s="16"/>
      <c r="N166" s="15"/>
      <c r="O166" s="16"/>
      <c r="P166" s="17"/>
      <c r="Q166" s="15"/>
      <c r="R166" s="18"/>
      <c r="S166" s="20">
        <v>152</v>
      </c>
      <c r="V166" s="3">
        <f t="shared" si="28"/>
        <v>0</v>
      </c>
      <c r="X166" s="3" t="str">
        <f t="shared" si="29"/>
        <v/>
      </c>
      <c r="Y166" s="3" t="str">
        <f t="shared" si="30"/>
        <v/>
      </c>
      <c r="Z166" s="3" t="str">
        <f t="shared" si="31"/>
        <v/>
      </c>
      <c r="AA166" s="3" t="str">
        <f t="shared" si="41"/>
        <v/>
      </c>
      <c r="AB166" s="3" t="str">
        <f t="shared" si="32"/>
        <v/>
      </c>
      <c r="AC166" s="3" t="str">
        <f t="shared" si="33"/>
        <v/>
      </c>
      <c r="AD166" s="3" t="str">
        <f t="shared" si="34"/>
        <v/>
      </c>
      <c r="AE166" s="3" t="str">
        <f t="shared" si="35"/>
        <v/>
      </c>
      <c r="AF166" s="3" t="str">
        <f t="shared" si="36"/>
        <v/>
      </c>
      <c r="AG166" s="3" t="str">
        <f t="shared" si="37"/>
        <v/>
      </c>
      <c r="AH166" s="3" t="str">
        <f t="shared" si="38"/>
        <v/>
      </c>
      <c r="AI166" s="3" t="str">
        <f t="shared" si="39"/>
        <v/>
      </c>
      <c r="AJ166" s="3" t="str">
        <f t="shared" si="40"/>
        <v/>
      </c>
      <c r="AK166" s="3" t="str">
        <f>IF(V166=0,"",_xlfn.CONCAT(DADOS!$A$8,X166:AJ166,"
"))</f>
        <v/>
      </c>
    </row>
    <row r="167" spans="5:37" ht="15" customHeight="1" x14ac:dyDescent="0.25">
      <c r="E167" s="22"/>
      <c r="F167" s="22"/>
      <c r="G167" s="12"/>
      <c r="H167" s="22"/>
      <c r="I167" s="13"/>
      <c r="J167" s="14"/>
      <c r="K167" s="12"/>
      <c r="L167" s="15"/>
      <c r="M167" s="16"/>
      <c r="N167" s="15"/>
      <c r="O167" s="16"/>
      <c r="P167" s="17"/>
      <c r="Q167" s="15"/>
      <c r="R167" s="18"/>
      <c r="S167" s="20">
        <v>153</v>
      </c>
      <c r="V167" s="3">
        <f t="shared" si="28"/>
        <v>0</v>
      </c>
      <c r="X167" s="3" t="str">
        <f t="shared" si="29"/>
        <v/>
      </c>
      <c r="Y167" s="3" t="str">
        <f t="shared" si="30"/>
        <v/>
      </c>
      <c r="Z167" s="3" t="str">
        <f t="shared" si="31"/>
        <v/>
      </c>
      <c r="AA167" s="3" t="str">
        <f t="shared" si="41"/>
        <v/>
      </c>
      <c r="AB167" s="3" t="str">
        <f t="shared" si="32"/>
        <v/>
      </c>
      <c r="AC167" s="3" t="str">
        <f t="shared" si="33"/>
        <v/>
      </c>
      <c r="AD167" s="3" t="str">
        <f t="shared" si="34"/>
        <v/>
      </c>
      <c r="AE167" s="3" t="str">
        <f t="shared" si="35"/>
        <v/>
      </c>
      <c r="AF167" s="3" t="str">
        <f t="shared" si="36"/>
        <v/>
      </c>
      <c r="AG167" s="3" t="str">
        <f t="shared" si="37"/>
        <v/>
      </c>
      <c r="AH167" s="3" t="str">
        <f t="shared" si="38"/>
        <v/>
      </c>
      <c r="AI167" s="3" t="str">
        <f t="shared" si="39"/>
        <v/>
      </c>
      <c r="AJ167" s="3" t="str">
        <f t="shared" si="40"/>
        <v/>
      </c>
      <c r="AK167" s="3" t="str">
        <f>IF(V167=0,"",_xlfn.CONCAT(DADOS!$A$8,X167:AJ167,"
"))</f>
        <v/>
      </c>
    </row>
    <row r="168" spans="5:37" ht="15" customHeight="1" x14ac:dyDescent="0.25">
      <c r="E168" s="22"/>
      <c r="F168" s="22"/>
      <c r="G168" s="12"/>
      <c r="H168" s="22"/>
      <c r="I168" s="13"/>
      <c r="J168" s="14"/>
      <c r="K168" s="12"/>
      <c r="L168" s="15"/>
      <c r="M168" s="16"/>
      <c r="N168" s="15"/>
      <c r="O168" s="16"/>
      <c r="P168" s="17"/>
      <c r="Q168" s="15"/>
      <c r="R168" s="18"/>
      <c r="S168" s="20">
        <v>154</v>
      </c>
      <c r="V168" s="3">
        <f t="shared" si="28"/>
        <v>0</v>
      </c>
      <c r="X168" s="3" t="str">
        <f t="shared" si="29"/>
        <v/>
      </c>
      <c r="Y168" s="3" t="str">
        <f t="shared" si="30"/>
        <v/>
      </c>
      <c r="Z168" s="3" t="str">
        <f t="shared" si="31"/>
        <v/>
      </c>
      <c r="AA168" s="3" t="str">
        <f t="shared" si="41"/>
        <v/>
      </c>
      <c r="AB168" s="3" t="str">
        <f t="shared" si="32"/>
        <v/>
      </c>
      <c r="AC168" s="3" t="str">
        <f t="shared" si="33"/>
        <v/>
      </c>
      <c r="AD168" s="3" t="str">
        <f t="shared" si="34"/>
        <v/>
      </c>
      <c r="AE168" s="3" t="str">
        <f t="shared" si="35"/>
        <v/>
      </c>
      <c r="AF168" s="3" t="str">
        <f t="shared" si="36"/>
        <v/>
      </c>
      <c r="AG168" s="3" t="str">
        <f t="shared" si="37"/>
        <v/>
      </c>
      <c r="AH168" s="3" t="str">
        <f t="shared" si="38"/>
        <v/>
      </c>
      <c r="AI168" s="3" t="str">
        <f t="shared" si="39"/>
        <v/>
      </c>
      <c r="AJ168" s="3" t="str">
        <f t="shared" si="40"/>
        <v/>
      </c>
      <c r="AK168" s="3" t="str">
        <f>IF(V168=0,"",_xlfn.CONCAT(DADOS!$A$8,X168:AJ168,"
"))</f>
        <v/>
      </c>
    </row>
    <row r="169" spans="5:37" ht="15" customHeight="1" x14ac:dyDescent="0.25">
      <c r="E169" s="22"/>
      <c r="F169" s="22"/>
      <c r="G169" s="12"/>
      <c r="H169" s="22"/>
      <c r="I169" s="13"/>
      <c r="J169" s="14"/>
      <c r="K169" s="12"/>
      <c r="L169" s="15"/>
      <c r="M169" s="16"/>
      <c r="N169" s="15"/>
      <c r="O169" s="16"/>
      <c r="P169" s="17"/>
      <c r="Q169" s="15"/>
      <c r="R169" s="18"/>
      <c r="S169" s="20">
        <v>155</v>
      </c>
      <c r="V169" s="3">
        <f t="shared" si="28"/>
        <v>0</v>
      </c>
      <c r="X169" s="3" t="str">
        <f t="shared" si="29"/>
        <v/>
      </c>
      <c r="Y169" s="3" t="str">
        <f t="shared" si="30"/>
        <v/>
      </c>
      <c r="Z169" s="3" t="str">
        <f t="shared" si="31"/>
        <v/>
      </c>
      <c r="AA169" s="3" t="str">
        <f t="shared" si="41"/>
        <v/>
      </c>
      <c r="AB169" s="3" t="str">
        <f t="shared" si="32"/>
        <v/>
      </c>
      <c r="AC169" s="3" t="str">
        <f t="shared" si="33"/>
        <v/>
      </c>
      <c r="AD169" s="3" t="str">
        <f t="shared" si="34"/>
        <v/>
      </c>
      <c r="AE169" s="3" t="str">
        <f t="shared" si="35"/>
        <v/>
      </c>
      <c r="AF169" s="3" t="str">
        <f t="shared" si="36"/>
        <v/>
      </c>
      <c r="AG169" s="3" t="str">
        <f t="shared" si="37"/>
        <v/>
      </c>
      <c r="AH169" s="3" t="str">
        <f t="shared" si="38"/>
        <v/>
      </c>
      <c r="AI169" s="3" t="str">
        <f t="shared" si="39"/>
        <v/>
      </c>
      <c r="AJ169" s="3" t="str">
        <f t="shared" si="40"/>
        <v/>
      </c>
      <c r="AK169" s="3" t="str">
        <f>IF(V169=0,"",_xlfn.CONCAT(DADOS!$A$8,X169:AJ169,"
"))</f>
        <v/>
      </c>
    </row>
    <row r="170" spans="5:37" ht="15" customHeight="1" x14ac:dyDescent="0.25">
      <c r="E170" s="22"/>
      <c r="F170" s="22"/>
      <c r="G170" s="12"/>
      <c r="H170" s="22"/>
      <c r="I170" s="13"/>
      <c r="J170" s="14"/>
      <c r="K170" s="12"/>
      <c r="L170" s="15"/>
      <c r="M170" s="16"/>
      <c r="N170" s="15"/>
      <c r="O170" s="16"/>
      <c r="P170" s="17"/>
      <c r="Q170" s="15"/>
      <c r="R170" s="18"/>
      <c r="S170" s="20">
        <v>156</v>
      </c>
      <c r="V170" s="3">
        <f t="shared" si="28"/>
        <v>0</v>
      </c>
      <c r="X170" s="3" t="str">
        <f t="shared" si="29"/>
        <v/>
      </c>
      <c r="Y170" s="3" t="str">
        <f t="shared" si="30"/>
        <v/>
      </c>
      <c r="Z170" s="3" t="str">
        <f t="shared" si="31"/>
        <v/>
      </c>
      <c r="AA170" s="3" t="str">
        <f t="shared" si="41"/>
        <v/>
      </c>
      <c r="AB170" s="3" t="str">
        <f t="shared" si="32"/>
        <v/>
      </c>
      <c r="AC170" s="3" t="str">
        <f t="shared" si="33"/>
        <v/>
      </c>
      <c r="AD170" s="3" t="str">
        <f t="shared" si="34"/>
        <v/>
      </c>
      <c r="AE170" s="3" t="str">
        <f t="shared" si="35"/>
        <v/>
      </c>
      <c r="AF170" s="3" t="str">
        <f t="shared" si="36"/>
        <v/>
      </c>
      <c r="AG170" s="3" t="str">
        <f t="shared" si="37"/>
        <v/>
      </c>
      <c r="AH170" s="3" t="str">
        <f t="shared" si="38"/>
        <v/>
      </c>
      <c r="AI170" s="3" t="str">
        <f t="shared" si="39"/>
        <v/>
      </c>
      <c r="AJ170" s="3" t="str">
        <f t="shared" si="40"/>
        <v/>
      </c>
      <c r="AK170" s="3" t="str">
        <f>IF(V170=0,"",_xlfn.CONCAT(DADOS!$A$8,X170:AJ170,"
"))</f>
        <v/>
      </c>
    </row>
    <row r="171" spans="5:37" ht="15" customHeight="1" x14ac:dyDescent="0.25">
      <c r="E171" s="22"/>
      <c r="F171" s="22"/>
      <c r="G171" s="12"/>
      <c r="H171" s="22"/>
      <c r="I171" s="13"/>
      <c r="J171" s="14"/>
      <c r="K171" s="12"/>
      <c r="L171" s="15"/>
      <c r="M171" s="16"/>
      <c r="N171" s="15"/>
      <c r="O171" s="16"/>
      <c r="P171" s="17"/>
      <c r="Q171" s="15"/>
      <c r="R171" s="18"/>
      <c r="S171" s="20">
        <v>157</v>
      </c>
      <c r="V171" s="3">
        <f t="shared" si="28"/>
        <v>0</v>
      </c>
      <c r="X171" s="3" t="str">
        <f t="shared" si="29"/>
        <v/>
      </c>
      <c r="Y171" s="3" t="str">
        <f t="shared" si="30"/>
        <v/>
      </c>
      <c r="Z171" s="3" t="str">
        <f t="shared" si="31"/>
        <v/>
      </c>
      <c r="AA171" s="3" t="str">
        <f t="shared" si="41"/>
        <v/>
      </c>
      <c r="AB171" s="3" t="str">
        <f t="shared" si="32"/>
        <v/>
      </c>
      <c r="AC171" s="3" t="str">
        <f t="shared" si="33"/>
        <v/>
      </c>
      <c r="AD171" s="3" t="str">
        <f t="shared" si="34"/>
        <v/>
      </c>
      <c r="AE171" s="3" t="str">
        <f t="shared" si="35"/>
        <v/>
      </c>
      <c r="AF171" s="3" t="str">
        <f t="shared" si="36"/>
        <v/>
      </c>
      <c r="AG171" s="3" t="str">
        <f t="shared" si="37"/>
        <v/>
      </c>
      <c r="AH171" s="3" t="str">
        <f t="shared" si="38"/>
        <v/>
      </c>
      <c r="AI171" s="3" t="str">
        <f t="shared" si="39"/>
        <v/>
      </c>
      <c r="AJ171" s="3" t="str">
        <f t="shared" si="40"/>
        <v/>
      </c>
      <c r="AK171" s="3" t="str">
        <f>IF(V171=0,"",_xlfn.CONCAT(DADOS!$A$8,X171:AJ171,"
"))</f>
        <v/>
      </c>
    </row>
    <row r="172" spans="5:37" ht="15" customHeight="1" x14ac:dyDescent="0.25">
      <c r="E172" s="22"/>
      <c r="F172" s="22"/>
      <c r="G172" s="12"/>
      <c r="H172" s="22"/>
      <c r="I172" s="13"/>
      <c r="J172" s="14"/>
      <c r="K172" s="12"/>
      <c r="L172" s="15"/>
      <c r="M172" s="16"/>
      <c r="N172" s="15"/>
      <c r="O172" s="16"/>
      <c r="P172" s="17"/>
      <c r="Q172" s="15"/>
      <c r="R172" s="18"/>
      <c r="S172" s="20">
        <v>158</v>
      </c>
      <c r="V172" s="3">
        <f t="shared" si="28"/>
        <v>0</v>
      </c>
      <c r="X172" s="3" t="str">
        <f t="shared" si="29"/>
        <v/>
      </c>
      <c r="Y172" s="3" t="str">
        <f t="shared" si="30"/>
        <v/>
      </c>
      <c r="Z172" s="3" t="str">
        <f t="shared" si="31"/>
        <v/>
      </c>
      <c r="AA172" s="3" t="str">
        <f t="shared" si="41"/>
        <v/>
      </c>
      <c r="AB172" s="3" t="str">
        <f t="shared" si="32"/>
        <v/>
      </c>
      <c r="AC172" s="3" t="str">
        <f t="shared" si="33"/>
        <v/>
      </c>
      <c r="AD172" s="3" t="str">
        <f t="shared" si="34"/>
        <v/>
      </c>
      <c r="AE172" s="3" t="str">
        <f t="shared" si="35"/>
        <v/>
      </c>
      <c r="AF172" s="3" t="str">
        <f t="shared" si="36"/>
        <v/>
      </c>
      <c r="AG172" s="3" t="str">
        <f t="shared" si="37"/>
        <v/>
      </c>
      <c r="AH172" s="3" t="str">
        <f t="shared" si="38"/>
        <v/>
      </c>
      <c r="AI172" s="3" t="str">
        <f t="shared" si="39"/>
        <v/>
      </c>
      <c r="AJ172" s="3" t="str">
        <f t="shared" si="40"/>
        <v/>
      </c>
      <c r="AK172" s="3" t="str">
        <f>IF(V172=0,"",_xlfn.CONCAT(DADOS!$A$8,X172:AJ172,"
"))</f>
        <v/>
      </c>
    </row>
    <row r="173" spans="5:37" ht="15" customHeight="1" x14ac:dyDescent="0.25">
      <c r="E173" s="22"/>
      <c r="F173" s="22"/>
      <c r="G173" s="12"/>
      <c r="H173" s="22"/>
      <c r="I173" s="13"/>
      <c r="J173" s="14"/>
      <c r="K173" s="12"/>
      <c r="L173" s="15"/>
      <c r="M173" s="16"/>
      <c r="N173" s="15"/>
      <c r="O173" s="16"/>
      <c r="P173" s="17"/>
      <c r="Q173" s="15"/>
      <c r="R173" s="18"/>
      <c r="S173" s="20">
        <v>159</v>
      </c>
      <c r="V173" s="3">
        <f t="shared" si="28"/>
        <v>0</v>
      </c>
      <c r="X173" s="3" t="str">
        <f t="shared" si="29"/>
        <v/>
      </c>
      <c r="Y173" s="3" t="str">
        <f t="shared" si="30"/>
        <v/>
      </c>
      <c r="Z173" s="3" t="str">
        <f t="shared" si="31"/>
        <v/>
      </c>
      <c r="AA173" s="3" t="str">
        <f t="shared" si="41"/>
        <v/>
      </c>
      <c r="AB173" s="3" t="str">
        <f t="shared" si="32"/>
        <v/>
      </c>
      <c r="AC173" s="3" t="str">
        <f t="shared" si="33"/>
        <v/>
      </c>
      <c r="AD173" s="3" t="str">
        <f t="shared" si="34"/>
        <v/>
      </c>
      <c r="AE173" s="3" t="str">
        <f t="shared" si="35"/>
        <v/>
      </c>
      <c r="AF173" s="3" t="str">
        <f t="shared" si="36"/>
        <v/>
      </c>
      <c r="AG173" s="3" t="str">
        <f t="shared" si="37"/>
        <v/>
      </c>
      <c r="AH173" s="3" t="str">
        <f t="shared" si="38"/>
        <v/>
      </c>
      <c r="AI173" s="3" t="str">
        <f t="shared" si="39"/>
        <v/>
      </c>
      <c r="AJ173" s="3" t="str">
        <f t="shared" si="40"/>
        <v/>
      </c>
      <c r="AK173" s="3" t="str">
        <f>IF(V173=0,"",_xlfn.CONCAT(DADOS!$A$8,X173:AJ173,"
"))</f>
        <v/>
      </c>
    </row>
    <row r="174" spans="5:37" ht="15" customHeight="1" x14ac:dyDescent="0.25">
      <c r="E174" s="22"/>
      <c r="F174" s="22"/>
      <c r="G174" s="12"/>
      <c r="H174" s="22"/>
      <c r="I174" s="13"/>
      <c r="J174" s="14"/>
      <c r="K174" s="12"/>
      <c r="L174" s="15"/>
      <c r="M174" s="16"/>
      <c r="N174" s="15"/>
      <c r="O174" s="16"/>
      <c r="P174" s="17"/>
      <c r="Q174" s="15"/>
      <c r="R174" s="18"/>
      <c r="S174" s="20">
        <v>160</v>
      </c>
      <c r="V174" s="3">
        <f t="shared" si="28"/>
        <v>0</v>
      </c>
      <c r="X174" s="3" t="str">
        <f t="shared" si="29"/>
        <v/>
      </c>
      <c r="Y174" s="3" t="str">
        <f t="shared" si="30"/>
        <v/>
      </c>
      <c r="Z174" s="3" t="str">
        <f t="shared" si="31"/>
        <v/>
      </c>
      <c r="AA174" s="3" t="str">
        <f t="shared" si="41"/>
        <v/>
      </c>
      <c r="AB174" s="3" t="str">
        <f t="shared" si="32"/>
        <v/>
      </c>
      <c r="AC174" s="3" t="str">
        <f t="shared" si="33"/>
        <v/>
      </c>
      <c r="AD174" s="3" t="str">
        <f t="shared" si="34"/>
        <v/>
      </c>
      <c r="AE174" s="3" t="str">
        <f t="shared" si="35"/>
        <v/>
      </c>
      <c r="AF174" s="3" t="str">
        <f t="shared" si="36"/>
        <v/>
      </c>
      <c r="AG174" s="3" t="str">
        <f t="shared" si="37"/>
        <v/>
      </c>
      <c r="AH174" s="3" t="str">
        <f t="shared" si="38"/>
        <v/>
      </c>
      <c r="AI174" s="3" t="str">
        <f t="shared" si="39"/>
        <v/>
      </c>
      <c r="AJ174" s="3" t="str">
        <f t="shared" si="40"/>
        <v/>
      </c>
      <c r="AK174" s="3" t="str">
        <f>IF(V174=0,"",_xlfn.CONCAT(DADOS!$A$8,X174:AJ174,"
"))</f>
        <v/>
      </c>
    </row>
    <row r="175" spans="5:37" ht="15" customHeight="1" x14ac:dyDescent="0.25">
      <c r="E175" s="22"/>
      <c r="F175" s="22"/>
      <c r="G175" s="12"/>
      <c r="H175" s="22"/>
      <c r="I175" s="13"/>
      <c r="J175" s="14"/>
      <c r="K175" s="12"/>
      <c r="L175" s="15"/>
      <c r="M175" s="16"/>
      <c r="N175" s="15"/>
      <c r="O175" s="16"/>
      <c r="P175" s="17"/>
      <c r="Q175" s="15"/>
      <c r="R175" s="18"/>
      <c r="S175" s="20">
        <v>161</v>
      </c>
      <c r="V175" s="3">
        <f t="shared" si="28"/>
        <v>0</v>
      </c>
      <c r="X175" s="3" t="str">
        <f t="shared" si="29"/>
        <v/>
      </c>
      <c r="Y175" s="3" t="str">
        <f t="shared" si="30"/>
        <v/>
      </c>
      <c r="Z175" s="3" t="str">
        <f t="shared" si="31"/>
        <v/>
      </c>
      <c r="AA175" s="3" t="str">
        <f t="shared" si="41"/>
        <v/>
      </c>
      <c r="AB175" s="3" t="str">
        <f t="shared" si="32"/>
        <v/>
      </c>
      <c r="AC175" s="3" t="str">
        <f t="shared" si="33"/>
        <v/>
      </c>
      <c r="AD175" s="3" t="str">
        <f t="shared" si="34"/>
        <v/>
      </c>
      <c r="AE175" s="3" t="str">
        <f t="shared" si="35"/>
        <v/>
      </c>
      <c r="AF175" s="3" t="str">
        <f t="shared" si="36"/>
        <v/>
      </c>
      <c r="AG175" s="3" t="str">
        <f t="shared" si="37"/>
        <v/>
      </c>
      <c r="AH175" s="3" t="str">
        <f t="shared" si="38"/>
        <v/>
      </c>
      <c r="AI175" s="3" t="str">
        <f t="shared" si="39"/>
        <v/>
      </c>
      <c r="AJ175" s="3" t="str">
        <f t="shared" si="40"/>
        <v/>
      </c>
      <c r="AK175" s="3" t="str">
        <f>IF(V175=0,"",_xlfn.CONCAT(DADOS!$A$8,X175:AJ175,"
"))</f>
        <v/>
      </c>
    </row>
    <row r="176" spans="5:37" ht="15" customHeight="1" x14ac:dyDescent="0.25">
      <c r="E176" s="22"/>
      <c r="F176" s="22"/>
      <c r="G176" s="12"/>
      <c r="H176" s="22"/>
      <c r="I176" s="13"/>
      <c r="J176" s="14"/>
      <c r="K176" s="12"/>
      <c r="L176" s="15"/>
      <c r="M176" s="16"/>
      <c r="N176" s="15"/>
      <c r="O176" s="16"/>
      <c r="P176" s="17"/>
      <c r="Q176" s="15"/>
      <c r="R176" s="18"/>
      <c r="S176" s="20">
        <v>162</v>
      </c>
      <c r="V176" s="3">
        <f t="shared" si="28"/>
        <v>0</v>
      </c>
      <c r="X176" s="3" t="str">
        <f t="shared" si="29"/>
        <v/>
      </c>
      <c r="Y176" s="3" t="str">
        <f t="shared" si="30"/>
        <v/>
      </c>
      <c r="Z176" s="3" t="str">
        <f t="shared" si="31"/>
        <v/>
      </c>
      <c r="AA176" s="3" t="str">
        <f t="shared" si="41"/>
        <v/>
      </c>
      <c r="AB176" s="3" t="str">
        <f t="shared" si="32"/>
        <v/>
      </c>
      <c r="AC176" s="3" t="str">
        <f t="shared" si="33"/>
        <v/>
      </c>
      <c r="AD176" s="3" t="str">
        <f t="shared" si="34"/>
        <v/>
      </c>
      <c r="AE176" s="3" t="str">
        <f t="shared" si="35"/>
        <v/>
      </c>
      <c r="AF176" s="3" t="str">
        <f t="shared" si="36"/>
        <v/>
      </c>
      <c r="AG176" s="3" t="str">
        <f t="shared" si="37"/>
        <v/>
      </c>
      <c r="AH176" s="3" t="str">
        <f t="shared" si="38"/>
        <v/>
      </c>
      <c r="AI176" s="3" t="str">
        <f t="shared" si="39"/>
        <v/>
      </c>
      <c r="AJ176" s="3" t="str">
        <f t="shared" si="40"/>
        <v/>
      </c>
      <c r="AK176" s="3" t="str">
        <f>IF(V176=0,"",_xlfn.CONCAT(DADOS!$A$8,X176:AJ176,"
"))</f>
        <v/>
      </c>
    </row>
    <row r="177" spans="5:37" ht="15" customHeight="1" x14ac:dyDescent="0.25">
      <c r="E177" s="22"/>
      <c r="F177" s="22"/>
      <c r="G177" s="12"/>
      <c r="H177" s="22"/>
      <c r="I177" s="13"/>
      <c r="J177" s="14"/>
      <c r="K177" s="12"/>
      <c r="L177" s="15"/>
      <c r="M177" s="16"/>
      <c r="N177" s="15"/>
      <c r="O177" s="16"/>
      <c r="P177" s="17"/>
      <c r="Q177" s="15"/>
      <c r="R177" s="18"/>
      <c r="S177" s="20">
        <v>163</v>
      </c>
      <c r="V177" s="3">
        <f t="shared" si="28"/>
        <v>0</v>
      </c>
      <c r="X177" s="3" t="str">
        <f t="shared" si="29"/>
        <v/>
      </c>
      <c r="Y177" s="3" t="str">
        <f t="shared" si="30"/>
        <v/>
      </c>
      <c r="Z177" s="3" t="str">
        <f t="shared" si="31"/>
        <v/>
      </c>
      <c r="AA177" s="3" t="str">
        <f t="shared" si="41"/>
        <v/>
      </c>
      <c r="AB177" s="3" t="str">
        <f t="shared" si="32"/>
        <v/>
      </c>
      <c r="AC177" s="3" t="str">
        <f t="shared" si="33"/>
        <v/>
      </c>
      <c r="AD177" s="3" t="str">
        <f t="shared" si="34"/>
        <v/>
      </c>
      <c r="AE177" s="3" t="str">
        <f t="shared" si="35"/>
        <v/>
      </c>
      <c r="AF177" s="3" t="str">
        <f t="shared" si="36"/>
        <v/>
      </c>
      <c r="AG177" s="3" t="str">
        <f t="shared" si="37"/>
        <v/>
      </c>
      <c r="AH177" s="3" t="str">
        <f t="shared" si="38"/>
        <v/>
      </c>
      <c r="AI177" s="3" t="str">
        <f t="shared" si="39"/>
        <v/>
      </c>
      <c r="AJ177" s="3" t="str">
        <f t="shared" si="40"/>
        <v/>
      </c>
      <c r="AK177" s="3" t="str">
        <f>IF(V177=0,"",_xlfn.CONCAT(DADOS!$A$8,X177:AJ177,"
"))</f>
        <v/>
      </c>
    </row>
    <row r="178" spans="5:37" ht="15" customHeight="1" x14ac:dyDescent="0.25">
      <c r="E178" s="22"/>
      <c r="F178" s="22"/>
      <c r="G178" s="12"/>
      <c r="H178" s="22"/>
      <c r="I178" s="13"/>
      <c r="J178" s="14"/>
      <c r="K178" s="12"/>
      <c r="L178" s="15"/>
      <c r="M178" s="16"/>
      <c r="N178" s="15"/>
      <c r="O178" s="16"/>
      <c r="P178" s="17"/>
      <c r="Q178" s="15"/>
      <c r="R178" s="18"/>
      <c r="S178" s="20">
        <v>164</v>
      </c>
      <c r="V178" s="3">
        <f t="shared" si="28"/>
        <v>0</v>
      </c>
      <c r="X178" s="3" t="str">
        <f t="shared" si="29"/>
        <v/>
      </c>
      <c r="Y178" s="3" t="str">
        <f t="shared" si="30"/>
        <v/>
      </c>
      <c r="Z178" s="3" t="str">
        <f t="shared" si="31"/>
        <v/>
      </c>
      <c r="AA178" s="3" t="str">
        <f t="shared" si="41"/>
        <v/>
      </c>
      <c r="AB178" s="3" t="str">
        <f t="shared" si="32"/>
        <v/>
      </c>
      <c r="AC178" s="3" t="str">
        <f t="shared" si="33"/>
        <v/>
      </c>
      <c r="AD178" s="3" t="str">
        <f t="shared" si="34"/>
        <v/>
      </c>
      <c r="AE178" s="3" t="str">
        <f t="shared" si="35"/>
        <v/>
      </c>
      <c r="AF178" s="3" t="str">
        <f t="shared" si="36"/>
        <v/>
      </c>
      <c r="AG178" s="3" t="str">
        <f t="shared" si="37"/>
        <v/>
      </c>
      <c r="AH178" s="3" t="str">
        <f t="shared" si="38"/>
        <v/>
      </c>
      <c r="AI178" s="3" t="str">
        <f t="shared" si="39"/>
        <v/>
      </c>
      <c r="AJ178" s="3" t="str">
        <f t="shared" si="40"/>
        <v/>
      </c>
      <c r="AK178" s="3" t="str">
        <f>IF(V178=0,"",_xlfn.CONCAT(DADOS!$A$8,X178:AJ178,"
"))</f>
        <v/>
      </c>
    </row>
    <row r="179" spans="5:37" ht="15" customHeight="1" x14ac:dyDescent="0.25">
      <c r="E179" s="22"/>
      <c r="F179" s="22"/>
      <c r="G179" s="12"/>
      <c r="H179" s="22"/>
      <c r="I179" s="13"/>
      <c r="J179" s="14"/>
      <c r="K179" s="12"/>
      <c r="L179" s="15"/>
      <c r="M179" s="16"/>
      <c r="N179" s="15"/>
      <c r="O179" s="16"/>
      <c r="P179" s="17"/>
      <c r="Q179" s="15"/>
      <c r="R179" s="18"/>
      <c r="S179" s="20">
        <v>165</v>
      </c>
      <c r="V179" s="3">
        <f t="shared" si="28"/>
        <v>0</v>
      </c>
      <c r="X179" s="3" t="str">
        <f t="shared" si="29"/>
        <v/>
      </c>
      <c r="Y179" s="3" t="str">
        <f t="shared" si="30"/>
        <v/>
      </c>
      <c r="Z179" s="3" t="str">
        <f t="shared" si="31"/>
        <v/>
      </c>
      <c r="AA179" s="3" t="str">
        <f t="shared" si="41"/>
        <v/>
      </c>
      <c r="AB179" s="3" t="str">
        <f t="shared" si="32"/>
        <v/>
      </c>
      <c r="AC179" s="3" t="str">
        <f t="shared" si="33"/>
        <v/>
      </c>
      <c r="AD179" s="3" t="str">
        <f t="shared" si="34"/>
        <v/>
      </c>
      <c r="AE179" s="3" t="str">
        <f t="shared" si="35"/>
        <v/>
      </c>
      <c r="AF179" s="3" t="str">
        <f t="shared" si="36"/>
        <v/>
      </c>
      <c r="AG179" s="3" t="str">
        <f t="shared" si="37"/>
        <v/>
      </c>
      <c r="AH179" s="3" t="str">
        <f t="shared" si="38"/>
        <v/>
      </c>
      <c r="AI179" s="3" t="str">
        <f t="shared" si="39"/>
        <v/>
      </c>
      <c r="AJ179" s="3" t="str">
        <f t="shared" si="40"/>
        <v/>
      </c>
      <c r="AK179" s="3" t="str">
        <f>IF(V179=0,"",_xlfn.CONCAT(DADOS!$A$8,X179:AJ179,"
"))</f>
        <v/>
      </c>
    </row>
    <row r="180" spans="5:37" ht="15" customHeight="1" x14ac:dyDescent="0.25">
      <c r="E180" s="22"/>
      <c r="F180" s="22"/>
      <c r="G180" s="12"/>
      <c r="H180" s="22"/>
      <c r="I180" s="13"/>
      <c r="J180" s="14"/>
      <c r="K180" s="12"/>
      <c r="L180" s="15"/>
      <c r="M180" s="16"/>
      <c r="N180" s="15"/>
      <c r="O180" s="16"/>
      <c r="P180" s="17"/>
      <c r="Q180" s="15"/>
      <c r="R180" s="18"/>
      <c r="S180" s="20">
        <v>166</v>
      </c>
      <c r="V180" s="3">
        <f t="shared" si="28"/>
        <v>0</v>
      </c>
      <c r="X180" s="3" t="str">
        <f t="shared" si="29"/>
        <v/>
      </c>
      <c r="Y180" s="3" t="str">
        <f t="shared" si="30"/>
        <v/>
      </c>
      <c r="Z180" s="3" t="str">
        <f t="shared" si="31"/>
        <v/>
      </c>
      <c r="AA180" s="3" t="str">
        <f t="shared" si="41"/>
        <v/>
      </c>
      <c r="AB180" s="3" t="str">
        <f t="shared" si="32"/>
        <v/>
      </c>
      <c r="AC180" s="3" t="str">
        <f t="shared" si="33"/>
        <v/>
      </c>
      <c r="AD180" s="3" t="str">
        <f t="shared" si="34"/>
        <v/>
      </c>
      <c r="AE180" s="3" t="str">
        <f t="shared" si="35"/>
        <v/>
      </c>
      <c r="AF180" s="3" t="str">
        <f t="shared" si="36"/>
        <v/>
      </c>
      <c r="AG180" s="3" t="str">
        <f t="shared" si="37"/>
        <v/>
      </c>
      <c r="AH180" s="3" t="str">
        <f t="shared" si="38"/>
        <v/>
      </c>
      <c r="AI180" s="3" t="str">
        <f t="shared" si="39"/>
        <v/>
      </c>
      <c r="AJ180" s="3" t="str">
        <f t="shared" si="40"/>
        <v/>
      </c>
      <c r="AK180" s="3" t="str">
        <f>IF(V180=0,"",_xlfn.CONCAT(DADOS!$A$8,X180:AJ180,"
"))</f>
        <v/>
      </c>
    </row>
    <row r="181" spans="5:37" ht="15" customHeight="1" x14ac:dyDescent="0.25">
      <c r="E181" s="22"/>
      <c r="F181" s="22"/>
      <c r="G181" s="12"/>
      <c r="H181" s="22"/>
      <c r="I181" s="13"/>
      <c r="J181" s="14"/>
      <c r="K181" s="12"/>
      <c r="L181" s="15"/>
      <c r="M181" s="16"/>
      <c r="N181" s="15"/>
      <c r="O181" s="16"/>
      <c r="P181" s="17"/>
      <c r="Q181" s="15"/>
      <c r="R181" s="18"/>
      <c r="S181" s="20">
        <v>167</v>
      </c>
      <c r="V181" s="3">
        <f t="shared" si="28"/>
        <v>0</v>
      </c>
      <c r="X181" s="3" t="str">
        <f t="shared" si="29"/>
        <v/>
      </c>
      <c r="Y181" s="3" t="str">
        <f t="shared" si="30"/>
        <v/>
      </c>
      <c r="Z181" s="3" t="str">
        <f t="shared" si="31"/>
        <v/>
      </c>
      <c r="AA181" s="3" t="str">
        <f t="shared" si="41"/>
        <v/>
      </c>
      <c r="AB181" s="3" t="str">
        <f t="shared" si="32"/>
        <v/>
      </c>
      <c r="AC181" s="3" t="str">
        <f t="shared" si="33"/>
        <v/>
      </c>
      <c r="AD181" s="3" t="str">
        <f t="shared" si="34"/>
        <v/>
      </c>
      <c r="AE181" s="3" t="str">
        <f t="shared" si="35"/>
        <v/>
      </c>
      <c r="AF181" s="3" t="str">
        <f t="shared" si="36"/>
        <v/>
      </c>
      <c r="AG181" s="3" t="str">
        <f t="shared" si="37"/>
        <v/>
      </c>
      <c r="AH181" s="3" t="str">
        <f t="shared" si="38"/>
        <v/>
      </c>
      <c r="AI181" s="3" t="str">
        <f t="shared" si="39"/>
        <v/>
      </c>
      <c r="AJ181" s="3" t="str">
        <f t="shared" si="40"/>
        <v/>
      </c>
      <c r="AK181" s="3" t="str">
        <f>IF(V181=0,"",_xlfn.CONCAT(DADOS!$A$8,X181:AJ181,"
"))</f>
        <v/>
      </c>
    </row>
    <row r="182" spans="5:37" ht="15" customHeight="1" x14ac:dyDescent="0.25">
      <c r="E182" s="22"/>
      <c r="F182" s="22"/>
      <c r="G182" s="12"/>
      <c r="H182" s="22"/>
      <c r="I182" s="13"/>
      <c r="J182" s="14"/>
      <c r="K182" s="12"/>
      <c r="L182" s="15"/>
      <c r="M182" s="16"/>
      <c r="N182" s="15"/>
      <c r="O182" s="16"/>
      <c r="P182" s="17"/>
      <c r="Q182" s="15"/>
      <c r="R182" s="18"/>
      <c r="S182" s="20">
        <v>168</v>
      </c>
      <c r="V182" s="3">
        <f t="shared" si="28"/>
        <v>0</v>
      </c>
      <c r="X182" s="3" t="str">
        <f t="shared" si="29"/>
        <v/>
      </c>
      <c r="Y182" s="3" t="str">
        <f t="shared" si="30"/>
        <v/>
      </c>
      <c r="Z182" s="3" t="str">
        <f t="shared" si="31"/>
        <v/>
      </c>
      <c r="AA182" s="3" t="str">
        <f t="shared" si="41"/>
        <v/>
      </c>
      <c r="AB182" s="3" t="str">
        <f t="shared" si="32"/>
        <v/>
      </c>
      <c r="AC182" s="3" t="str">
        <f t="shared" si="33"/>
        <v/>
      </c>
      <c r="AD182" s="3" t="str">
        <f t="shared" si="34"/>
        <v/>
      </c>
      <c r="AE182" s="3" t="str">
        <f t="shared" si="35"/>
        <v/>
      </c>
      <c r="AF182" s="3" t="str">
        <f t="shared" si="36"/>
        <v/>
      </c>
      <c r="AG182" s="3" t="str">
        <f t="shared" si="37"/>
        <v/>
      </c>
      <c r="AH182" s="3" t="str">
        <f t="shared" si="38"/>
        <v/>
      </c>
      <c r="AI182" s="3" t="str">
        <f t="shared" si="39"/>
        <v/>
      </c>
      <c r="AJ182" s="3" t="str">
        <f t="shared" si="40"/>
        <v/>
      </c>
      <c r="AK182" s="3" t="str">
        <f>IF(V182=0,"",_xlfn.CONCAT(DADOS!$A$8,X182:AJ182,"
"))</f>
        <v/>
      </c>
    </row>
    <row r="183" spans="5:37" ht="15" customHeight="1" x14ac:dyDescent="0.25">
      <c r="E183" s="22"/>
      <c r="F183" s="22"/>
      <c r="G183" s="12"/>
      <c r="H183" s="22"/>
      <c r="I183" s="13"/>
      <c r="J183" s="14"/>
      <c r="K183" s="12"/>
      <c r="L183" s="15"/>
      <c r="M183" s="16"/>
      <c r="N183" s="15"/>
      <c r="O183" s="16"/>
      <c r="P183" s="17"/>
      <c r="Q183" s="15"/>
      <c r="R183" s="18"/>
      <c r="S183" s="20">
        <v>169</v>
      </c>
      <c r="V183" s="3">
        <f t="shared" si="28"/>
        <v>0</v>
      </c>
      <c r="X183" s="3" t="str">
        <f t="shared" si="29"/>
        <v/>
      </c>
      <c r="Y183" s="3" t="str">
        <f t="shared" si="30"/>
        <v/>
      </c>
      <c r="Z183" s="3" t="str">
        <f t="shared" si="31"/>
        <v/>
      </c>
      <c r="AA183" s="3" t="str">
        <f t="shared" si="41"/>
        <v/>
      </c>
      <c r="AB183" s="3" t="str">
        <f t="shared" si="32"/>
        <v/>
      </c>
      <c r="AC183" s="3" t="str">
        <f t="shared" si="33"/>
        <v/>
      </c>
      <c r="AD183" s="3" t="str">
        <f t="shared" si="34"/>
        <v/>
      </c>
      <c r="AE183" s="3" t="str">
        <f t="shared" si="35"/>
        <v/>
      </c>
      <c r="AF183" s="3" t="str">
        <f t="shared" si="36"/>
        <v/>
      </c>
      <c r="AG183" s="3" t="str">
        <f t="shared" si="37"/>
        <v/>
      </c>
      <c r="AH183" s="3" t="str">
        <f t="shared" si="38"/>
        <v/>
      </c>
      <c r="AI183" s="3" t="str">
        <f t="shared" si="39"/>
        <v/>
      </c>
      <c r="AJ183" s="3" t="str">
        <f t="shared" si="40"/>
        <v/>
      </c>
      <c r="AK183" s="3" t="str">
        <f>IF(V183=0,"",_xlfn.CONCAT(DADOS!$A$8,X183:AJ183,"
"))</f>
        <v/>
      </c>
    </row>
    <row r="184" spans="5:37" ht="15" customHeight="1" x14ac:dyDescent="0.25">
      <c r="E184" s="22"/>
      <c r="F184" s="22"/>
      <c r="G184" s="12"/>
      <c r="H184" s="22"/>
      <c r="I184" s="13"/>
      <c r="J184" s="14"/>
      <c r="K184" s="12"/>
      <c r="L184" s="15"/>
      <c r="M184" s="16"/>
      <c r="N184" s="15"/>
      <c r="O184" s="16"/>
      <c r="P184" s="17"/>
      <c r="Q184" s="15"/>
      <c r="R184" s="18"/>
      <c r="S184" s="20">
        <v>170</v>
      </c>
      <c r="V184" s="3">
        <f t="shared" si="28"/>
        <v>0</v>
      </c>
      <c r="X184" s="3" t="str">
        <f t="shared" si="29"/>
        <v/>
      </c>
      <c r="Y184" s="3" t="str">
        <f t="shared" si="30"/>
        <v/>
      </c>
      <c r="Z184" s="3" t="str">
        <f t="shared" si="31"/>
        <v/>
      </c>
      <c r="AA184" s="3" t="str">
        <f t="shared" si="41"/>
        <v/>
      </c>
      <c r="AB184" s="3" t="str">
        <f t="shared" si="32"/>
        <v/>
      </c>
      <c r="AC184" s="3" t="str">
        <f t="shared" si="33"/>
        <v/>
      </c>
      <c r="AD184" s="3" t="str">
        <f t="shared" si="34"/>
        <v/>
      </c>
      <c r="AE184" s="3" t="str">
        <f t="shared" si="35"/>
        <v/>
      </c>
      <c r="AF184" s="3" t="str">
        <f t="shared" si="36"/>
        <v/>
      </c>
      <c r="AG184" s="3" t="str">
        <f t="shared" si="37"/>
        <v/>
      </c>
      <c r="AH184" s="3" t="str">
        <f t="shared" si="38"/>
        <v/>
      </c>
      <c r="AI184" s="3" t="str">
        <f t="shared" si="39"/>
        <v/>
      </c>
      <c r="AJ184" s="3" t="str">
        <f t="shared" si="40"/>
        <v/>
      </c>
      <c r="AK184" s="3" t="str">
        <f>IF(V184=0,"",_xlfn.CONCAT(DADOS!$A$8,X184:AJ184,"
"))</f>
        <v/>
      </c>
    </row>
    <row r="185" spans="5:37" ht="15" customHeight="1" x14ac:dyDescent="0.25">
      <c r="E185" s="22"/>
      <c r="F185" s="22"/>
      <c r="G185" s="12"/>
      <c r="H185" s="22"/>
      <c r="I185" s="13"/>
      <c r="J185" s="14"/>
      <c r="K185" s="12"/>
      <c r="L185" s="15"/>
      <c r="M185" s="16"/>
      <c r="N185" s="15"/>
      <c r="O185" s="16"/>
      <c r="P185" s="17"/>
      <c r="Q185" s="15"/>
      <c r="R185" s="18"/>
      <c r="S185" s="20">
        <v>171</v>
      </c>
      <c r="V185" s="3">
        <f t="shared" si="28"/>
        <v>0</v>
      </c>
      <c r="X185" s="3" t="str">
        <f t="shared" si="29"/>
        <v/>
      </c>
      <c r="Y185" s="3" t="str">
        <f t="shared" si="30"/>
        <v/>
      </c>
      <c r="Z185" s="3" t="str">
        <f t="shared" si="31"/>
        <v/>
      </c>
      <c r="AA185" s="3" t="str">
        <f t="shared" si="41"/>
        <v/>
      </c>
      <c r="AB185" s="3" t="str">
        <f t="shared" si="32"/>
        <v/>
      </c>
      <c r="AC185" s="3" t="str">
        <f t="shared" si="33"/>
        <v/>
      </c>
      <c r="AD185" s="3" t="str">
        <f t="shared" si="34"/>
        <v/>
      </c>
      <c r="AE185" s="3" t="str">
        <f t="shared" si="35"/>
        <v/>
      </c>
      <c r="AF185" s="3" t="str">
        <f t="shared" si="36"/>
        <v/>
      </c>
      <c r="AG185" s="3" t="str">
        <f t="shared" si="37"/>
        <v/>
      </c>
      <c r="AH185" s="3" t="str">
        <f t="shared" si="38"/>
        <v/>
      </c>
      <c r="AI185" s="3" t="str">
        <f t="shared" si="39"/>
        <v/>
      </c>
      <c r="AJ185" s="3" t="str">
        <f t="shared" si="40"/>
        <v/>
      </c>
      <c r="AK185" s="3" t="str">
        <f>IF(V185=0,"",_xlfn.CONCAT(DADOS!$A$8,X185:AJ185,"
"))</f>
        <v/>
      </c>
    </row>
    <row r="186" spans="5:37" ht="15" customHeight="1" x14ac:dyDescent="0.25">
      <c r="E186" s="22"/>
      <c r="F186" s="22"/>
      <c r="G186" s="12"/>
      <c r="H186" s="22"/>
      <c r="I186" s="13"/>
      <c r="J186" s="14"/>
      <c r="K186" s="12"/>
      <c r="L186" s="15"/>
      <c r="M186" s="16"/>
      <c r="N186" s="15"/>
      <c r="O186" s="16"/>
      <c r="P186" s="17"/>
      <c r="Q186" s="15"/>
      <c r="R186" s="18"/>
      <c r="S186" s="20">
        <v>172</v>
      </c>
      <c r="V186" s="3">
        <f t="shared" si="28"/>
        <v>0</v>
      </c>
      <c r="X186" s="3" t="str">
        <f t="shared" si="29"/>
        <v/>
      </c>
      <c r="Y186" s="3" t="str">
        <f t="shared" si="30"/>
        <v/>
      </c>
      <c r="Z186" s="3" t="str">
        <f t="shared" si="31"/>
        <v/>
      </c>
      <c r="AA186" s="3" t="str">
        <f t="shared" si="41"/>
        <v/>
      </c>
      <c r="AB186" s="3" t="str">
        <f t="shared" si="32"/>
        <v/>
      </c>
      <c r="AC186" s="3" t="str">
        <f t="shared" si="33"/>
        <v/>
      </c>
      <c r="AD186" s="3" t="str">
        <f t="shared" si="34"/>
        <v/>
      </c>
      <c r="AE186" s="3" t="str">
        <f t="shared" si="35"/>
        <v/>
      </c>
      <c r="AF186" s="3" t="str">
        <f t="shared" si="36"/>
        <v/>
      </c>
      <c r="AG186" s="3" t="str">
        <f t="shared" si="37"/>
        <v/>
      </c>
      <c r="AH186" s="3" t="str">
        <f t="shared" si="38"/>
        <v/>
      </c>
      <c r="AI186" s="3" t="str">
        <f t="shared" si="39"/>
        <v/>
      </c>
      <c r="AJ186" s="3" t="str">
        <f t="shared" si="40"/>
        <v/>
      </c>
      <c r="AK186" s="3" t="str">
        <f>IF(V186=0,"",_xlfn.CONCAT(DADOS!$A$8,X186:AJ186,"
"))</f>
        <v/>
      </c>
    </row>
    <row r="187" spans="5:37" ht="15" customHeight="1" x14ac:dyDescent="0.25">
      <c r="E187" s="22"/>
      <c r="F187" s="22"/>
      <c r="G187" s="12"/>
      <c r="H187" s="22"/>
      <c r="I187" s="13"/>
      <c r="J187" s="14"/>
      <c r="K187" s="12"/>
      <c r="L187" s="15"/>
      <c r="M187" s="16"/>
      <c r="N187" s="15"/>
      <c r="O187" s="16"/>
      <c r="P187" s="17"/>
      <c r="Q187" s="15"/>
      <c r="R187" s="18"/>
      <c r="S187" s="20">
        <v>173</v>
      </c>
      <c r="V187" s="3">
        <f t="shared" si="28"/>
        <v>0</v>
      </c>
      <c r="X187" s="3" t="str">
        <f t="shared" si="29"/>
        <v/>
      </c>
      <c r="Y187" s="3" t="str">
        <f t="shared" si="30"/>
        <v/>
      </c>
      <c r="Z187" s="3" t="str">
        <f t="shared" si="31"/>
        <v/>
      </c>
      <c r="AA187" s="3" t="str">
        <f t="shared" si="41"/>
        <v/>
      </c>
      <c r="AB187" s="3" t="str">
        <f t="shared" si="32"/>
        <v/>
      </c>
      <c r="AC187" s="3" t="str">
        <f t="shared" si="33"/>
        <v/>
      </c>
      <c r="AD187" s="3" t="str">
        <f t="shared" si="34"/>
        <v/>
      </c>
      <c r="AE187" s="3" t="str">
        <f t="shared" si="35"/>
        <v/>
      </c>
      <c r="AF187" s="3" t="str">
        <f t="shared" si="36"/>
        <v/>
      </c>
      <c r="AG187" s="3" t="str">
        <f t="shared" si="37"/>
        <v/>
      </c>
      <c r="AH187" s="3" t="str">
        <f t="shared" si="38"/>
        <v/>
      </c>
      <c r="AI187" s="3" t="str">
        <f t="shared" si="39"/>
        <v/>
      </c>
      <c r="AJ187" s="3" t="str">
        <f t="shared" si="40"/>
        <v/>
      </c>
      <c r="AK187" s="3" t="str">
        <f>IF(V187=0,"",_xlfn.CONCAT(DADOS!$A$8,X187:AJ187,"
"))</f>
        <v/>
      </c>
    </row>
    <row r="188" spans="5:37" ht="15" customHeight="1" x14ac:dyDescent="0.25">
      <c r="E188" s="22"/>
      <c r="F188" s="22"/>
      <c r="G188" s="12"/>
      <c r="H188" s="22"/>
      <c r="I188" s="13"/>
      <c r="J188" s="14"/>
      <c r="K188" s="12"/>
      <c r="L188" s="15"/>
      <c r="M188" s="16"/>
      <c r="N188" s="15"/>
      <c r="O188" s="16"/>
      <c r="P188" s="17"/>
      <c r="Q188" s="15"/>
      <c r="R188" s="18"/>
      <c r="S188" s="20">
        <v>174</v>
      </c>
      <c r="V188" s="3">
        <f t="shared" si="28"/>
        <v>0</v>
      </c>
      <c r="X188" s="3" t="str">
        <f t="shared" si="29"/>
        <v/>
      </c>
      <c r="Y188" s="3" t="str">
        <f t="shared" si="30"/>
        <v/>
      </c>
      <c r="Z188" s="3" t="str">
        <f t="shared" si="31"/>
        <v/>
      </c>
      <c r="AA188" s="3" t="str">
        <f t="shared" si="41"/>
        <v/>
      </c>
      <c r="AB188" s="3" t="str">
        <f t="shared" si="32"/>
        <v/>
      </c>
      <c r="AC188" s="3" t="str">
        <f t="shared" si="33"/>
        <v/>
      </c>
      <c r="AD188" s="3" t="str">
        <f t="shared" si="34"/>
        <v/>
      </c>
      <c r="AE188" s="3" t="str">
        <f t="shared" si="35"/>
        <v/>
      </c>
      <c r="AF188" s="3" t="str">
        <f t="shared" si="36"/>
        <v/>
      </c>
      <c r="AG188" s="3" t="str">
        <f t="shared" si="37"/>
        <v/>
      </c>
      <c r="AH188" s="3" t="str">
        <f t="shared" si="38"/>
        <v/>
      </c>
      <c r="AI188" s="3" t="str">
        <f t="shared" si="39"/>
        <v/>
      </c>
      <c r="AJ188" s="3" t="str">
        <f t="shared" si="40"/>
        <v/>
      </c>
      <c r="AK188" s="3" t="str">
        <f>IF(V188=0,"",_xlfn.CONCAT(DADOS!$A$8,X188:AJ188,"
"))</f>
        <v/>
      </c>
    </row>
    <row r="189" spans="5:37" ht="15" customHeight="1" x14ac:dyDescent="0.25">
      <c r="E189" s="22"/>
      <c r="F189" s="22"/>
      <c r="G189" s="12"/>
      <c r="H189" s="22"/>
      <c r="I189" s="13"/>
      <c r="J189" s="14"/>
      <c r="K189" s="12"/>
      <c r="L189" s="15"/>
      <c r="M189" s="16"/>
      <c r="N189" s="15"/>
      <c r="O189" s="16"/>
      <c r="P189" s="17"/>
      <c r="Q189" s="15"/>
      <c r="R189" s="18"/>
      <c r="S189" s="20">
        <v>175</v>
      </c>
      <c r="V189" s="3">
        <f t="shared" si="28"/>
        <v>0</v>
      </c>
      <c r="X189" s="3" t="str">
        <f t="shared" si="29"/>
        <v/>
      </c>
      <c r="Y189" s="3" t="str">
        <f t="shared" si="30"/>
        <v/>
      </c>
      <c r="Z189" s="3" t="str">
        <f t="shared" si="31"/>
        <v/>
      </c>
      <c r="AA189" s="3" t="str">
        <f t="shared" si="41"/>
        <v/>
      </c>
      <c r="AB189" s="3" t="str">
        <f t="shared" si="32"/>
        <v/>
      </c>
      <c r="AC189" s="3" t="str">
        <f t="shared" si="33"/>
        <v/>
      </c>
      <c r="AD189" s="3" t="str">
        <f t="shared" si="34"/>
        <v/>
      </c>
      <c r="AE189" s="3" t="str">
        <f t="shared" si="35"/>
        <v/>
      </c>
      <c r="AF189" s="3" t="str">
        <f t="shared" si="36"/>
        <v/>
      </c>
      <c r="AG189" s="3" t="str">
        <f t="shared" si="37"/>
        <v/>
      </c>
      <c r="AH189" s="3" t="str">
        <f t="shared" si="38"/>
        <v/>
      </c>
      <c r="AI189" s="3" t="str">
        <f t="shared" si="39"/>
        <v/>
      </c>
      <c r="AJ189" s="3" t="str">
        <f t="shared" si="40"/>
        <v/>
      </c>
      <c r="AK189" s="3" t="str">
        <f>IF(V189=0,"",_xlfn.CONCAT(DADOS!$A$8,X189:AJ189,"
"))</f>
        <v/>
      </c>
    </row>
    <row r="190" spans="5:37" ht="15" customHeight="1" x14ac:dyDescent="0.25">
      <c r="E190" s="22"/>
      <c r="F190" s="22"/>
      <c r="G190" s="12"/>
      <c r="H190" s="22"/>
      <c r="I190" s="13"/>
      <c r="J190" s="14"/>
      <c r="K190" s="12"/>
      <c r="L190" s="15"/>
      <c r="M190" s="16"/>
      <c r="N190" s="15"/>
      <c r="O190" s="16"/>
      <c r="P190" s="17"/>
      <c r="Q190" s="15"/>
      <c r="R190" s="18"/>
      <c r="S190" s="20">
        <v>176</v>
      </c>
      <c r="V190" s="3">
        <f t="shared" si="28"/>
        <v>0</v>
      </c>
      <c r="X190" s="3" t="str">
        <f t="shared" si="29"/>
        <v/>
      </c>
      <c r="Y190" s="3" t="str">
        <f t="shared" si="30"/>
        <v/>
      </c>
      <c r="Z190" s="3" t="str">
        <f t="shared" si="31"/>
        <v/>
      </c>
      <c r="AA190" s="3" t="str">
        <f t="shared" si="41"/>
        <v/>
      </c>
      <c r="AB190" s="3" t="str">
        <f t="shared" si="32"/>
        <v/>
      </c>
      <c r="AC190" s="3" t="str">
        <f t="shared" si="33"/>
        <v/>
      </c>
      <c r="AD190" s="3" t="str">
        <f t="shared" si="34"/>
        <v/>
      </c>
      <c r="AE190" s="3" t="str">
        <f t="shared" si="35"/>
        <v/>
      </c>
      <c r="AF190" s="3" t="str">
        <f t="shared" si="36"/>
        <v/>
      </c>
      <c r="AG190" s="3" t="str">
        <f t="shared" si="37"/>
        <v/>
      </c>
      <c r="AH190" s="3" t="str">
        <f t="shared" si="38"/>
        <v/>
      </c>
      <c r="AI190" s="3" t="str">
        <f t="shared" si="39"/>
        <v/>
      </c>
      <c r="AJ190" s="3" t="str">
        <f t="shared" si="40"/>
        <v/>
      </c>
      <c r="AK190" s="3" t="str">
        <f>IF(V190=0,"",_xlfn.CONCAT(DADOS!$A$8,X190:AJ190,"
"))</f>
        <v/>
      </c>
    </row>
    <row r="191" spans="5:37" ht="15" customHeight="1" x14ac:dyDescent="0.25">
      <c r="E191" s="22"/>
      <c r="F191" s="22"/>
      <c r="G191" s="12"/>
      <c r="H191" s="22"/>
      <c r="I191" s="13"/>
      <c r="J191" s="14"/>
      <c r="K191" s="12"/>
      <c r="L191" s="15"/>
      <c r="M191" s="16"/>
      <c r="N191" s="15"/>
      <c r="O191" s="16"/>
      <c r="P191" s="17"/>
      <c r="Q191" s="15"/>
      <c r="R191" s="18"/>
      <c r="S191" s="20">
        <v>177</v>
      </c>
      <c r="V191" s="3">
        <f t="shared" si="28"/>
        <v>0</v>
      </c>
      <c r="X191" s="3" t="str">
        <f t="shared" si="29"/>
        <v/>
      </c>
      <c r="Y191" s="3" t="str">
        <f t="shared" si="30"/>
        <v/>
      </c>
      <c r="Z191" s="3" t="str">
        <f t="shared" si="31"/>
        <v/>
      </c>
      <c r="AA191" s="3" t="str">
        <f t="shared" si="41"/>
        <v/>
      </c>
      <c r="AB191" s="3" t="str">
        <f t="shared" si="32"/>
        <v/>
      </c>
      <c r="AC191" s="3" t="str">
        <f t="shared" si="33"/>
        <v/>
      </c>
      <c r="AD191" s="3" t="str">
        <f t="shared" si="34"/>
        <v/>
      </c>
      <c r="AE191" s="3" t="str">
        <f t="shared" si="35"/>
        <v/>
      </c>
      <c r="AF191" s="3" t="str">
        <f t="shared" si="36"/>
        <v/>
      </c>
      <c r="AG191" s="3" t="str">
        <f t="shared" si="37"/>
        <v/>
      </c>
      <c r="AH191" s="3" t="str">
        <f t="shared" si="38"/>
        <v/>
      </c>
      <c r="AI191" s="3" t="str">
        <f t="shared" si="39"/>
        <v/>
      </c>
      <c r="AJ191" s="3" t="str">
        <f t="shared" si="40"/>
        <v/>
      </c>
      <c r="AK191" s="3" t="str">
        <f>IF(V191=0,"",_xlfn.CONCAT(DADOS!$A$8,X191:AJ191,"
"))</f>
        <v/>
      </c>
    </row>
    <row r="192" spans="5:37" ht="15" customHeight="1" x14ac:dyDescent="0.25">
      <c r="E192" s="22"/>
      <c r="F192" s="22"/>
      <c r="G192" s="12"/>
      <c r="H192" s="22"/>
      <c r="I192" s="13"/>
      <c r="J192" s="14"/>
      <c r="K192" s="12"/>
      <c r="L192" s="15"/>
      <c r="M192" s="16"/>
      <c r="N192" s="15"/>
      <c r="O192" s="16"/>
      <c r="P192" s="17"/>
      <c r="Q192" s="15"/>
      <c r="R192" s="18"/>
      <c r="S192" s="20">
        <v>178</v>
      </c>
      <c r="V192" s="3">
        <f t="shared" si="28"/>
        <v>0</v>
      </c>
      <c r="X192" s="3" t="str">
        <f t="shared" si="29"/>
        <v/>
      </c>
      <c r="Y192" s="3" t="str">
        <f t="shared" si="30"/>
        <v/>
      </c>
      <c r="Z192" s="3" t="str">
        <f t="shared" si="31"/>
        <v/>
      </c>
      <c r="AA192" s="3" t="str">
        <f t="shared" si="41"/>
        <v/>
      </c>
      <c r="AB192" s="3" t="str">
        <f t="shared" si="32"/>
        <v/>
      </c>
      <c r="AC192" s="3" t="str">
        <f t="shared" si="33"/>
        <v/>
      </c>
      <c r="AD192" s="3" t="str">
        <f t="shared" si="34"/>
        <v/>
      </c>
      <c r="AE192" s="3" t="str">
        <f t="shared" si="35"/>
        <v/>
      </c>
      <c r="AF192" s="3" t="str">
        <f t="shared" si="36"/>
        <v/>
      </c>
      <c r="AG192" s="3" t="str">
        <f t="shared" si="37"/>
        <v/>
      </c>
      <c r="AH192" s="3" t="str">
        <f t="shared" si="38"/>
        <v/>
      </c>
      <c r="AI192" s="3" t="str">
        <f t="shared" si="39"/>
        <v/>
      </c>
      <c r="AJ192" s="3" t="str">
        <f t="shared" si="40"/>
        <v/>
      </c>
      <c r="AK192" s="3" t="str">
        <f>IF(V192=0,"",_xlfn.CONCAT(DADOS!$A$8,X192:AJ192,"
"))</f>
        <v/>
      </c>
    </row>
    <row r="193" spans="5:37" ht="15" customHeight="1" x14ac:dyDescent="0.25">
      <c r="E193" s="22"/>
      <c r="F193" s="22"/>
      <c r="G193" s="12"/>
      <c r="H193" s="22"/>
      <c r="I193" s="13"/>
      <c r="J193" s="14"/>
      <c r="K193" s="12"/>
      <c r="L193" s="15"/>
      <c r="M193" s="16"/>
      <c r="N193" s="15"/>
      <c r="O193" s="16"/>
      <c r="P193" s="17"/>
      <c r="Q193" s="15"/>
      <c r="R193" s="18"/>
      <c r="S193" s="20">
        <v>179</v>
      </c>
      <c r="V193" s="3">
        <f t="shared" si="28"/>
        <v>0</v>
      </c>
      <c r="X193" s="3" t="str">
        <f t="shared" si="29"/>
        <v/>
      </c>
      <c r="Y193" s="3" t="str">
        <f t="shared" si="30"/>
        <v/>
      </c>
      <c r="Z193" s="3" t="str">
        <f t="shared" si="31"/>
        <v/>
      </c>
      <c r="AA193" s="3" t="str">
        <f t="shared" si="41"/>
        <v/>
      </c>
      <c r="AB193" s="3" t="str">
        <f t="shared" si="32"/>
        <v/>
      </c>
      <c r="AC193" s="3" t="str">
        <f t="shared" si="33"/>
        <v/>
      </c>
      <c r="AD193" s="3" t="str">
        <f t="shared" si="34"/>
        <v/>
      </c>
      <c r="AE193" s="3" t="str">
        <f t="shared" si="35"/>
        <v/>
      </c>
      <c r="AF193" s="3" t="str">
        <f t="shared" si="36"/>
        <v/>
      </c>
      <c r="AG193" s="3" t="str">
        <f t="shared" si="37"/>
        <v/>
      </c>
      <c r="AH193" s="3" t="str">
        <f t="shared" si="38"/>
        <v/>
      </c>
      <c r="AI193" s="3" t="str">
        <f t="shared" si="39"/>
        <v/>
      </c>
      <c r="AJ193" s="3" t="str">
        <f t="shared" si="40"/>
        <v/>
      </c>
      <c r="AK193" s="3" t="str">
        <f>IF(V193=0,"",_xlfn.CONCAT(DADOS!$A$8,X193:AJ193,"
"))</f>
        <v/>
      </c>
    </row>
    <row r="194" spans="5:37" ht="15" customHeight="1" x14ac:dyDescent="0.25">
      <c r="E194" s="22"/>
      <c r="F194" s="22"/>
      <c r="G194" s="12"/>
      <c r="H194" s="22"/>
      <c r="I194" s="13"/>
      <c r="J194" s="14"/>
      <c r="K194" s="12"/>
      <c r="L194" s="15"/>
      <c r="M194" s="16"/>
      <c r="N194" s="15"/>
      <c r="O194" s="16"/>
      <c r="P194" s="17"/>
      <c r="Q194" s="15"/>
      <c r="R194" s="18"/>
      <c r="S194" s="20">
        <v>180</v>
      </c>
      <c r="V194" s="3">
        <f t="shared" si="28"/>
        <v>0</v>
      </c>
      <c r="X194" s="3" t="str">
        <f t="shared" si="29"/>
        <v/>
      </c>
      <c r="Y194" s="3" t="str">
        <f t="shared" si="30"/>
        <v/>
      </c>
      <c r="Z194" s="3" t="str">
        <f t="shared" si="31"/>
        <v/>
      </c>
      <c r="AA194" s="3" t="str">
        <f t="shared" si="41"/>
        <v/>
      </c>
      <c r="AB194" s="3" t="str">
        <f t="shared" si="32"/>
        <v/>
      </c>
      <c r="AC194" s="3" t="str">
        <f t="shared" si="33"/>
        <v/>
      </c>
      <c r="AD194" s="3" t="str">
        <f t="shared" si="34"/>
        <v/>
      </c>
      <c r="AE194" s="3" t="str">
        <f t="shared" si="35"/>
        <v/>
      </c>
      <c r="AF194" s="3" t="str">
        <f t="shared" si="36"/>
        <v/>
      </c>
      <c r="AG194" s="3" t="str">
        <f t="shared" si="37"/>
        <v/>
      </c>
      <c r="AH194" s="3" t="str">
        <f t="shared" si="38"/>
        <v/>
      </c>
      <c r="AI194" s="3" t="str">
        <f t="shared" si="39"/>
        <v/>
      </c>
      <c r="AJ194" s="3" t="str">
        <f t="shared" si="40"/>
        <v/>
      </c>
      <c r="AK194" s="3" t="str">
        <f>IF(V194=0,"",_xlfn.CONCAT(DADOS!$A$8,X194:AJ194,"
"))</f>
        <v/>
      </c>
    </row>
    <row r="195" spans="5:37" ht="15" customHeight="1" x14ac:dyDescent="0.25">
      <c r="E195" s="22"/>
      <c r="F195" s="22"/>
      <c r="G195" s="12"/>
      <c r="H195" s="22"/>
      <c r="I195" s="13"/>
      <c r="J195" s="14"/>
      <c r="K195" s="12"/>
      <c r="L195" s="15"/>
      <c r="M195" s="16"/>
      <c r="N195" s="15"/>
      <c r="O195" s="16"/>
      <c r="P195" s="17"/>
      <c r="Q195" s="15"/>
      <c r="R195" s="18"/>
      <c r="S195" s="20">
        <v>181</v>
      </c>
      <c r="V195" s="3">
        <f t="shared" si="28"/>
        <v>0</v>
      </c>
      <c r="X195" s="3" t="str">
        <f t="shared" si="29"/>
        <v/>
      </c>
      <c r="Y195" s="3" t="str">
        <f t="shared" si="30"/>
        <v/>
      </c>
      <c r="Z195" s="3" t="str">
        <f t="shared" si="31"/>
        <v/>
      </c>
      <c r="AA195" s="3" t="str">
        <f t="shared" si="41"/>
        <v/>
      </c>
      <c r="AB195" s="3" t="str">
        <f t="shared" si="32"/>
        <v/>
      </c>
      <c r="AC195" s="3" t="str">
        <f t="shared" si="33"/>
        <v/>
      </c>
      <c r="AD195" s="3" t="str">
        <f t="shared" si="34"/>
        <v/>
      </c>
      <c r="AE195" s="3" t="str">
        <f t="shared" si="35"/>
        <v/>
      </c>
      <c r="AF195" s="3" t="str">
        <f t="shared" si="36"/>
        <v/>
      </c>
      <c r="AG195" s="3" t="str">
        <f t="shared" si="37"/>
        <v/>
      </c>
      <c r="AH195" s="3" t="str">
        <f t="shared" si="38"/>
        <v/>
      </c>
      <c r="AI195" s="3" t="str">
        <f t="shared" si="39"/>
        <v/>
      </c>
      <c r="AJ195" s="3" t="str">
        <f t="shared" si="40"/>
        <v/>
      </c>
      <c r="AK195" s="3" t="str">
        <f>IF(V195=0,"",_xlfn.CONCAT(DADOS!$A$8,X195:AJ195,"
"))</f>
        <v/>
      </c>
    </row>
    <row r="196" spans="5:37" ht="15" customHeight="1" x14ac:dyDescent="0.25">
      <c r="E196" s="22"/>
      <c r="F196" s="22"/>
      <c r="G196" s="12"/>
      <c r="H196" s="22"/>
      <c r="I196" s="13"/>
      <c r="J196" s="14"/>
      <c r="K196" s="12"/>
      <c r="L196" s="15"/>
      <c r="M196" s="16"/>
      <c r="N196" s="15"/>
      <c r="O196" s="16"/>
      <c r="P196" s="17"/>
      <c r="Q196" s="15"/>
      <c r="R196" s="18"/>
      <c r="S196" s="20">
        <v>182</v>
      </c>
      <c r="V196" s="3">
        <f t="shared" si="28"/>
        <v>0</v>
      </c>
      <c r="X196" s="3" t="str">
        <f t="shared" si="29"/>
        <v/>
      </c>
      <c r="Y196" s="3" t="str">
        <f t="shared" si="30"/>
        <v/>
      </c>
      <c r="Z196" s="3" t="str">
        <f t="shared" si="31"/>
        <v/>
      </c>
      <c r="AA196" s="3" t="str">
        <f t="shared" si="41"/>
        <v/>
      </c>
      <c r="AB196" s="3" t="str">
        <f t="shared" si="32"/>
        <v/>
      </c>
      <c r="AC196" s="3" t="str">
        <f t="shared" si="33"/>
        <v/>
      </c>
      <c r="AD196" s="3" t="str">
        <f t="shared" si="34"/>
        <v/>
      </c>
      <c r="AE196" s="3" t="str">
        <f t="shared" si="35"/>
        <v/>
      </c>
      <c r="AF196" s="3" t="str">
        <f t="shared" si="36"/>
        <v/>
      </c>
      <c r="AG196" s="3" t="str">
        <f t="shared" si="37"/>
        <v/>
      </c>
      <c r="AH196" s="3" t="str">
        <f t="shared" si="38"/>
        <v/>
      </c>
      <c r="AI196" s="3" t="str">
        <f t="shared" si="39"/>
        <v/>
      </c>
      <c r="AJ196" s="3" t="str">
        <f t="shared" si="40"/>
        <v/>
      </c>
      <c r="AK196" s="3" t="str">
        <f>IF(V196=0,"",_xlfn.CONCAT(DADOS!$A$8,X196:AJ196,"
"))</f>
        <v/>
      </c>
    </row>
    <row r="197" spans="5:37" ht="15" customHeight="1" x14ac:dyDescent="0.25">
      <c r="E197" s="22"/>
      <c r="F197" s="22"/>
      <c r="G197" s="12"/>
      <c r="H197" s="22"/>
      <c r="I197" s="13"/>
      <c r="J197" s="14"/>
      <c r="K197" s="12"/>
      <c r="L197" s="15"/>
      <c r="M197" s="16"/>
      <c r="N197" s="15"/>
      <c r="O197" s="16"/>
      <c r="P197" s="17"/>
      <c r="Q197" s="15"/>
      <c r="R197" s="18"/>
      <c r="S197" s="20">
        <v>183</v>
      </c>
      <c r="V197" s="3">
        <f t="shared" si="28"/>
        <v>0</v>
      </c>
      <c r="X197" s="3" t="str">
        <f t="shared" si="29"/>
        <v/>
      </c>
      <c r="Y197" s="3" t="str">
        <f t="shared" si="30"/>
        <v/>
      </c>
      <c r="Z197" s="3" t="str">
        <f t="shared" si="31"/>
        <v/>
      </c>
      <c r="AA197" s="3" t="str">
        <f t="shared" si="41"/>
        <v/>
      </c>
      <c r="AB197" s="3" t="str">
        <f t="shared" si="32"/>
        <v/>
      </c>
      <c r="AC197" s="3" t="str">
        <f t="shared" si="33"/>
        <v/>
      </c>
      <c r="AD197" s="3" t="str">
        <f t="shared" si="34"/>
        <v/>
      </c>
      <c r="AE197" s="3" t="str">
        <f t="shared" si="35"/>
        <v/>
      </c>
      <c r="AF197" s="3" t="str">
        <f t="shared" si="36"/>
        <v/>
      </c>
      <c r="AG197" s="3" t="str">
        <f t="shared" si="37"/>
        <v/>
      </c>
      <c r="AH197" s="3" t="str">
        <f t="shared" si="38"/>
        <v/>
      </c>
      <c r="AI197" s="3" t="str">
        <f t="shared" si="39"/>
        <v/>
      </c>
      <c r="AJ197" s="3" t="str">
        <f t="shared" si="40"/>
        <v/>
      </c>
      <c r="AK197" s="3" t="str">
        <f>IF(V197=0,"",_xlfn.CONCAT(DADOS!$A$8,X197:AJ197,"
"))</f>
        <v/>
      </c>
    </row>
    <row r="198" spans="5:37" ht="15" customHeight="1" x14ac:dyDescent="0.25">
      <c r="E198" s="22"/>
      <c r="F198" s="22"/>
      <c r="G198" s="12"/>
      <c r="H198" s="22"/>
      <c r="I198" s="13"/>
      <c r="J198" s="14"/>
      <c r="K198" s="12"/>
      <c r="L198" s="15"/>
      <c r="M198" s="16"/>
      <c r="N198" s="15"/>
      <c r="O198" s="16"/>
      <c r="P198" s="17"/>
      <c r="Q198" s="15"/>
      <c r="R198" s="18"/>
      <c r="S198" s="20">
        <v>184</v>
      </c>
      <c r="V198" s="3">
        <f t="shared" si="28"/>
        <v>0</v>
      </c>
      <c r="X198" s="3" t="str">
        <f t="shared" si="29"/>
        <v/>
      </c>
      <c r="Y198" s="3" t="str">
        <f t="shared" si="30"/>
        <v/>
      </c>
      <c r="Z198" s="3" t="str">
        <f t="shared" si="31"/>
        <v/>
      </c>
      <c r="AA198" s="3" t="str">
        <f t="shared" si="41"/>
        <v/>
      </c>
      <c r="AB198" s="3" t="str">
        <f t="shared" si="32"/>
        <v/>
      </c>
      <c r="AC198" s="3" t="str">
        <f t="shared" si="33"/>
        <v/>
      </c>
      <c r="AD198" s="3" t="str">
        <f t="shared" si="34"/>
        <v/>
      </c>
      <c r="AE198" s="3" t="str">
        <f t="shared" si="35"/>
        <v/>
      </c>
      <c r="AF198" s="3" t="str">
        <f t="shared" si="36"/>
        <v/>
      </c>
      <c r="AG198" s="3" t="str">
        <f t="shared" si="37"/>
        <v/>
      </c>
      <c r="AH198" s="3" t="str">
        <f t="shared" si="38"/>
        <v/>
      </c>
      <c r="AI198" s="3" t="str">
        <f t="shared" si="39"/>
        <v/>
      </c>
      <c r="AJ198" s="3" t="str">
        <f t="shared" si="40"/>
        <v/>
      </c>
      <c r="AK198" s="3" t="str">
        <f>IF(V198=0,"",_xlfn.CONCAT(DADOS!$A$8,X198:AJ198,"
"))</f>
        <v/>
      </c>
    </row>
    <row r="199" spans="5:37" ht="15" customHeight="1" x14ac:dyDescent="0.25">
      <c r="E199" s="22"/>
      <c r="F199" s="22"/>
      <c r="G199" s="12"/>
      <c r="H199" s="22"/>
      <c r="I199" s="13"/>
      <c r="J199" s="14"/>
      <c r="K199" s="12"/>
      <c r="L199" s="15"/>
      <c r="M199" s="16"/>
      <c r="N199" s="15"/>
      <c r="O199" s="16"/>
      <c r="P199" s="17"/>
      <c r="Q199" s="15"/>
      <c r="R199" s="18"/>
      <c r="S199" s="20">
        <v>185</v>
      </c>
      <c r="V199" s="3">
        <f t="shared" si="28"/>
        <v>0</v>
      </c>
      <c r="X199" s="3" t="str">
        <f t="shared" si="29"/>
        <v/>
      </c>
      <c r="Y199" s="3" t="str">
        <f t="shared" si="30"/>
        <v/>
      </c>
      <c r="Z199" s="3" t="str">
        <f t="shared" si="31"/>
        <v/>
      </c>
      <c r="AA199" s="3" t="str">
        <f t="shared" si="41"/>
        <v/>
      </c>
      <c r="AB199" s="3" t="str">
        <f t="shared" si="32"/>
        <v/>
      </c>
      <c r="AC199" s="3" t="str">
        <f t="shared" si="33"/>
        <v/>
      </c>
      <c r="AD199" s="3" t="str">
        <f t="shared" si="34"/>
        <v/>
      </c>
      <c r="AE199" s="3" t="str">
        <f t="shared" si="35"/>
        <v/>
      </c>
      <c r="AF199" s="3" t="str">
        <f t="shared" si="36"/>
        <v/>
      </c>
      <c r="AG199" s="3" t="str">
        <f t="shared" si="37"/>
        <v/>
      </c>
      <c r="AH199" s="3" t="str">
        <f t="shared" si="38"/>
        <v/>
      </c>
      <c r="AI199" s="3" t="str">
        <f t="shared" si="39"/>
        <v/>
      </c>
      <c r="AJ199" s="3" t="str">
        <f t="shared" si="40"/>
        <v/>
      </c>
      <c r="AK199" s="3" t="str">
        <f>IF(V199=0,"",_xlfn.CONCAT(DADOS!$A$8,X199:AJ199,"
"))</f>
        <v/>
      </c>
    </row>
    <row r="200" spans="5:37" ht="15" customHeight="1" x14ac:dyDescent="0.25">
      <c r="E200" s="22"/>
      <c r="F200" s="22"/>
      <c r="G200" s="12"/>
      <c r="H200" s="22"/>
      <c r="I200" s="13"/>
      <c r="J200" s="14"/>
      <c r="K200" s="12"/>
      <c r="L200" s="15"/>
      <c r="M200" s="16"/>
      <c r="N200" s="15"/>
      <c r="O200" s="16"/>
      <c r="P200" s="17"/>
      <c r="Q200" s="15"/>
      <c r="R200" s="18"/>
      <c r="S200" s="20">
        <v>186</v>
      </c>
      <c r="V200" s="3">
        <f t="shared" si="28"/>
        <v>0</v>
      </c>
      <c r="X200" s="3" t="str">
        <f t="shared" si="29"/>
        <v/>
      </c>
      <c r="Y200" s="3" t="str">
        <f t="shared" si="30"/>
        <v/>
      </c>
      <c r="Z200" s="3" t="str">
        <f t="shared" si="31"/>
        <v/>
      </c>
      <c r="AA200" s="3" t="str">
        <f t="shared" si="41"/>
        <v/>
      </c>
      <c r="AB200" s="3" t="str">
        <f t="shared" si="32"/>
        <v/>
      </c>
      <c r="AC200" s="3" t="str">
        <f t="shared" si="33"/>
        <v/>
      </c>
      <c r="AD200" s="3" t="str">
        <f t="shared" si="34"/>
        <v/>
      </c>
      <c r="AE200" s="3" t="str">
        <f t="shared" si="35"/>
        <v/>
      </c>
      <c r="AF200" s="3" t="str">
        <f t="shared" si="36"/>
        <v/>
      </c>
      <c r="AG200" s="3" t="str">
        <f t="shared" si="37"/>
        <v/>
      </c>
      <c r="AH200" s="3" t="str">
        <f t="shared" si="38"/>
        <v/>
      </c>
      <c r="AI200" s="3" t="str">
        <f t="shared" si="39"/>
        <v/>
      </c>
      <c r="AJ200" s="3" t="str">
        <f t="shared" si="40"/>
        <v/>
      </c>
      <c r="AK200" s="3" t="str">
        <f>IF(V200=0,"",_xlfn.CONCAT(DADOS!$A$8,X200:AJ200,"
"))</f>
        <v/>
      </c>
    </row>
    <row r="201" spans="5:37" ht="15" customHeight="1" x14ac:dyDescent="0.25">
      <c r="E201" s="22"/>
      <c r="F201" s="22"/>
      <c r="G201" s="12"/>
      <c r="H201" s="22"/>
      <c r="I201" s="13"/>
      <c r="J201" s="14"/>
      <c r="K201" s="12"/>
      <c r="L201" s="15"/>
      <c r="M201" s="16"/>
      <c r="N201" s="15"/>
      <c r="O201" s="16"/>
      <c r="P201" s="17"/>
      <c r="Q201" s="15"/>
      <c r="R201" s="18"/>
      <c r="S201" s="20">
        <v>187</v>
      </c>
      <c r="V201" s="3">
        <f t="shared" si="28"/>
        <v>0</v>
      </c>
      <c r="X201" s="3" t="str">
        <f t="shared" si="29"/>
        <v/>
      </c>
      <c r="Y201" s="3" t="str">
        <f t="shared" si="30"/>
        <v/>
      </c>
      <c r="Z201" s="3" t="str">
        <f t="shared" si="31"/>
        <v/>
      </c>
      <c r="AA201" s="3" t="str">
        <f t="shared" si="41"/>
        <v/>
      </c>
      <c r="AB201" s="3" t="str">
        <f t="shared" si="32"/>
        <v/>
      </c>
      <c r="AC201" s="3" t="str">
        <f t="shared" si="33"/>
        <v/>
      </c>
      <c r="AD201" s="3" t="str">
        <f t="shared" si="34"/>
        <v/>
      </c>
      <c r="AE201" s="3" t="str">
        <f t="shared" si="35"/>
        <v/>
      </c>
      <c r="AF201" s="3" t="str">
        <f t="shared" si="36"/>
        <v/>
      </c>
      <c r="AG201" s="3" t="str">
        <f t="shared" si="37"/>
        <v/>
      </c>
      <c r="AH201" s="3" t="str">
        <f t="shared" si="38"/>
        <v/>
      </c>
      <c r="AI201" s="3" t="str">
        <f t="shared" si="39"/>
        <v/>
      </c>
      <c r="AJ201" s="3" t="str">
        <f t="shared" si="40"/>
        <v/>
      </c>
      <c r="AK201" s="3" t="str">
        <f>IF(V201=0,"",_xlfn.CONCAT(DADOS!$A$8,X201:AJ201,"
"))</f>
        <v/>
      </c>
    </row>
    <row r="202" spans="5:37" ht="15" customHeight="1" x14ac:dyDescent="0.25">
      <c r="E202" s="22"/>
      <c r="F202" s="22"/>
      <c r="G202" s="12"/>
      <c r="H202" s="22"/>
      <c r="I202" s="13"/>
      <c r="J202" s="14"/>
      <c r="K202" s="12"/>
      <c r="L202" s="15"/>
      <c r="M202" s="16"/>
      <c r="N202" s="15"/>
      <c r="O202" s="16"/>
      <c r="P202" s="17"/>
      <c r="Q202" s="15"/>
      <c r="R202" s="18"/>
      <c r="S202" s="20">
        <v>188</v>
      </c>
      <c r="V202" s="3">
        <f t="shared" si="28"/>
        <v>0</v>
      </c>
      <c r="X202" s="3" t="str">
        <f t="shared" si="29"/>
        <v/>
      </c>
      <c r="Y202" s="3" t="str">
        <f t="shared" si="30"/>
        <v/>
      </c>
      <c r="Z202" s="3" t="str">
        <f t="shared" si="31"/>
        <v/>
      </c>
      <c r="AA202" s="3" t="str">
        <f t="shared" si="41"/>
        <v/>
      </c>
      <c r="AB202" s="3" t="str">
        <f t="shared" si="32"/>
        <v/>
      </c>
      <c r="AC202" s="3" t="str">
        <f t="shared" si="33"/>
        <v/>
      </c>
      <c r="AD202" s="3" t="str">
        <f t="shared" si="34"/>
        <v/>
      </c>
      <c r="AE202" s="3" t="str">
        <f t="shared" si="35"/>
        <v/>
      </c>
      <c r="AF202" s="3" t="str">
        <f t="shared" si="36"/>
        <v/>
      </c>
      <c r="AG202" s="3" t="str">
        <f t="shared" si="37"/>
        <v/>
      </c>
      <c r="AH202" s="3" t="str">
        <f t="shared" si="38"/>
        <v/>
      </c>
      <c r="AI202" s="3" t="str">
        <f t="shared" si="39"/>
        <v/>
      </c>
      <c r="AJ202" s="3" t="str">
        <f t="shared" si="40"/>
        <v/>
      </c>
      <c r="AK202" s="3" t="str">
        <f>IF(V202=0,"",_xlfn.CONCAT(DADOS!$A$8,X202:AJ202,"
"))</f>
        <v/>
      </c>
    </row>
    <row r="203" spans="5:37" ht="15" customHeight="1" x14ac:dyDescent="0.25">
      <c r="E203" s="22"/>
      <c r="F203" s="22"/>
      <c r="G203" s="12"/>
      <c r="H203" s="22"/>
      <c r="I203" s="13"/>
      <c r="J203" s="14"/>
      <c r="K203" s="12"/>
      <c r="L203" s="15"/>
      <c r="M203" s="16"/>
      <c r="N203" s="15"/>
      <c r="O203" s="16"/>
      <c r="P203" s="17"/>
      <c r="Q203" s="15"/>
      <c r="R203" s="18"/>
      <c r="S203" s="20">
        <v>189</v>
      </c>
      <c r="V203" s="3">
        <f t="shared" si="28"/>
        <v>0</v>
      </c>
      <c r="X203" s="3" t="str">
        <f t="shared" si="29"/>
        <v/>
      </c>
      <c r="Y203" s="3" t="str">
        <f t="shared" si="30"/>
        <v/>
      </c>
      <c r="Z203" s="3" t="str">
        <f t="shared" si="31"/>
        <v/>
      </c>
      <c r="AA203" s="3" t="str">
        <f t="shared" si="41"/>
        <v/>
      </c>
      <c r="AB203" s="3" t="str">
        <f t="shared" si="32"/>
        <v/>
      </c>
      <c r="AC203" s="3" t="str">
        <f t="shared" si="33"/>
        <v/>
      </c>
      <c r="AD203" s="3" t="str">
        <f t="shared" si="34"/>
        <v/>
      </c>
      <c r="AE203" s="3" t="str">
        <f t="shared" si="35"/>
        <v/>
      </c>
      <c r="AF203" s="3" t="str">
        <f t="shared" si="36"/>
        <v/>
      </c>
      <c r="AG203" s="3" t="str">
        <f t="shared" si="37"/>
        <v/>
      </c>
      <c r="AH203" s="3" t="str">
        <f t="shared" si="38"/>
        <v/>
      </c>
      <c r="AI203" s="3" t="str">
        <f t="shared" si="39"/>
        <v/>
      </c>
      <c r="AJ203" s="3" t="str">
        <f t="shared" si="40"/>
        <v/>
      </c>
      <c r="AK203" s="3" t="str">
        <f>IF(V203=0,"",_xlfn.CONCAT(DADOS!$A$8,X203:AJ203,"
"))</f>
        <v/>
      </c>
    </row>
    <row r="204" spans="5:37" ht="15" customHeight="1" x14ac:dyDescent="0.25">
      <c r="E204" s="22"/>
      <c r="F204" s="22"/>
      <c r="G204" s="12"/>
      <c r="H204" s="22"/>
      <c r="I204" s="13"/>
      <c r="J204" s="14"/>
      <c r="K204" s="12"/>
      <c r="L204" s="15"/>
      <c r="M204" s="16"/>
      <c r="N204" s="15"/>
      <c r="O204" s="16"/>
      <c r="P204" s="17"/>
      <c r="Q204" s="15"/>
      <c r="R204" s="18"/>
      <c r="S204" s="20">
        <v>190</v>
      </c>
      <c r="V204" s="3">
        <f t="shared" si="28"/>
        <v>0</v>
      </c>
      <c r="X204" s="3" t="str">
        <f t="shared" si="29"/>
        <v/>
      </c>
      <c r="Y204" s="3" t="str">
        <f t="shared" si="30"/>
        <v/>
      </c>
      <c r="Z204" s="3" t="str">
        <f t="shared" si="31"/>
        <v/>
      </c>
      <c r="AA204" s="3" t="str">
        <f t="shared" si="41"/>
        <v/>
      </c>
      <c r="AB204" s="3" t="str">
        <f t="shared" si="32"/>
        <v/>
      </c>
      <c r="AC204" s="3" t="str">
        <f t="shared" si="33"/>
        <v/>
      </c>
      <c r="AD204" s="3" t="str">
        <f t="shared" si="34"/>
        <v/>
      </c>
      <c r="AE204" s="3" t="str">
        <f t="shared" si="35"/>
        <v/>
      </c>
      <c r="AF204" s="3" t="str">
        <f t="shared" si="36"/>
        <v/>
      </c>
      <c r="AG204" s="3" t="str">
        <f t="shared" si="37"/>
        <v/>
      </c>
      <c r="AH204" s="3" t="str">
        <f t="shared" si="38"/>
        <v/>
      </c>
      <c r="AI204" s="3" t="str">
        <f t="shared" si="39"/>
        <v/>
      </c>
      <c r="AJ204" s="3" t="str">
        <f t="shared" si="40"/>
        <v/>
      </c>
      <c r="AK204" s="3" t="str">
        <f>IF(V204=0,"",_xlfn.CONCAT(DADOS!$A$8,X204:AJ204,"
"))</f>
        <v/>
      </c>
    </row>
    <row r="205" spans="5:37" ht="15" customHeight="1" x14ac:dyDescent="0.25">
      <c r="E205" s="22"/>
      <c r="F205" s="22"/>
      <c r="G205" s="12"/>
      <c r="H205" s="22"/>
      <c r="I205" s="13"/>
      <c r="J205" s="14"/>
      <c r="K205" s="12"/>
      <c r="L205" s="15"/>
      <c r="M205" s="16"/>
      <c r="N205" s="15"/>
      <c r="O205" s="16"/>
      <c r="P205" s="17"/>
      <c r="Q205" s="15"/>
      <c r="R205" s="18"/>
      <c r="S205" s="20">
        <v>191</v>
      </c>
      <c r="V205" s="3">
        <f t="shared" si="28"/>
        <v>0</v>
      </c>
      <c r="X205" s="3" t="str">
        <f t="shared" si="29"/>
        <v/>
      </c>
      <c r="Y205" s="3" t="str">
        <f t="shared" si="30"/>
        <v/>
      </c>
      <c r="Z205" s="3" t="str">
        <f t="shared" si="31"/>
        <v/>
      </c>
      <c r="AA205" s="3" t="str">
        <f t="shared" si="41"/>
        <v/>
      </c>
      <c r="AB205" s="3" t="str">
        <f t="shared" si="32"/>
        <v/>
      </c>
      <c r="AC205" s="3" t="str">
        <f t="shared" si="33"/>
        <v/>
      </c>
      <c r="AD205" s="3" t="str">
        <f t="shared" si="34"/>
        <v/>
      </c>
      <c r="AE205" s="3" t="str">
        <f t="shared" si="35"/>
        <v/>
      </c>
      <c r="AF205" s="3" t="str">
        <f t="shared" si="36"/>
        <v/>
      </c>
      <c r="AG205" s="3" t="str">
        <f t="shared" si="37"/>
        <v/>
      </c>
      <c r="AH205" s="3" t="str">
        <f t="shared" si="38"/>
        <v/>
      </c>
      <c r="AI205" s="3" t="str">
        <f t="shared" si="39"/>
        <v/>
      </c>
      <c r="AJ205" s="3" t="str">
        <f t="shared" si="40"/>
        <v/>
      </c>
      <c r="AK205" s="3" t="str">
        <f>IF(V205=0,"",_xlfn.CONCAT(DADOS!$A$8,X205:AJ205,"
"))</f>
        <v/>
      </c>
    </row>
    <row r="206" spans="5:37" ht="15" customHeight="1" x14ac:dyDescent="0.25">
      <c r="E206" s="22"/>
      <c r="F206" s="22"/>
      <c r="G206" s="12"/>
      <c r="H206" s="22"/>
      <c r="I206" s="13"/>
      <c r="J206" s="14"/>
      <c r="K206" s="12"/>
      <c r="L206" s="15"/>
      <c r="M206" s="16"/>
      <c r="N206" s="15"/>
      <c r="O206" s="16"/>
      <c r="P206" s="17"/>
      <c r="Q206" s="15"/>
      <c r="R206" s="18"/>
      <c r="S206" s="20">
        <v>192</v>
      </c>
      <c r="V206" s="3">
        <f t="shared" si="28"/>
        <v>0</v>
      </c>
      <c r="X206" s="3" t="str">
        <f t="shared" si="29"/>
        <v/>
      </c>
      <c r="Y206" s="3" t="str">
        <f t="shared" si="30"/>
        <v/>
      </c>
      <c r="Z206" s="3" t="str">
        <f t="shared" si="31"/>
        <v/>
      </c>
      <c r="AA206" s="3" t="str">
        <f t="shared" si="41"/>
        <v/>
      </c>
      <c r="AB206" s="3" t="str">
        <f t="shared" si="32"/>
        <v/>
      </c>
      <c r="AC206" s="3" t="str">
        <f t="shared" si="33"/>
        <v/>
      </c>
      <c r="AD206" s="3" t="str">
        <f t="shared" si="34"/>
        <v/>
      </c>
      <c r="AE206" s="3" t="str">
        <f t="shared" si="35"/>
        <v/>
      </c>
      <c r="AF206" s="3" t="str">
        <f t="shared" si="36"/>
        <v/>
      </c>
      <c r="AG206" s="3" t="str">
        <f t="shared" si="37"/>
        <v/>
      </c>
      <c r="AH206" s="3" t="str">
        <f t="shared" si="38"/>
        <v/>
      </c>
      <c r="AI206" s="3" t="str">
        <f t="shared" si="39"/>
        <v/>
      </c>
      <c r="AJ206" s="3" t="str">
        <f t="shared" si="40"/>
        <v/>
      </c>
      <c r="AK206" s="3" t="str">
        <f>IF(V206=0,"",_xlfn.CONCAT(DADOS!$A$8,X206:AJ206,"
"))</f>
        <v/>
      </c>
    </row>
    <row r="207" spans="5:37" ht="15" customHeight="1" x14ac:dyDescent="0.25">
      <c r="E207" s="22"/>
      <c r="F207" s="22"/>
      <c r="G207" s="12"/>
      <c r="H207" s="22"/>
      <c r="I207" s="13"/>
      <c r="J207" s="14"/>
      <c r="K207" s="12"/>
      <c r="L207" s="15"/>
      <c r="M207" s="16"/>
      <c r="N207" s="15"/>
      <c r="O207" s="16"/>
      <c r="P207" s="17"/>
      <c r="Q207" s="15"/>
      <c r="R207" s="18"/>
      <c r="S207" s="20">
        <v>193</v>
      </c>
      <c r="V207" s="3">
        <f t="shared" ref="V207:V270" si="42">IF(E207="",0,1)</f>
        <v>0</v>
      </c>
      <c r="X207" s="3" t="str">
        <f t="shared" ref="X207:X270" si="43">_xlfn.CONCAT(E207,IF(LEN(E207)=1,"  ",IF(LEN(E207)=2," ","")))</f>
        <v/>
      </c>
      <c r="Y207" s="3" t="str">
        <f t="shared" ref="Y207:Y270" si="44">_xlfn.CONCAT(F207,IF(LEN(F207)=1,"  ",IF(LEN(F207)=2," ","")))</f>
        <v/>
      </c>
      <c r="Z207" s="3" t="str">
        <f t="shared" ref="Z207:Z270" si="45">IF(V207=0,"",G207)</f>
        <v/>
      </c>
      <c r="AA207" s="3" t="str">
        <f t="shared" si="41"/>
        <v/>
      </c>
      <c r="AB207" s="3" t="str">
        <f t="shared" ref="AB207:AB270" si="46">IF(V207=0,"",IF(LEN(I207)=1,_xlfn.CONCAT(0,I207),I207))</f>
        <v/>
      </c>
      <c r="AC207" s="3" t="str">
        <f t="shared" ref="AC207:AC270" si="47">IF(I207=20,"",(IF(I207=8,IF(LEN(J207)=1,_xlfn.CONCAT("00",J207),IF(LEN(J207)=2,_xlfn.CONCAT("0",J207),J207)),"")))</f>
        <v/>
      </c>
      <c r="AD207" s="3" t="str">
        <f t="shared" ref="AD207:AD270" si="48">IF(I207=20,"",IF(I207=8,IF(LEN(K207)=1,_xlfn.CONCAT(0,K207),K207),""))</f>
        <v/>
      </c>
      <c r="AE207" s="3" t="str">
        <f t="shared" ref="AE207:AE270" si="49">IF(I207=8,L207,"")</f>
        <v/>
      </c>
      <c r="AF207" s="3" t="str">
        <f t="shared" ref="AF207:AF270" si="50">IF(V207=0,"",IF($I207=20,"",IF(LEN(M207)=1,_xlfn.CONCAT("00",M207),IF(LEN(M207)=2,_xlfn.CONCAT("0",M207),M207))))</f>
        <v/>
      </c>
      <c r="AG207" s="3" t="str">
        <f t="shared" ref="AG207:AG270" si="51">IF(V207=0,"",IF($I207=20,"",IF(LEN(N207)=1,_xlfn.CONCAT(0,N207),N207)))</f>
        <v/>
      </c>
      <c r="AH207" s="3" t="str">
        <f t="shared" ref="AH207:AH270" si="52">IF(V207=0,"",IF($I207=20,"",IF(LEN(P207)=3,_xlfn.CONCAT("00",P207),_xlfn.CONCAT("0",P207))))</f>
        <v/>
      </c>
      <c r="AI207" s="3" t="str">
        <f t="shared" ref="AI207:AI270" si="53">IF(V207=0,"",IF(I207=20,"",_xlfn.CONCAT(R207,"0",$AJ$14)))</f>
        <v/>
      </c>
      <c r="AJ207" s="3" t="str">
        <f t="shared" ref="AJ207:AJ270" si="54">IF(V207=0,"",IF(LEN(R207)&lt;4,$AJ$14,""))</f>
        <v/>
      </c>
      <c r="AK207" s="3" t="str">
        <f>IF(V207=0,"",_xlfn.CONCAT(DADOS!$A$8,X207:AJ207,"
"))</f>
        <v/>
      </c>
    </row>
    <row r="208" spans="5:37" ht="15" customHeight="1" x14ac:dyDescent="0.25">
      <c r="E208" s="22"/>
      <c r="F208" s="22"/>
      <c r="G208" s="12"/>
      <c r="H208" s="22"/>
      <c r="I208" s="13"/>
      <c r="J208" s="14"/>
      <c r="K208" s="12"/>
      <c r="L208" s="15"/>
      <c r="M208" s="16"/>
      <c r="N208" s="15"/>
      <c r="O208" s="16"/>
      <c r="P208" s="17"/>
      <c r="Q208" s="15"/>
      <c r="R208" s="18"/>
      <c r="S208" s="20">
        <v>194</v>
      </c>
      <c r="V208" s="3">
        <f t="shared" si="42"/>
        <v>0</v>
      </c>
      <c r="X208" s="3" t="str">
        <f t="shared" si="43"/>
        <v/>
      </c>
      <c r="Y208" s="3" t="str">
        <f t="shared" si="44"/>
        <v/>
      </c>
      <c r="Z208" s="3" t="str">
        <f t="shared" si="45"/>
        <v/>
      </c>
      <c r="AA208" s="3" t="str">
        <f t="shared" ref="AA208:AA271" si="55">IF(OR(G208=0,G208=4),"",H208)</f>
        <v/>
      </c>
      <c r="AB208" s="3" t="str">
        <f t="shared" si="46"/>
        <v/>
      </c>
      <c r="AC208" s="3" t="str">
        <f t="shared" si="47"/>
        <v/>
      </c>
      <c r="AD208" s="3" t="str">
        <f t="shared" si="48"/>
        <v/>
      </c>
      <c r="AE208" s="3" t="str">
        <f t="shared" si="49"/>
        <v/>
      </c>
      <c r="AF208" s="3" t="str">
        <f t="shared" si="50"/>
        <v/>
      </c>
      <c r="AG208" s="3" t="str">
        <f t="shared" si="51"/>
        <v/>
      </c>
      <c r="AH208" s="3" t="str">
        <f t="shared" si="52"/>
        <v/>
      </c>
      <c r="AI208" s="3" t="str">
        <f t="shared" si="53"/>
        <v/>
      </c>
      <c r="AJ208" s="3" t="str">
        <f t="shared" si="54"/>
        <v/>
      </c>
      <c r="AK208" s="3" t="str">
        <f>IF(V208=0,"",_xlfn.CONCAT(DADOS!$A$8,X208:AJ208,"
"))</f>
        <v/>
      </c>
    </row>
    <row r="209" spans="5:37" ht="15" customHeight="1" x14ac:dyDescent="0.25">
      <c r="E209" s="22"/>
      <c r="F209" s="22"/>
      <c r="G209" s="12"/>
      <c r="H209" s="22"/>
      <c r="I209" s="13"/>
      <c r="J209" s="14"/>
      <c r="K209" s="12"/>
      <c r="L209" s="15"/>
      <c r="M209" s="16"/>
      <c r="N209" s="15"/>
      <c r="O209" s="16"/>
      <c r="P209" s="17"/>
      <c r="Q209" s="15"/>
      <c r="R209" s="18"/>
      <c r="S209" s="20">
        <v>195</v>
      </c>
      <c r="V209" s="3">
        <f t="shared" si="42"/>
        <v>0</v>
      </c>
      <c r="X209" s="3" t="str">
        <f t="shared" si="43"/>
        <v/>
      </c>
      <c r="Y209" s="3" t="str">
        <f t="shared" si="44"/>
        <v/>
      </c>
      <c r="Z209" s="3" t="str">
        <f t="shared" si="45"/>
        <v/>
      </c>
      <c r="AA209" s="3" t="str">
        <f t="shared" si="55"/>
        <v/>
      </c>
      <c r="AB209" s="3" t="str">
        <f t="shared" si="46"/>
        <v/>
      </c>
      <c r="AC209" s="3" t="str">
        <f t="shared" si="47"/>
        <v/>
      </c>
      <c r="AD209" s="3" t="str">
        <f t="shared" si="48"/>
        <v/>
      </c>
      <c r="AE209" s="3" t="str">
        <f t="shared" si="49"/>
        <v/>
      </c>
      <c r="AF209" s="3" t="str">
        <f t="shared" si="50"/>
        <v/>
      </c>
      <c r="AG209" s="3" t="str">
        <f t="shared" si="51"/>
        <v/>
      </c>
      <c r="AH209" s="3" t="str">
        <f t="shared" si="52"/>
        <v/>
      </c>
      <c r="AI209" s="3" t="str">
        <f t="shared" si="53"/>
        <v/>
      </c>
      <c r="AJ209" s="3" t="str">
        <f t="shared" si="54"/>
        <v/>
      </c>
      <c r="AK209" s="3" t="str">
        <f>IF(V209=0,"",_xlfn.CONCAT(DADOS!$A$8,X209:AJ209,"
"))</f>
        <v/>
      </c>
    </row>
    <row r="210" spans="5:37" ht="15" customHeight="1" x14ac:dyDescent="0.25">
      <c r="E210" s="22"/>
      <c r="F210" s="22"/>
      <c r="G210" s="12"/>
      <c r="H210" s="22"/>
      <c r="I210" s="13"/>
      <c r="J210" s="14"/>
      <c r="K210" s="12"/>
      <c r="L210" s="15"/>
      <c r="M210" s="16"/>
      <c r="N210" s="15"/>
      <c r="O210" s="16"/>
      <c r="P210" s="17"/>
      <c r="Q210" s="15"/>
      <c r="R210" s="18"/>
      <c r="S210" s="20">
        <v>196</v>
      </c>
      <c r="V210" s="3">
        <f t="shared" si="42"/>
        <v>0</v>
      </c>
      <c r="X210" s="3" t="str">
        <f t="shared" si="43"/>
        <v/>
      </c>
      <c r="Y210" s="3" t="str">
        <f t="shared" si="44"/>
        <v/>
      </c>
      <c r="Z210" s="3" t="str">
        <f t="shared" si="45"/>
        <v/>
      </c>
      <c r="AA210" s="3" t="str">
        <f t="shared" si="55"/>
        <v/>
      </c>
      <c r="AB210" s="3" t="str">
        <f t="shared" si="46"/>
        <v/>
      </c>
      <c r="AC210" s="3" t="str">
        <f t="shared" si="47"/>
        <v/>
      </c>
      <c r="AD210" s="3" t="str">
        <f t="shared" si="48"/>
        <v/>
      </c>
      <c r="AE210" s="3" t="str">
        <f t="shared" si="49"/>
        <v/>
      </c>
      <c r="AF210" s="3" t="str">
        <f t="shared" si="50"/>
        <v/>
      </c>
      <c r="AG210" s="3" t="str">
        <f t="shared" si="51"/>
        <v/>
      </c>
      <c r="AH210" s="3" t="str">
        <f t="shared" si="52"/>
        <v/>
      </c>
      <c r="AI210" s="3" t="str">
        <f t="shared" si="53"/>
        <v/>
      </c>
      <c r="AJ210" s="3" t="str">
        <f t="shared" si="54"/>
        <v/>
      </c>
      <c r="AK210" s="3" t="str">
        <f>IF(V210=0,"",_xlfn.CONCAT(DADOS!$A$8,X210:AJ210,"
"))</f>
        <v/>
      </c>
    </row>
    <row r="211" spans="5:37" ht="15" customHeight="1" x14ac:dyDescent="0.25">
      <c r="E211" s="22"/>
      <c r="F211" s="22"/>
      <c r="G211" s="12"/>
      <c r="H211" s="22"/>
      <c r="I211" s="13"/>
      <c r="J211" s="14"/>
      <c r="K211" s="12"/>
      <c r="L211" s="15"/>
      <c r="M211" s="16"/>
      <c r="N211" s="15"/>
      <c r="O211" s="16"/>
      <c r="P211" s="17"/>
      <c r="Q211" s="15"/>
      <c r="R211" s="18"/>
      <c r="S211" s="20">
        <v>197</v>
      </c>
      <c r="V211" s="3">
        <f t="shared" si="42"/>
        <v>0</v>
      </c>
      <c r="X211" s="3" t="str">
        <f t="shared" si="43"/>
        <v/>
      </c>
      <c r="Y211" s="3" t="str">
        <f t="shared" si="44"/>
        <v/>
      </c>
      <c r="Z211" s="3" t="str">
        <f t="shared" si="45"/>
        <v/>
      </c>
      <c r="AA211" s="3" t="str">
        <f t="shared" si="55"/>
        <v/>
      </c>
      <c r="AB211" s="3" t="str">
        <f t="shared" si="46"/>
        <v/>
      </c>
      <c r="AC211" s="3" t="str">
        <f t="shared" si="47"/>
        <v/>
      </c>
      <c r="AD211" s="3" t="str">
        <f t="shared" si="48"/>
        <v/>
      </c>
      <c r="AE211" s="3" t="str">
        <f t="shared" si="49"/>
        <v/>
      </c>
      <c r="AF211" s="3" t="str">
        <f t="shared" si="50"/>
        <v/>
      </c>
      <c r="AG211" s="3" t="str">
        <f t="shared" si="51"/>
        <v/>
      </c>
      <c r="AH211" s="3" t="str">
        <f t="shared" si="52"/>
        <v/>
      </c>
      <c r="AI211" s="3" t="str">
        <f t="shared" si="53"/>
        <v/>
      </c>
      <c r="AJ211" s="3" t="str">
        <f t="shared" si="54"/>
        <v/>
      </c>
      <c r="AK211" s="3" t="str">
        <f>IF(V211=0,"",_xlfn.CONCAT(DADOS!$A$8,X211:AJ211,"
"))</f>
        <v/>
      </c>
    </row>
    <row r="212" spans="5:37" ht="15" customHeight="1" x14ac:dyDescent="0.25">
      <c r="E212" s="22"/>
      <c r="F212" s="22"/>
      <c r="G212" s="12"/>
      <c r="H212" s="22"/>
      <c r="I212" s="13"/>
      <c r="J212" s="14"/>
      <c r="K212" s="12"/>
      <c r="L212" s="15"/>
      <c r="M212" s="16"/>
      <c r="N212" s="15"/>
      <c r="O212" s="16"/>
      <c r="P212" s="17"/>
      <c r="Q212" s="15"/>
      <c r="R212" s="18"/>
      <c r="S212" s="20">
        <v>198</v>
      </c>
      <c r="V212" s="3">
        <f t="shared" si="42"/>
        <v>0</v>
      </c>
      <c r="X212" s="3" t="str">
        <f t="shared" si="43"/>
        <v/>
      </c>
      <c r="Y212" s="3" t="str">
        <f t="shared" si="44"/>
        <v/>
      </c>
      <c r="Z212" s="3" t="str">
        <f t="shared" si="45"/>
        <v/>
      </c>
      <c r="AA212" s="3" t="str">
        <f t="shared" si="55"/>
        <v/>
      </c>
      <c r="AB212" s="3" t="str">
        <f t="shared" si="46"/>
        <v/>
      </c>
      <c r="AC212" s="3" t="str">
        <f t="shared" si="47"/>
        <v/>
      </c>
      <c r="AD212" s="3" t="str">
        <f t="shared" si="48"/>
        <v/>
      </c>
      <c r="AE212" s="3" t="str">
        <f t="shared" si="49"/>
        <v/>
      </c>
      <c r="AF212" s="3" t="str">
        <f t="shared" si="50"/>
        <v/>
      </c>
      <c r="AG212" s="3" t="str">
        <f t="shared" si="51"/>
        <v/>
      </c>
      <c r="AH212" s="3" t="str">
        <f t="shared" si="52"/>
        <v/>
      </c>
      <c r="AI212" s="3" t="str">
        <f t="shared" si="53"/>
        <v/>
      </c>
      <c r="AJ212" s="3" t="str">
        <f t="shared" si="54"/>
        <v/>
      </c>
      <c r="AK212" s="3" t="str">
        <f>IF(V212=0,"",_xlfn.CONCAT(DADOS!$A$8,X212:AJ212,"
"))</f>
        <v/>
      </c>
    </row>
    <row r="213" spans="5:37" ht="15" customHeight="1" x14ac:dyDescent="0.25">
      <c r="E213" s="22"/>
      <c r="F213" s="22"/>
      <c r="G213" s="12"/>
      <c r="H213" s="22"/>
      <c r="I213" s="13"/>
      <c r="J213" s="14"/>
      <c r="K213" s="12"/>
      <c r="L213" s="15"/>
      <c r="M213" s="16"/>
      <c r="N213" s="15"/>
      <c r="O213" s="16"/>
      <c r="P213" s="17"/>
      <c r="Q213" s="15"/>
      <c r="R213" s="18"/>
      <c r="S213" s="20">
        <v>199</v>
      </c>
      <c r="V213" s="3">
        <f t="shared" si="42"/>
        <v>0</v>
      </c>
      <c r="X213" s="3" t="str">
        <f t="shared" si="43"/>
        <v/>
      </c>
      <c r="Y213" s="3" t="str">
        <f t="shared" si="44"/>
        <v/>
      </c>
      <c r="Z213" s="3" t="str">
        <f t="shared" si="45"/>
        <v/>
      </c>
      <c r="AA213" s="3" t="str">
        <f t="shared" si="55"/>
        <v/>
      </c>
      <c r="AB213" s="3" t="str">
        <f t="shared" si="46"/>
        <v/>
      </c>
      <c r="AC213" s="3" t="str">
        <f t="shared" si="47"/>
        <v/>
      </c>
      <c r="AD213" s="3" t="str">
        <f t="shared" si="48"/>
        <v/>
      </c>
      <c r="AE213" s="3" t="str">
        <f t="shared" si="49"/>
        <v/>
      </c>
      <c r="AF213" s="3" t="str">
        <f t="shared" si="50"/>
        <v/>
      </c>
      <c r="AG213" s="3" t="str">
        <f t="shared" si="51"/>
        <v/>
      </c>
      <c r="AH213" s="3" t="str">
        <f t="shared" si="52"/>
        <v/>
      </c>
      <c r="AI213" s="3" t="str">
        <f t="shared" si="53"/>
        <v/>
      </c>
      <c r="AJ213" s="3" t="str">
        <f t="shared" si="54"/>
        <v/>
      </c>
      <c r="AK213" s="3" t="str">
        <f>IF(V213=0,"",_xlfn.CONCAT(DADOS!$A$8,X213:AJ213,"
"))</f>
        <v/>
      </c>
    </row>
    <row r="214" spans="5:37" ht="15" customHeight="1" x14ac:dyDescent="0.25">
      <c r="E214" s="22"/>
      <c r="F214" s="22"/>
      <c r="G214" s="12"/>
      <c r="H214" s="22"/>
      <c r="I214" s="13"/>
      <c r="J214" s="14"/>
      <c r="K214" s="12"/>
      <c r="L214" s="15"/>
      <c r="M214" s="16"/>
      <c r="N214" s="15"/>
      <c r="O214" s="16"/>
      <c r="P214" s="17"/>
      <c r="Q214" s="15"/>
      <c r="R214" s="18"/>
      <c r="S214" s="20">
        <v>200</v>
      </c>
      <c r="V214" s="3">
        <f t="shared" si="42"/>
        <v>0</v>
      </c>
      <c r="X214" s="3" t="str">
        <f t="shared" si="43"/>
        <v/>
      </c>
      <c r="Y214" s="3" t="str">
        <f t="shared" si="44"/>
        <v/>
      </c>
      <c r="Z214" s="3" t="str">
        <f t="shared" si="45"/>
        <v/>
      </c>
      <c r="AA214" s="3" t="str">
        <f t="shared" si="55"/>
        <v/>
      </c>
      <c r="AB214" s="3" t="str">
        <f t="shared" si="46"/>
        <v/>
      </c>
      <c r="AC214" s="3" t="str">
        <f t="shared" si="47"/>
        <v/>
      </c>
      <c r="AD214" s="3" t="str">
        <f t="shared" si="48"/>
        <v/>
      </c>
      <c r="AE214" s="3" t="str">
        <f t="shared" si="49"/>
        <v/>
      </c>
      <c r="AF214" s="3" t="str">
        <f t="shared" si="50"/>
        <v/>
      </c>
      <c r="AG214" s="3" t="str">
        <f t="shared" si="51"/>
        <v/>
      </c>
      <c r="AH214" s="3" t="str">
        <f t="shared" si="52"/>
        <v/>
      </c>
      <c r="AI214" s="3" t="str">
        <f t="shared" si="53"/>
        <v/>
      </c>
      <c r="AJ214" s="3" t="str">
        <f t="shared" si="54"/>
        <v/>
      </c>
      <c r="AK214" s="3" t="str">
        <f>IF(V214=0,"",_xlfn.CONCAT(DADOS!$A$8,X214:AJ214,"
"))</f>
        <v/>
      </c>
    </row>
    <row r="215" spans="5:37" ht="15" customHeight="1" x14ac:dyDescent="0.25">
      <c r="E215" s="22"/>
      <c r="F215" s="22"/>
      <c r="G215" s="12"/>
      <c r="H215" s="22"/>
      <c r="I215" s="13"/>
      <c r="J215" s="14"/>
      <c r="K215" s="12"/>
      <c r="L215" s="15"/>
      <c r="M215" s="16"/>
      <c r="N215" s="15"/>
      <c r="O215" s="16"/>
      <c r="P215" s="17"/>
      <c r="Q215" s="15"/>
      <c r="R215" s="18"/>
      <c r="S215" s="20">
        <v>201</v>
      </c>
      <c r="V215" s="3">
        <f t="shared" si="42"/>
        <v>0</v>
      </c>
      <c r="X215" s="3" t="str">
        <f t="shared" si="43"/>
        <v/>
      </c>
      <c r="Y215" s="3" t="str">
        <f t="shared" si="44"/>
        <v/>
      </c>
      <c r="Z215" s="3" t="str">
        <f t="shared" si="45"/>
        <v/>
      </c>
      <c r="AA215" s="3" t="str">
        <f t="shared" si="55"/>
        <v/>
      </c>
      <c r="AB215" s="3" t="str">
        <f t="shared" si="46"/>
        <v/>
      </c>
      <c r="AC215" s="3" t="str">
        <f t="shared" si="47"/>
        <v/>
      </c>
      <c r="AD215" s="3" t="str">
        <f t="shared" si="48"/>
        <v/>
      </c>
      <c r="AE215" s="3" t="str">
        <f t="shared" si="49"/>
        <v/>
      </c>
      <c r="AF215" s="3" t="str">
        <f t="shared" si="50"/>
        <v/>
      </c>
      <c r="AG215" s="3" t="str">
        <f t="shared" si="51"/>
        <v/>
      </c>
      <c r="AH215" s="3" t="str">
        <f t="shared" si="52"/>
        <v/>
      </c>
      <c r="AI215" s="3" t="str">
        <f t="shared" si="53"/>
        <v/>
      </c>
      <c r="AJ215" s="3" t="str">
        <f t="shared" si="54"/>
        <v/>
      </c>
      <c r="AK215" s="3" t="str">
        <f>IF(V215=0,"",_xlfn.CONCAT(DADOS!$A$8,X215:AJ215,"
"))</f>
        <v/>
      </c>
    </row>
    <row r="216" spans="5:37" ht="15" customHeight="1" x14ac:dyDescent="0.25">
      <c r="E216" s="22"/>
      <c r="F216" s="22"/>
      <c r="G216" s="12"/>
      <c r="H216" s="22"/>
      <c r="I216" s="13"/>
      <c r="J216" s="14"/>
      <c r="K216" s="12"/>
      <c r="L216" s="15"/>
      <c r="M216" s="16"/>
      <c r="N216" s="15"/>
      <c r="O216" s="16"/>
      <c r="P216" s="17"/>
      <c r="Q216" s="15"/>
      <c r="R216" s="18"/>
      <c r="S216" s="20">
        <v>202</v>
      </c>
      <c r="V216" s="3">
        <f t="shared" si="42"/>
        <v>0</v>
      </c>
      <c r="X216" s="3" t="str">
        <f t="shared" si="43"/>
        <v/>
      </c>
      <c r="Y216" s="3" t="str">
        <f t="shared" si="44"/>
        <v/>
      </c>
      <c r="Z216" s="3" t="str">
        <f t="shared" si="45"/>
        <v/>
      </c>
      <c r="AA216" s="3" t="str">
        <f t="shared" si="55"/>
        <v/>
      </c>
      <c r="AB216" s="3" t="str">
        <f t="shared" si="46"/>
        <v/>
      </c>
      <c r="AC216" s="3" t="str">
        <f t="shared" si="47"/>
        <v/>
      </c>
      <c r="AD216" s="3" t="str">
        <f t="shared" si="48"/>
        <v/>
      </c>
      <c r="AE216" s="3" t="str">
        <f t="shared" si="49"/>
        <v/>
      </c>
      <c r="AF216" s="3" t="str">
        <f t="shared" si="50"/>
        <v/>
      </c>
      <c r="AG216" s="3" t="str">
        <f t="shared" si="51"/>
        <v/>
      </c>
      <c r="AH216" s="3" t="str">
        <f t="shared" si="52"/>
        <v/>
      </c>
      <c r="AI216" s="3" t="str">
        <f t="shared" si="53"/>
        <v/>
      </c>
      <c r="AJ216" s="3" t="str">
        <f t="shared" si="54"/>
        <v/>
      </c>
      <c r="AK216" s="3" t="str">
        <f>IF(V216=0,"",_xlfn.CONCAT(DADOS!$A$8,X216:AJ216,"
"))</f>
        <v/>
      </c>
    </row>
    <row r="217" spans="5:37" ht="15" customHeight="1" x14ac:dyDescent="0.25">
      <c r="E217" s="22"/>
      <c r="F217" s="22"/>
      <c r="G217" s="12"/>
      <c r="H217" s="22"/>
      <c r="I217" s="13"/>
      <c r="J217" s="14"/>
      <c r="K217" s="12"/>
      <c r="L217" s="15"/>
      <c r="M217" s="16"/>
      <c r="N217" s="15"/>
      <c r="O217" s="16"/>
      <c r="P217" s="17"/>
      <c r="Q217" s="15"/>
      <c r="R217" s="18"/>
      <c r="S217" s="20">
        <v>203</v>
      </c>
      <c r="V217" s="3">
        <f t="shared" si="42"/>
        <v>0</v>
      </c>
      <c r="X217" s="3" t="str">
        <f t="shared" si="43"/>
        <v/>
      </c>
      <c r="Y217" s="3" t="str">
        <f t="shared" si="44"/>
        <v/>
      </c>
      <c r="Z217" s="3" t="str">
        <f t="shared" si="45"/>
        <v/>
      </c>
      <c r="AA217" s="3" t="str">
        <f t="shared" si="55"/>
        <v/>
      </c>
      <c r="AB217" s="3" t="str">
        <f t="shared" si="46"/>
        <v/>
      </c>
      <c r="AC217" s="3" t="str">
        <f t="shared" si="47"/>
        <v/>
      </c>
      <c r="AD217" s="3" t="str">
        <f t="shared" si="48"/>
        <v/>
      </c>
      <c r="AE217" s="3" t="str">
        <f t="shared" si="49"/>
        <v/>
      </c>
      <c r="AF217" s="3" t="str">
        <f t="shared" si="50"/>
        <v/>
      </c>
      <c r="AG217" s="3" t="str">
        <f t="shared" si="51"/>
        <v/>
      </c>
      <c r="AH217" s="3" t="str">
        <f t="shared" si="52"/>
        <v/>
      </c>
      <c r="AI217" s="3" t="str">
        <f t="shared" si="53"/>
        <v/>
      </c>
      <c r="AJ217" s="3" t="str">
        <f t="shared" si="54"/>
        <v/>
      </c>
      <c r="AK217" s="3" t="str">
        <f>IF(V217=0,"",_xlfn.CONCAT(DADOS!$A$8,X217:AJ217,"
"))</f>
        <v/>
      </c>
    </row>
    <row r="218" spans="5:37" ht="15" customHeight="1" x14ac:dyDescent="0.25">
      <c r="E218" s="22"/>
      <c r="F218" s="22"/>
      <c r="G218" s="12"/>
      <c r="H218" s="22"/>
      <c r="I218" s="13"/>
      <c r="J218" s="14"/>
      <c r="K218" s="12"/>
      <c r="L218" s="15"/>
      <c r="M218" s="16"/>
      <c r="N218" s="15"/>
      <c r="O218" s="16"/>
      <c r="P218" s="17"/>
      <c r="Q218" s="15"/>
      <c r="R218" s="18"/>
      <c r="S218" s="20">
        <v>204</v>
      </c>
      <c r="V218" s="3">
        <f t="shared" si="42"/>
        <v>0</v>
      </c>
      <c r="X218" s="3" t="str">
        <f t="shared" si="43"/>
        <v/>
      </c>
      <c r="Y218" s="3" t="str">
        <f t="shared" si="44"/>
        <v/>
      </c>
      <c r="Z218" s="3" t="str">
        <f t="shared" si="45"/>
        <v/>
      </c>
      <c r="AA218" s="3" t="str">
        <f t="shared" si="55"/>
        <v/>
      </c>
      <c r="AB218" s="3" t="str">
        <f t="shared" si="46"/>
        <v/>
      </c>
      <c r="AC218" s="3" t="str">
        <f t="shared" si="47"/>
        <v/>
      </c>
      <c r="AD218" s="3" t="str">
        <f t="shared" si="48"/>
        <v/>
      </c>
      <c r="AE218" s="3" t="str">
        <f t="shared" si="49"/>
        <v/>
      </c>
      <c r="AF218" s="3" t="str">
        <f t="shared" si="50"/>
        <v/>
      </c>
      <c r="AG218" s="3" t="str">
        <f t="shared" si="51"/>
        <v/>
      </c>
      <c r="AH218" s="3" t="str">
        <f t="shared" si="52"/>
        <v/>
      </c>
      <c r="AI218" s="3" t="str">
        <f t="shared" si="53"/>
        <v/>
      </c>
      <c r="AJ218" s="3" t="str">
        <f t="shared" si="54"/>
        <v/>
      </c>
      <c r="AK218" s="3" t="str">
        <f>IF(V218=0,"",_xlfn.CONCAT(DADOS!$A$8,X218:AJ218,"
"))</f>
        <v/>
      </c>
    </row>
    <row r="219" spans="5:37" ht="15" customHeight="1" x14ac:dyDescent="0.25">
      <c r="E219" s="22"/>
      <c r="F219" s="22"/>
      <c r="G219" s="12"/>
      <c r="H219" s="22"/>
      <c r="I219" s="13"/>
      <c r="J219" s="14"/>
      <c r="K219" s="12"/>
      <c r="L219" s="15"/>
      <c r="M219" s="16"/>
      <c r="N219" s="15"/>
      <c r="O219" s="16"/>
      <c r="P219" s="17"/>
      <c r="Q219" s="15"/>
      <c r="R219" s="18"/>
      <c r="S219" s="20">
        <v>205</v>
      </c>
      <c r="V219" s="3">
        <f t="shared" si="42"/>
        <v>0</v>
      </c>
      <c r="X219" s="3" t="str">
        <f t="shared" si="43"/>
        <v/>
      </c>
      <c r="Y219" s="3" t="str">
        <f t="shared" si="44"/>
        <v/>
      </c>
      <c r="Z219" s="3" t="str">
        <f t="shared" si="45"/>
        <v/>
      </c>
      <c r="AA219" s="3" t="str">
        <f t="shared" si="55"/>
        <v/>
      </c>
      <c r="AB219" s="3" t="str">
        <f t="shared" si="46"/>
        <v/>
      </c>
      <c r="AC219" s="3" t="str">
        <f t="shared" si="47"/>
        <v/>
      </c>
      <c r="AD219" s="3" t="str">
        <f t="shared" si="48"/>
        <v/>
      </c>
      <c r="AE219" s="3" t="str">
        <f t="shared" si="49"/>
        <v/>
      </c>
      <c r="AF219" s="3" t="str">
        <f t="shared" si="50"/>
        <v/>
      </c>
      <c r="AG219" s="3" t="str">
        <f t="shared" si="51"/>
        <v/>
      </c>
      <c r="AH219" s="3" t="str">
        <f t="shared" si="52"/>
        <v/>
      </c>
      <c r="AI219" s="3" t="str">
        <f t="shared" si="53"/>
        <v/>
      </c>
      <c r="AJ219" s="3" t="str">
        <f t="shared" si="54"/>
        <v/>
      </c>
      <c r="AK219" s="3" t="str">
        <f>IF(V219=0,"",_xlfn.CONCAT(DADOS!$A$8,X219:AJ219,"
"))</f>
        <v/>
      </c>
    </row>
    <row r="220" spans="5:37" ht="15" customHeight="1" x14ac:dyDescent="0.25">
      <c r="E220" s="22"/>
      <c r="F220" s="22"/>
      <c r="G220" s="12"/>
      <c r="H220" s="22"/>
      <c r="I220" s="13"/>
      <c r="J220" s="14"/>
      <c r="K220" s="12"/>
      <c r="L220" s="15"/>
      <c r="M220" s="16"/>
      <c r="N220" s="15"/>
      <c r="O220" s="16"/>
      <c r="P220" s="17"/>
      <c r="Q220" s="15"/>
      <c r="R220" s="18"/>
      <c r="S220" s="20">
        <v>206</v>
      </c>
      <c r="V220" s="3">
        <f t="shared" si="42"/>
        <v>0</v>
      </c>
      <c r="X220" s="3" t="str">
        <f t="shared" si="43"/>
        <v/>
      </c>
      <c r="Y220" s="3" t="str">
        <f t="shared" si="44"/>
        <v/>
      </c>
      <c r="Z220" s="3" t="str">
        <f t="shared" si="45"/>
        <v/>
      </c>
      <c r="AA220" s="3" t="str">
        <f t="shared" si="55"/>
        <v/>
      </c>
      <c r="AB220" s="3" t="str">
        <f t="shared" si="46"/>
        <v/>
      </c>
      <c r="AC220" s="3" t="str">
        <f t="shared" si="47"/>
        <v/>
      </c>
      <c r="AD220" s="3" t="str">
        <f t="shared" si="48"/>
        <v/>
      </c>
      <c r="AE220" s="3" t="str">
        <f t="shared" si="49"/>
        <v/>
      </c>
      <c r="AF220" s="3" t="str">
        <f t="shared" si="50"/>
        <v/>
      </c>
      <c r="AG220" s="3" t="str">
        <f t="shared" si="51"/>
        <v/>
      </c>
      <c r="AH220" s="3" t="str">
        <f t="shared" si="52"/>
        <v/>
      </c>
      <c r="AI220" s="3" t="str">
        <f t="shared" si="53"/>
        <v/>
      </c>
      <c r="AJ220" s="3" t="str">
        <f t="shared" si="54"/>
        <v/>
      </c>
      <c r="AK220" s="3" t="str">
        <f>IF(V220=0,"",_xlfn.CONCAT(DADOS!$A$8,X220:AJ220,"
"))</f>
        <v/>
      </c>
    </row>
    <row r="221" spans="5:37" ht="15" customHeight="1" x14ac:dyDescent="0.25">
      <c r="E221" s="22"/>
      <c r="F221" s="22"/>
      <c r="G221" s="12"/>
      <c r="H221" s="22"/>
      <c r="I221" s="13"/>
      <c r="J221" s="14"/>
      <c r="K221" s="12"/>
      <c r="L221" s="15"/>
      <c r="M221" s="16"/>
      <c r="N221" s="15"/>
      <c r="O221" s="16"/>
      <c r="P221" s="17"/>
      <c r="Q221" s="15"/>
      <c r="R221" s="18"/>
      <c r="S221" s="20">
        <v>207</v>
      </c>
      <c r="V221" s="3">
        <f t="shared" si="42"/>
        <v>0</v>
      </c>
      <c r="X221" s="3" t="str">
        <f t="shared" si="43"/>
        <v/>
      </c>
      <c r="Y221" s="3" t="str">
        <f t="shared" si="44"/>
        <v/>
      </c>
      <c r="Z221" s="3" t="str">
        <f t="shared" si="45"/>
        <v/>
      </c>
      <c r="AA221" s="3" t="str">
        <f t="shared" si="55"/>
        <v/>
      </c>
      <c r="AB221" s="3" t="str">
        <f t="shared" si="46"/>
        <v/>
      </c>
      <c r="AC221" s="3" t="str">
        <f t="shared" si="47"/>
        <v/>
      </c>
      <c r="AD221" s="3" t="str">
        <f t="shared" si="48"/>
        <v/>
      </c>
      <c r="AE221" s="3" t="str">
        <f t="shared" si="49"/>
        <v/>
      </c>
      <c r="AF221" s="3" t="str">
        <f t="shared" si="50"/>
        <v/>
      </c>
      <c r="AG221" s="3" t="str">
        <f t="shared" si="51"/>
        <v/>
      </c>
      <c r="AH221" s="3" t="str">
        <f t="shared" si="52"/>
        <v/>
      </c>
      <c r="AI221" s="3" t="str">
        <f t="shared" si="53"/>
        <v/>
      </c>
      <c r="AJ221" s="3" t="str">
        <f t="shared" si="54"/>
        <v/>
      </c>
      <c r="AK221" s="3" t="str">
        <f>IF(V221=0,"",_xlfn.CONCAT(DADOS!$A$8,X221:AJ221,"
"))</f>
        <v/>
      </c>
    </row>
    <row r="222" spans="5:37" ht="15" customHeight="1" x14ac:dyDescent="0.25">
      <c r="E222" s="22"/>
      <c r="F222" s="22"/>
      <c r="G222" s="12"/>
      <c r="H222" s="22"/>
      <c r="I222" s="13"/>
      <c r="J222" s="14"/>
      <c r="K222" s="12"/>
      <c r="L222" s="15"/>
      <c r="M222" s="16"/>
      <c r="N222" s="15"/>
      <c r="O222" s="16"/>
      <c r="P222" s="17"/>
      <c r="Q222" s="15"/>
      <c r="R222" s="18"/>
      <c r="S222" s="20">
        <v>208</v>
      </c>
      <c r="V222" s="3">
        <f t="shared" si="42"/>
        <v>0</v>
      </c>
      <c r="X222" s="3" t="str">
        <f t="shared" si="43"/>
        <v/>
      </c>
      <c r="Y222" s="3" t="str">
        <f t="shared" si="44"/>
        <v/>
      </c>
      <c r="Z222" s="3" t="str">
        <f t="shared" si="45"/>
        <v/>
      </c>
      <c r="AA222" s="3" t="str">
        <f t="shared" si="55"/>
        <v/>
      </c>
      <c r="AB222" s="3" t="str">
        <f t="shared" si="46"/>
        <v/>
      </c>
      <c r="AC222" s="3" t="str">
        <f t="shared" si="47"/>
        <v/>
      </c>
      <c r="AD222" s="3" t="str">
        <f t="shared" si="48"/>
        <v/>
      </c>
      <c r="AE222" s="3" t="str">
        <f t="shared" si="49"/>
        <v/>
      </c>
      <c r="AF222" s="3" t="str">
        <f t="shared" si="50"/>
        <v/>
      </c>
      <c r="AG222" s="3" t="str">
        <f t="shared" si="51"/>
        <v/>
      </c>
      <c r="AH222" s="3" t="str">
        <f t="shared" si="52"/>
        <v/>
      </c>
      <c r="AI222" s="3" t="str">
        <f t="shared" si="53"/>
        <v/>
      </c>
      <c r="AJ222" s="3" t="str">
        <f t="shared" si="54"/>
        <v/>
      </c>
      <c r="AK222" s="3" t="str">
        <f>IF(V222=0,"",_xlfn.CONCAT(DADOS!$A$8,X222:AJ222,"
"))</f>
        <v/>
      </c>
    </row>
    <row r="223" spans="5:37" ht="15" customHeight="1" x14ac:dyDescent="0.25">
      <c r="E223" s="22"/>
      <c r="F223" s="22"/>
      <c r="G223" s="12"/>
      <c r="H223" s="22"/>
      <c r="I223" s="13"/>
      <c r="J223" s="14"/>
      <c r="K223" s="12"/>
      <c r="L223" s="15"/>
      <c r="M223" s="16"/>
      <c r="N223" s="15"/>
      <c r="O223" s="16"/>
      <c r="P223" s="17"/>
      <c r="Q223" s="15"/>
      <c r="R223" s="18"/>
      <c r="S223" s="20">
        <v>209</v>
      </c>
      <c r="V223" s="3">
        <f t="shared" si="42"/>
        <v>0</v>
      </c>
      <c r="X223" s="3" t="str">
        <f t="shared" si="43"/>
        <v/>
      </c>
      <c r="Y223" s="3" t="str">
        <f t="shared" si="44"/>
        <v/>
      </c>
      <c r="Z223" s="3" t="str">
        <f t="shared" si="45"/>
        <v/>
      </c>
      <c r="AA223" s="3" t="str">
        <f t="shared" si="55"/>
        <v/>
      </c>
      <c r="AB223" s="3" t="str">
        <f t="shared" si="46"/>
        <v/>
      </c>
      <c r="AC223" s="3" t="str">
        <f t="shared" si="47"/>
        <v/>
      </c>
      <c r="AD223" s="3" t="str">
        <f t="shared" si="48"/>
        <v/>
      </c>
      <c r="AE223" s="3" t="str">
        <f t="shared" si="49"/>
        <v/>
      </c>
      <c r="AF223" s="3" t="str">
        <f t="shared" si="50"/>
        <v/>
      </c>
      <c r="AG223" s="3" t="str">
        <f t="shared" si="51"/>
        <v/>
      </c>
      <c r="AH223" s="3" t="str">
        <f t="shared" si="52"/>
        <v/>
      </c>
      <c r="AI223" s="3" t="str">
        <f t="shared" si="53"/>
        <v/>
      </c>
      <c r="AJ223" s="3" t="str">
        <f t="shared" si="54"/>
        <v/>
      </c>
      <c r="AK223" s="3" t="str">
        <f>IF(V223=0,"",_xlfn.CONCAT(DADOS!$A$8,X223:AJ223,"
"))</f>
        <v/>
      </c>
    </row>
    <row r="224" spans="5:37" ht="15" customHeight="1" x14ac:dyDescent="0.25">
      <c r="E224" s="22"/>
      <c r="F224" s="22"/>
      <c r="G224" s="12"/>
      <c r="H224" s="22"/>
      <c r="I224" s="13"/>
      <c r="J224" s="14"/>
      <c r="K224" s="12"/>
      <c r="L224" s="15"/>
      <c r="M224" s="16"/>
      <c r="N224" s="15"/>
      <c r="O224" s="16"/>
      <c r="P224" s="17"/>
      <c r="Q224" s="15"/>
      <c r="R224" s="18"/>
      <c r="S224" s="20">
        <v>210</v>
      </c>
      <c r="V224" s="3">
        <f t="shared" si="42"/>
        <v>0</v>
      </c>
      <c r="X224" s="3" t="str">
        <f t="shared" si="43"/>
        <v/>
      </c>
      <c r="Y224" s="3" t="str">
        <f t="shared" si="44"/>
        <v/>
      </c>
      <c r="Z224" s="3" t="str">
        <f t="shared" si="45"/>
        <v/>
      </c>
      <c r="AA224" s="3" t="str">
        <f t="shared" si="55"/>
        <v/>
      </c>
      <c r="AB224" s="3" t="str">
        <f t="shared" si="46"/>
        <v/>
      </c>
      <c r="AC224" s="3" t="str">
        <f t="shared" si="47"/>
        <v/>
      </c>
      <c r="AD224" s="3" t="str">
        <f t="shared" si="48"/>
        <v/>
      </c>
      <c r="AE224" s="3" t="str">
        <f t="shared" si="49"/>
        <v/>
      </c>
      <c r="AF224" s="3" t="str">
        <f t="shared" si="50"/>
        <v/>
      </c>
      <c r="AG224" s="3" t="str">
        <f t="shared" si="51"/>
        <v/>
      </c>
      <c r="AH224" s="3" t="str">
        <f t="shared" si="52"/>
        <v/>
      </c>
      <c r="AI224" s="3" t="str">
        <f t="shared" si="53"/>
        <v/>
      </c>
      <c r="AJ224" s="3" t="str">
        <f t="shared" si="54"/>
        <v/>
      </c>
      <c r="AK224" s="3" t="str">
        <f>IF(V224=0,"",_xlfn.CONCAT(DADOS!$A$8,X224:AJ224,"
"))</f>
        <v/>
      </c>
    </row>
    <row r="225" spans="5:37" ht="15" customHeight="1" x14ac:dyDescent="0.25">
      <c r="E225" s="22"/>
      <c r="F225" s="22"/>
      <c r="G225" s="12"/>
      <c r="H225" s="22"/>
      <c r="I225" s="13"/>
      <c r="J225" s="14"/>
      <c r="K225" s="12"/>
      <c r="L225" s="15"/>
      <c r="M225" s="16"/>
      <c r="N225" s="15"/>
      <c r="O225" s="16"/>
      <c r="P225" s="17"/>
      <c r="Q225" s="15"/>
      <c r="R225" s="18"/>
      <c r="S225" s="20">
        <v>211</v>
      </c>
      <c r="V225" s="3">
        <f t="shared" si="42"/>
        <v>0</v>
      </c>
      <c r="X225" s="3" t="str">
        <f t="shared" si="43"/>
        <v/>
      </c>
      <c r="Y225" s="3" t="str">
        <f t="shared" si="44"/>
        <v/>
      </c>
      <c r="Z225" s="3" t="str">
        <f t="shared" si="45"/>
        <v/>
      </c>
      <c r="AA225" s="3" t="str">
        <f t="shared" si="55"/>
        <v/>
      </c>
      <c r="AB225" s="3" t="str">
        <f t="shared" si="46"/>
        <v/>
      </c>
      <c r="AC225" s="3" t="str">
        <f t="shared" si="47"/>
        <v/>
      </c>
      <c r="AD225" s="3" t="str">
        <f t="shared" si="48"/>
        <v/>
      </c>
      <c r="AE225" s="3" t="str">
        <f t="shared" si="49"/>
        <v/>
      </c>
      <c r="AF225" s="3" t="str">
        <f t="shared" si="50"/>
        <v/>
      </c>
      <c r="AG225" s="3" t="str">
        <f t="shared" si="51"/>
        <v/>
      </c>
      <c r="AH225" s="3" t="str">
        <f t="shared" si="52"/>
        <v/>
      </c>
      <c r="AI225" s="3" t="str">
        <f t="shared" si="53"/>
        <v/>
      </c>
      <c r="AJ225" s="3" t="str">
        <f t="shared" si="54"/>
        <v/>
      </c>
      <c r="AK225" s="3" t="str">
        <f>IF(V225=0,"",_xlfn.CONCAT(DADOS!$A$8,X225:AJ225,"
"))</f>
        <v/>
      </c>
    </row>
    <row r="226" spans="5:37" ht="15" customHeight="1" x14ac:dyDescent="0.25">
      <c r="E226" s="22"/>
      <c r="F226" s="22"/>
      <c r="G226" s="12"/>
      <c r="H226" s="22"/>
      <c r="I226" s="13"/>
      <c r="J226" s="14"/>
      <c r="K226" s="12"/>
      <c r="L226" s="15"/>
      <c r="M226" s="16"/>
      <c r="N226" s="15"/>
      <c r="O226" s="16"/>
      <c r="P226" s="17"/>
      <c r="Q226" s="15"/>
      <c r="R226" s="18"/>
      <c r="S226" s="20">
        <v>212</v>
      </c>
      <c r="V226" s="3">
        <f t="shared" si="42"/>
        <v>0</v>
      </c>
      <c r="X226" s="3" t="str">
        <f t="shared" si="43"/>
        <v/>
      </c>
      <c r="Y226" s="3" t="str">
        <f t="shared" si="44"/>
        <v/>
      </c>
      <c r="Z226" s="3" t="str">
        <f t="shared" si="45"/>
        <v/>
      </c>
      <c r="AA226" s="3" t="str">
        <f t="shared" si="55"/>
        <v/>
      </c>
      <c r="AB226" s="3" t="str">
        <f t="shared" si="46"/>
        <v/>
      </c>
      <c r="AC226" s="3" t="str">
        <f t="shared" si="47"/>
        <v/>
      </c>
      <c r="AD226" s="3" t="str">
        <f t="shared" si="48"/>
        <v/>
      </c>
      <c r="AE226" s="3" t="str">
        <f t="shared" si="49"/>
        <v/>
      </c>
      <c r="AF226" s="3" t="str">
        <f t="shared" si="50"/>
        <v/>
      </c>
      <c r="AG226" s="3" t="str">
        <f t="shared" si="51"/>
        <v/>
      </c>
      <c r="AH226" s="3" t="str">
        <f t="shared" si="52"/>
        <v/>
      </c>
      <c r="AI226" s="3" t="str">
        <f t="shared" si="53"/>
        <v/>
      </c>
      <c r="AJ226" s="3" t="str">
        <f t="shared" si="54"/>
        <v/>
      </c>
      <c r="AK226" s="3" t="str">
        <f>IF(V226=0,"",_xlfn.CONCAT(DADOS!$A$8,X226:AJ226,"
"))</f>
        <v/>
      </c>
    </row>
    <row r="227" spans="5:37" ht="15" customHeight="1" x14ac:dyDescent="0.25">
      <c r="E227" s="22"/>
      <c r="F227" s="22"/>
      <c r="G227" s="12"/>
      <c r="H227" s="22"/>
      <c r="I227" s="13"/>
      <c r="J227" s="14"/>
      <c r="K227" s="12"/>
      <c r="L227" s="15"/>
      <c r="M227" s="16"/>
      <c r="N227" s="15"/>
      <c r="O227" s="16"/>
      <c r="P227" s="17"/>
      <c r="Q227" s="15"/>
      <c r="R227" s="18"/>
      <c r="S227" s="20">
        <v>213</v>
      </c>
      <c r="V227" s="3">
        <f t="shared" si="42"/>
        <v>0</v>
      </c>
      <c r="X227" s="3" t="str">
        <f t="shared" si="43"/>
        <v/>
      </c>
      <c r="Y227" s="3" t="str">
        <f t="shared" si="44"/>
        <v/>
      </c>
      <c r="Z227" s="3" t="str">
        <f t="shared" si="45"/>
        <v/>
      </c>
      <c r="AA227" s="3" t="str">
        <f t="shared" si="55"/>
        <v/>
      </c>
      <c r="AB227" s="3" t="str">
        <f t="shared" si="46"/>
        <v/>
      </c>
      <c r="AC227" s="3" t="str">
        <f t="shared" si="47"/>
        <v/>
      </c>
      <c r="AD227" s="3" t="str">
        <f t="shared" si="48"/>
        <v/>
      </c>
      <c r="AE227" s="3" t="str">
        <f t="shared" si="49"/>
        <v/>
      </c>
      <c r="AF227" s="3" t="str">
        <f t="shared" si="50"/>
        <v/>
      </c>
      <c r="AG227" s="3" t="str">
        <f t="shared" si="51"/>
        <v/>
      </c>
      <c r="AH227" s="3" t="str">
        <f t="shared" si="52"/>
        <v/>
      </c>
      <c r="AI227" s="3" t="str">
        <f t="shared" si="53"/>
        <v/>
      </c>
      <c r="AJ227" s="3" t="str">
        <f t="shared" si="54"/>
        <v/>
      </c>
      <c r="AK227" s="3" t="str">
        <f>IF(V227=0,"",_xlfn.CONCAT(DADOS!$A$8,X227:AJ227,"
"))</f>
        <v/>
      </c>
    </row>
    <row r="228" spans="5:37" ht="15" customHeight="1" x14ac:dyDescent="0.25">
      <c r="E228" s="22"/>
      <c r="F228" s="22"/>
      <c r="G228" s="12"/>
      <c r="H228" s="22"/>
      <c r="I228" s="13"/>
      <c r="J228" s="14"/>
      <c r="K228" s="12"/>
      <c r="L228" s="15"/>
      <c r="M228" s="16"/>
      <c r="N228" s="15"/>
      <c r="O228" s="16"/>
      <c r="P228" s="17"/>
      <c r="Q228" s="15"/>
      <c r="R228" s="18"/>
      <c r="S228" s="20">
        <v>214</v>
      </c>
      <c r="V228" s="3">
        <f t="shared" si="42"/>
        <v>0</v>
      </c>
      <c r="X228" s="3" t="str">
        <f t="shared" si="43"/>
        <v/>
      </c>
      <c r="Y228" s="3" t="str">
        <f t="shared" si="44"/>
        <v/>
      </c>
      <c r="Z228" s="3" t="str">
        <f t="shared" si="45"/>
        <v/>
      </c>
      <c r="AA228" s="3" t="str">
        <f t="shared" si="55"/>
        <v/>
      </c>
      <c r="AB228" s="3" t="str">
        <f t="shared" si="46"/>
        <v/>
      </c>
      <c r="AC228" s="3" t="str">
        <f t="shared" si="47"/>
        <v/>
      </c>
      <c r="AD228" s="3" t="str">
        <f t="shared" si="48"/>
        <v/>
      </c>
      <c r="AE228" s="3" t="str">
        <f t="shared" si="49"/>
        <v/>
      </c>
      <c r="AF228" s="3" t="str">
        <f t="shared" si="50"/>
        <v/>
      </c>
      <c r="AG228" s="3" t="str">
        <f t="shared" si="51"/>
        <v/>
      </c>
      <c r="AH228" s="3" t="str">
        <f t="shared" si="52"/>
        <v/>
      </c>
      <c r="AI228" s="3" t="str">
        <f t="shared" si="53"/>
        <v/>
      </c>
      <c r="AJ228" s="3" t="str">
        <f t="shared" si="54"/>
        <v/>
      </c>
      <c r="AK228" s="3" t="str">
        <f>IF(V228=0,"",_xlfn.CONCAT(DADOS!$A$8,X228:AJ228,"
"))</f>
        <v/>
      </c>
    </row>
    <row r="229" spans="5:37" ht="15" customHeight="1" x14ac:dyDescent="0.25">
      <c r="E229" s="22"/>
      <c r="F229" s="22"/>
      <c r="G229" s="12"/>
      <c r="H229" s="22"/>
      <c r="I229" s="13"/>
      <c r="J229" s="14"/>
      <c r="K229" s="12"/>
      <c r="L229" s="15"/>
      <c r="M229" s="16"/>
      <c r="N229" s="15"/>
      <c r="O229" s="16"/>
      <c r="P229" s="17"/>
      <c r="Q229" s="15"/>
      <c r="R229" s="18"/>
      <c r="S229" s="20">
        <v>215</v>
      </c>
      <c r="V229" s="3">
        <f t="shared" si="42"/>
        <v>0</v>
      </c>
      <c r="X229" s="3" t="str">
        <f t="shared" si="43"/>
        <v/>
      </c>
      <c r="Y229" s="3" t="str">
        <f t="shared" si="44"/>
        <v/>
      </c>
      <c r="Z229" s="3" t="str">
        <f t="shared" si="45"/>
        <v/>
      </c>
      <c r="AA229" s="3" t="str">
        <f t="shared" si="55"/>
        <v/>
      </c>
      <c r="AB229" s="3" t="str">
        <f t="shared" si="46"/>
        <v/>
      </c>
      <c r="AC229" s="3" t="str">
        <f t="shared" si="47"/>
        <v/>
      </c>
      <c r="AD229" s="3" t="str">
        <f t="shared" si="48"/>
        <v/>
      </c>
      <c r="AE229" s="3" t="str">
        <f t="shared" si="49"/>
        <v/>
      </c>
      <c r="AF229" s="3" t="str">
        <f t="shared" si="50"/>
        <v/>
      </c>
      <c r="AG229" s="3" t="str">
        <f t="shared" si="51"/>
        <v/>
      </c>
      <c r="AH229" s="3" t="str">
        <f t="shared" si="52"/>
        <v/>
      </c>
      <c r="AI229" s="3" t="str">
        <f t="shared" si="53"/>
        <v/>
      </c>
      <c r="AJ229" s="3" t="str">
        <f t="shared" si="54"/>
        <v/>
      </c>
      <c r="AK229" s="3" t="str">
        <f>IF(V229=0,"",_xlfn.CONCAT(DADOS!$A$8,X229:AJ229,"
"))</f>
        <v/>
      </c>
    </row>
    <row r="230" spans="5:37" ht="15" customHeight="1" x14ac:dyDescent="0.25">
      <c r="E230" s="22"/>
      <c r="F230" s="22"/>
      <c r="G230" s="12"/>
      <c r="H230" s="22"/>
      <c r="I230" s="13"/>
      <c r="J230" s="14"/>
      <c r="K230" s="12"/>
      <c r="L230" s="15"/>
      <c r="M230" s="16"/>
      <c r="N230" s="15"/>
      <c r="O230" s="16"/>
      <c r="P230" s="17"/>
      <c r="Q230" s="15"/>
      <c r="R230" s="18"/>
      <c r="S230" s="20">
        <v>216</v>
      </c>
      <c r="V230" s="3">
        <f t="shared" si="42"/>
        <v>0</v>
      </c>
      <c r="X230" s="3" t="str">
        <f t="shared" si="43"/>
        <v/>
      </c>
      <c r="Y230" s="3" t="str">
        <f t="shared" si="44"/>
        <v/>
      </c>
      <c r="Z230" s="3" t="str">
        <f t="shared" si="45"/>
        <v/>
      </c>
      <c r="AA230" s="3" t="str">
        <f t="shared" si="55"/>
        <v/>
      </c>
      <c r="AB230" s="3" t="str">
        <f t="shared" si="46"/>
        <v/>
      </c>
      <c r="AC230" s="3" t="str">
        <f t="shared" si="47"/>
        <v/>
      </c>
      <c r="AD230" s="3" t="str">
        <f t="shared" si="48"/>
        <v/>
      </c>
      <c r="AE230" s="3" t="str">
        <f t="shared" si="49"/>
        <v/>
      </c>
      <c r="AF230" s="3" t="str">
        <f t="shared" si="50"/>
        <v/>
      </c>
      <c r="AG230" s="3" t="str">
        <f t="shared" si="51"/>
        <v/>
      </c>
      <c r="AH230" s="3" t="str">
        <f t="shared" si="52"/>
        <v/>
      </c>
      <c r="AI230" s="3" t="str">
        <f t="shared" si="53"/>
        <v/>
      </c>
      <c r="AJ230" s="3" t="str">
        <f t="shared" si="54"/>
        <v/>
      </c>
      <c r="AK230" s="3" t="str">
        <f>IF(V230=0,"",_xlfn.CONCAT(DADOS!$A$8,X230:AJ230,"
"))</f>
        <v/>
      </c>
    </row>
    <row r="231" spans="5:37" ht="15" customHeight="1" x14ac:dyDescent="0.25">
      <c r="E231" s="22"/>
      <c r="F231" s="22"/>
      <c r="G231" s="12"/>
      <c r="H231" s="22"/>
      <c r="I231" s="13"/>
      <c r="J231" s="14"/>
      <c r="K231" s="12"/>
      <c r="L231" s="15"/>
      <c r="M231" s="16"/>
      <c r="N231" s="15"/>
      <c r="O231" s="16"/>
      <c r="P231" s="17"/>
      <c r="Q231" s="15"/>
      <c r="R231" s="18"/>
      <c r="S231" s="20">
        <v>217</v>
      </c>
      <c r="V231" s="3">
        <f t="shared" si="42"/>
        <v>0</v>
      </c>
      <c r="X231" s="3" t="str">
        <f t="shared" si="43"/>
        <v/>
      </c>
      <c r="Y231" s="3" t="str">
        <f t="shared" si="44"/>
        <v/>
      </c>
      <c r="Z231" s="3" t="str">
        <f t="shared" si="45"/>
        <v/>
      </c>
      <c r="AA231" s="3" t="str">
        <f t="shared" si="55"/>
        <v/>
      </c>
      <c r="AB231" s="3" t="str">
        <f t="shared" si="46"/>
        <v/>
      </c>
      <c r="AC231" s="3" t="str">
        <f t="shared" si="47"/>
        <v/>
      </c>
      <c r="AD231" s="3" t="str">
        <f t="shared" si="48"/>
        <v/>
      </c>
      <c r="AE231" s="3" t="str">
        <f t="shared" si="49"/>
        <v/>
      </c>
      <c r="AF231" s="3" t="str">
        <f t="shared" si="50"/>
        <v/>
      </c>
      <c r="AG231" s="3" t="str">
        <f t="shared" si="51"/>
        <v/>
      </c>
      <c r="AH231" s="3" t="str">
        <f t="shared" si="52"/>
        <v/>
      </c>
      <c r="AI231" s="3" t="str">
        <f t="shared" si="53"/>
        <v/>
      </c>
      <c r="AJ231" s="3" t="str">
        <f t="shared" si="54"/>
        <v/>
      </c>
      <c r="AK231" s="3" t="str">
        <f>IF(V231=0,"",_xlfn.CONCAT(DADOS!$A$8,X231:AJ231,"
"))</f>
        <v/>
      </c>
    </row>
    <row r="232" spans="5:37" ht="15" customHeight="1" x14ac:dyDescent="0.25">
      <c r="E232" s="22"/>
      <c r="F232" s="22"/>
      <c r="G232" s="12"/>
      <c r="H232" s="22"/>
      <c r="I232" s="13"/>
      <c r="J232" s="14"/>
      <c r="K232" s="12"/>
      <c r="L232" s="15"/>
      <c r="M232" s="16"/>
      <c r="N232" s="15"/>
      <c r="O232" s="16"/>
      <c r="P232" s="17"/>
      <c r="Q232" s="15"/>
      <c r="R232" s="18"/>
      <c r="S232" s="20">
        <v>218</v>
      </c>
      <c r="V232" s="3">
        <f t="shared" si="42"/>
        <v>0</v>
      </c>
      <c r="X232" s="3" t="str">
        <f t="shared" si="43"/>
        <v/>
      </c>
      <c r="Y232" s="3" t="str">
        <f t="shared" si="44"/>
        <v/>
      </c>
      <c r="Z232" s="3" t="str">
        <f t="shared" si="45"/>
        <v/>
      </c>
      <c r="AA232" s="3" t="str">
        <f t="shared" si="55"/>
        <v/>
      </c>
      <c r="AB232" s="3" t="str">
        <f t="shared" si="46"/>
        <v/>
      </c>
      <c r="AC232" s="3" t="str">
        <f t="shared" si="47"/>
        <v/>
      </c>
      <c r="AD232" s="3" t="str">
        <f t="shared" si="48"/>
        <v/>
      </c>
      <c r="AE232" s="3" t="str">
        <f t="shared" si="49"/>
        <v/>
      </c>
      <c r="AF232" s="3" t="str">
        <f t="shared" si="50"/>
        <v/>
      </c>
      <c r="AG232" s="3" t="str">
        <f t="shared" si="51"/>
        <v/>
      </c>
      <c r="AH232" s="3" t="str">
        <f t="shared" si="52"/>
        <v/>
      </c>
      <c r="AI232" s="3" t="str">
        <f t="shared" si="53"/>
        <v/>
      </c>
      <c r="AJ232" s="3" t="str">
        <f t="shared" si="54"/>
        <v/>
      </c>
      <c r="AK232" s="3" t="str">
        <f>IF(V232=0,"",_xlfn.CONCAT(DADOS!$A$8,X232:AJ232,"
"))</f>
        <v/>
      </c>
    </row>
    <row r="233" spans="5:37" ht="15" customHeight="1" x14ac:dyDescent="0.25">
      <c r="E233" s="22"/>
      <c r="F233" s="22"/>
      <c r="G233" s="12"/>
      <c r="H233" s="22"/>
      <c r="I233" s="13"/>
      <c r="J233" s="14"/>
      <c r="K233" s="12"/>
      <c r="L233" s="15"/>
      <c r="M233" s="16"/>
      <c r="N233" s="15"/>
      <c r="O233" s="16"/>
      <c r="P233" s="17"/>
      <c r="Q233" s="15"/>
      <c r="R233" s="18"/>
      <c r="S233" s="20">
        <v>219</v>
      </c>
      <c r="V233" s="3">
        <f t="shared" si="42"/>
        <v>0</v>
      </c>
      <c r="X233" s="3" t="str">
        <f t="shared" si="43"/>
        <v/>
      </c>
      <c r="Y233" s="3" t="str">
        <f t="shared" si="44"/>
        <v/>
      </c>
      <c r="Z233" s="3" t="str">
        <f t="shared" si="45"/>
        <v/>
      </c>
      <c r="AA233" s="3" t="str">
        <f t="shared" si="55"/>
        <v/>
      </c>
      <c r="AB233" s="3" t="str">
        <f t="shared" si="46"/>
        <v/>
      </c>
      <c r="AC233" s="3" t="str">
        <f t="shared" si="47"/>
        <v/>
      </c>
      <c r="AD233" s="3" t="str">
        <f t="shared" si="48"/>
        <v/>
      </c>
      <c r="AE233" s="3" t="str">
        <f t="shared" si="49"/>
        <v/>
      </c>
      <c r="AF233" s="3" t="str">
        <f t="shared" si="50"/>
        <v/>
      </c>
      <c r="AG233" s="3" t="str">
        <f t="shared" si="51"/>
        <v/>
      </c>
      <c r="AH233" s="3" t="str">
        <f t="shared" si="52"/>
        <v/>
      </c>
      <c r="AI233" s="3" t="str">
        <f t="shared" si="53"/>
        <v/>
      </c>
      <c r="AJ233" s="3" t="str">
        <f t="shared" si="54"/>
        <v/>
      </c>
      <c r="AK233" s="3" t="str">
        <f>IF(V233=0,"",_xlfn.CONCAT(DADOS!$A$8,X233:AJ233,"
"))</f>
        <v/>
      </c>
    </row>
    <row r="234" spans="5:37" ht="15" customHeight="1" x14ac:dyDescent="0.25">
      <c r="E234" s="22"/>
      <c r="F234" s="22"/>
      <c r="G234" s="12"/>
      <c r="H234" s="22"/>
      <c r="I234" s="13"/>
      <c r="J234" s="14"/>
      <c r="K234" s="12"/>
      <c r="L234" s="15"/>
      <c r="M234" s="16"/>
      <c r="N234" s="15"/>
      <c r="O234" s="16"/>
      <c r="P234" s="17"/>
      <c r="Q234" s="15"/>
      <c r="R234" s="18"/>
      <c r="S234" s="20">
        <v>220</v>
      </c>
      <c r="V234" s="3">
        <f t="shared" si="42"/>
        <v>0</v>
      </c>
      <c r="X234" s="3" t="str">
        <f t="shared" si="43"/>
        <v/>
      </c>
      <c r="Y234" s="3" t="str">
        <f t="shared" si="44"/>
        <v/>
      </c>
      <c r="Z234" s="3" t="str">
        <f t="shared" si="45"/>
        <v/>
      </c>
      <c r="AA234" s="3" t="str">
        <f t="shared" si="55"/>
        <v/>
      </c>
      <c r="AB234" s="3" t="str">
        <f t="shared" si="46"/>
        <v/>
      </c>
      <c r="AC234" s="3" t="str">
        <f t="shared" si="47"/>
        <v/>
      </c>
      <c r="AD234" s="3" t="str">
        <f t="shared" si="48"/>
        <v/>
      </c>
      <c r="AE234" s="3" t="str">
        <f t="shared" si="49"/>
        <v/>
      </c>
      <c r="AF234" s="3" t="str">
        <f t="shared" si="50"/>
        <v/>
      </c>
      <c r="AG234" s="3" t="str">
        <f t="shared" si="51"/>
        <v/>
      </c>
      <c r="AH234" s="3" t="str">
        <f t="shared" si="52"/>
        <v/>
      </c>
      <c r="AI234" s="3" t="str">
        <f t="shared" si="53"/>
        <v/>
      </c>
      <c r="AJ234" s="3" t="str">
        <f t="shared" si="54"/>
        <v/>
      </c>
      <c r="AK234" s="3" t="str">
        <f>IF(V234=0,"",_xlfn.CONCAT(DADOS!$A$8,X234:AJ234,"
"))</f>
        <v/>
      </c>
    </row>
    <row r="235" spans="5:37" ht="15" customHeight="1" x14ac:dyDescent="0.25">
      <c r="E235" s="22"/>
      <c r="F235" s="22"/>
      <c r="G235" s="12"/>
      <c r="H235" s="22"/>
      <c r="I235" s="13"/>
      <c r="J235" s="14"/>
      <c r="K235" s="12"/>
      <c r="L235" s="15"/>
      <c r="M235" s="16"/>
      <c r="N235" s="15"/>
      <c r="O235" s="16"/>
      <c r="P235" s="17"/>
      <c r="Q235" s="15"/>
      <c r="R235" s="18"/>
      <c r="S235" s="20">
        <v>221</v>
      </c>
      <c r="V235" s="3">
        <f t="shared" si="42"/>
        <v>0</v>
      </c>
      <c r="X235" s="3" t="str">
        <f t="shared" si="43"/>
        <v/>
      </c>
      <c r="Y235" s="3" t="str">
        <f t="shared" si="44"/>
        <v/>
      </c>
      <c r="Z235" s="3" t="str">
        <f t="shared" si="45"/>
        <v/>
      </c>
      <c r="AA235" s="3" t="str">
        <f t="shared" si="55"/>
        <v/>
      </c>
      <c r="AB235" s="3" t="str">
        <f t="shared" si="46"/>
        <v/>
      </c>
      <c r="AC235" s="3" t="str">
        <f t="shared" si="47"/>
        <v/>
      </c>
      <c r="AD235" s="3" t="str">
        <f t="shared" si="48"/>
        <v/>
      </c>
      <c r="AE235" s="3" t="str">
        <f t="shared" si="49"/>
        <v/>
      </c>
      <c r="AF235" s="3" t="str">
        <f t="shared" si="50"/>
        <v/>
      </c>
      <c r="AG235" s="3" t="str">
        <f t="shared" si="51"/>
        <v/>
      </c>
      <c r="AH235" s="3" t="str">
        <f t="shared" si="52"/>
        <v/>
      </c>
      <c r="AI235" s="3" t="str">
        <f t="shared" si="53"/>
        <v/>
      </c>
      <c r="AJ235" s="3" t="str">
        <f t="shared" si="54"/>
        <v/>
      </c>
      <c r="AK235" s="3" t="str">
        <f>IF(V235=0,"",_xlfn.CONCAT(DADOS!$A$8,X235:AJ235,"
"))</f>
        <v/>
      </c>
    </row>
    <row r="236" spans="5:37" ht="15" customHeight="1" x14ac:dyDescent="0.25">
      <c r="E236" s="22"/>
      <c r="F236" s="22"/>
      <c r="G236" s="12"/>
      <c r="H236" s="22"/>
      <c r="I236" s="13"/>
      <c r="J236" s="14"/>
      <c r="K236" s="12"/>
      <c r="L236" s="15"/>
      <c r="M236" s="16"/>
      <c r="N236" s="15"/>
      <c r="O236" s="16"/>
      <c r="P236" s="17"/>
      <c r="Q236" s="15"/>
      <c r="R236" s="18"/>
      <c r="S236" s="20">
        <v>222</v>
      </c>
      <c r="V236" s="3">
        <f t="shared" si="42"/>
        <v>0</v>
      </c>
      <c r="X236" s="3" t="str">
        <f t="shared" si="43"/>
        <v/>
      </c>
      <c r="Y236" s="3" t="str">
        <f t="shared" si="44"/>
        <v/>
      </c>
      <c r="Z236" s="3" t="str">
        <f t="shared" si="45"/>
        <v/>
      </c>
      <c r="AA236" s="3" t="str">
        <f t="shared" si="55"/>
        <v/>
      </c>
      <c r="AB236" s="3" t="str">
        <f t="shared" si="46"/>
        <v/>
      </c>
      <c r="AC236" s="3" t="str">
        <f t="shared" si="47"/>
        <v/>
      </c>
      <c r="AD236" s="3" t="str">
        <f t="shared" si="48"/>
        <v/>
      </c>
      <c r="AE236" s="3" t="str">
        <f t="shared" si="49"/>
        <v/>
      </c>
      <c r="AF236" s="3" t="str">
        <f t="shared" si="50"/>
        <v/>
      </c>
      <c r="AG236" s="3" t="str">
        <f t="shared" si="51"/>
        <v/>
      </c>
      <c r="AH236" s="3" t="str">
        <f t="shared" si="52"/>
        <v/>
      </c>
      <c r="AI236" s="3" t="str">
        <f t="shared" si="53"/>
        <v/>
      </c>
      <c r="AJ236" s="3" t="str">
        <f t="shared" si="54"/>
        <v/>
      </c>
      <c r="AK236" s="3" t="str">
        <f>IF(V236=0,"",_xlfn.CONCAT(DADOS!$A$8,X236:AJ236,"
"))</f>
        <v/>
      </c>
    </row>
    <row r="237" spans="5:37" ht="15" customHeight="1" x14ac:dyDescent="0.25">
      <c r="E237" s="22"/>
      <c r="F237" s="22"/>
      <c r="G237" s="12"/>
      <c r="H237" s="22"/>
      <c r="I237" s="13"/>
      <c r="J237" s="14"/>
      <c r="K237" s="12"/>
      <c r="L237" s="15"/>
      <c r="M237" s="16"/>
      <c r="N237" s="15"/>
      <c r="O237" s="16"/>
      <c r="P237" s="17"/>
      <c r="Q237" s="15"/>
      <c r="R237" s="18"/>
      <c r="S237" s="20">
        <v>223</v>
      </c>
      <c r="V237" s="3">
        <f t="shared" si="42"/>
        <v>0</v>
      </c>
      <c r="X237" s="3" t="str">
        <f t="shared" si="43"/>
        <v/>
      </c>
      <c r="Y237" s="3" t="str">
        <f t="shared" si="44"/>
        <v/>
      </c>
      <c r="Z237" s="3" t="str">
        <f t="shared" si="45"/>
        <v/>
      </c>
      <c r="AA237" s="3" t="str">
        <f t="shared" si="55"/>
        <v/>
      </c>
      <c r="AB237" s="3" t="str">
        <f t="shared" si="46"/>
        <v/>
      </c>
      <c r="AC237" s="3" t="str">
        <f t="shared" si="47"/>
        <v/>
      </c>
      <c r="AD237" s="3" t="str">
        <f t="shared" si="48"/>
        <v/>
      </c>
      <c r="AE237" s="3" t="str">
        <f t="shared" si="49"/>
        <v/>
      </c>
      <c r="AF237" s="3" t="str">
        <f t="shared" si="50"/>
        <v/>
      </c>
      <c r="AG237" s="3" t="str">
        <f t="shared" si="51"/>
        <v/>
      </c>
      <c r="AH237" s="3" t="str">
        <f t="shared" si="52"/>
        <v/>
      </c>
      <c r="AI237" s="3" t="str">
        <f t="shared" si="53"/>
        <v/>
      </c>
      <c r="AJ237" s="3" t="str">
        <f t="shared" si="54"/>
        <v/>
      </c>
      <c r="AK237" s="3" t="str">
        <f>IF(V237=0,"",_xlfn.CONCAT(DADOS!$A$8,X237:AJ237,"
"))</f>
        <v/>
      </c>
    </row>
    <row r="238" spans="5:37" ht="15" customHeight="1" x14ac:dyDescent="0.25">
      <c r="E238" s="22"/>
      <c r="F238" s="22"/>
      <c r="G238" s="12"/>
      <c r="H238" s="22"/>
      <c r="I238" s="13"/>
      <c r="J238" s="14"/>
      <c r="K238" s="12"/>
      <c r="L238" s="15"/>
      <c r="M238" s="16"/>
      <c r="N238" s="15"/>
      <c r="O238" s="16"/>
      <c r="P238" s="17"/>
      <c r="Q238" s="15"/>
      <c r="R238" s="18"/>
      <c r="S238" s="20">
        <v>224</v>
      </c>
      <c r="V238" s="3">
        <f t="shared" si="42"/>
        <v>0</v>
      </c>
      <c r="X238" s="3" t="str">
        <f t="shared" si="43"/>
        <v/>
      </c>
      <c r="Y238" s="3" t="str">
        <f t="shared" si="44"/>
        <v/>
      </c>
      <c r="Z238" s="3" t="str">
        <f t="shared" si="45"/>
        <v/>
      </c>
      <c r="AA238" s="3" t="str">
        <f t="shared" si="55"/>
        <v/>
      </c>
      <c r="AB238" s="3" t="str">
        <f t="shared" si="46"/>
        <v/>
      </c>
      <c r="AC238" s="3" t="str">
        <f t="shared" si="47"/>
        <v/>
      </c>
      <c r="AD238" s="3" t="str">
        <f t="shared" si="48"/>
        <v/>
      </c>
      <c r="AE238" s="3" t="str">
        <f t="shared" si="49"/>
        <v/>
      </c>
      <c r="AF238" s="3" t="str">
        <f t="shared" si="50"/>
        <v/>
      </c>
      <c r="AG238" s="3" t="str">
        <f t="shared" si="51"/>
        <v/>
      </c>
      <c r="AH238" s="3" t="str">
        <f t="shared" si="52"/>
        <v/>
      </c>
      <c r="AI238" s="3" t="str">
        <f t="shared" si="53"/>
        <v/>
      </c>
      <c r="AJ238" s="3" t="str">
        <f t="shared" si="54"/>
        <v/>
      </c>
      <c r="AK238" s="3" t="str">
        <f>IF(V238=0,"",_xlfn.CONCAT(DADOS!$A$8,X238:AJ238,"
"))</f>
        <v/>
      </c>
    </row>
    <row r="239" spans="5:37" ht="15" customHeight="1" x14ac:dyDescent="0.25">
      <c r="E239" s="22"/>
      <c r="F239" s="22"/>
      <c r="G239" s="12"/>
      <c r="H239" s="22"/>
      <c r="I239" s="13"/>
      <c r="J239" s="14"/>
      <c r="K239" s="12"/>
      <c r="L239" s="15"/>
      <c r="M239" s="16"/>
      <c r="N239" s="15"/>
      <c r="O239" s="16"/>
      <c r="P239" s="17"/>
      <c r="Q239" s="15"/>
      <c r="R239" s="18"/>
      <c r="S239" s="20">
        <v>225</v>
      </c>
      <c r="V239" s="3">
        <f t="shared" si="42"/>
        <v>0</v>
      </c>
      <c r="X239" s="3" t="str">
        <f t="shared" si="43"/>
        <v/>
      </c>
      <c r="Y239" s="3" t="str">
        <f t="shared" si="44"/>
        <v/>
      </c>
      <c r="Z239" s="3" t="str">
        <f t="shared" si="45"/>
        <v/>
      </c>
      <c r="AA239" s="3" t="str">
        <f t="shared" si="55"/>
        <v/>
      </c>
      <c r="AB239" s="3" t="str">
        <f t="shared" si="46"/>
        <v/>
      </c>
      <c r="AC239" s="3" t="str">
        <f t="shared" si="47"/>
        <v/>
      </c>
      <c r="AD239" s="3" t="str">
        <f t="shared" si="48"/>
        <v/>
      </c>
      <c r="AE239" s="3" t="str">
        <f t="shared" si="49"/>
        <v/>
      </c>
      <c r="AF239" s="3" t="str">
        <f t="shared" si="50"/>
        <v/>
      </c>
      <c r="AG239" s="3" t="str">
        <f t="shared" si="51"/>
        <v/>
      </c>
      <c r="AH239" s="3" t="str">
        <f t="shared" si="52"/>
        <v/>
      </c>
      <c r="AI239" s="3" t="str">
        <f t="shared" si="53"/>
        <v/>
      </c>
      <c r="AJ239" s="3" t="str">
        <f t="shared" si="54"/>
        <v/>
      </c>
      <c r="AK239" s="3" t="str">
        <f>IF(V239=0,"",_xlfn.CONCAT(DADOS!$A$8,X239:AJ239,"
"))</f>
        <v/>
      </c>
    </row>
    <row r="240" spans="5:37" ht="15" customHeight="1" x14ac:dyDescent="0.25">
      <c r="E240" s="22"/>
      <c r="F240" s="22"/>
      <c r="G240" s="12"/>
      <c r="H240" s="22"/>
      <c r="I240" s="13"/>
      <c r="J240" s="14"/>
      <c r="K240" s="12"/>
      <c r="L240" s="15"/>
      <c r="M240" s="16"/>
      <c r="N240" s="15"/>
      <c r="O240" s="16"/>
      <c r="P240" s="17"/>
      <c r="Q240" s="15"/>
      <c r="R240" s="18"/>
      <c r="S240" s="20">
        <v>226</v>
      </c>
      <c r="V240" s="3">
        <f t="shared" si="42"/>
        <v>0</v>
      </c>
      <c r="X240" s="3" t="str">
        <f t="shared" si="43"/>
        <v/>
      </c>
      <c r="Y240" s="3" t="str">
        <f t="shared" si="44"/>
        <v/>
      </c>
      <c r="Z240" s="3" t="str">
        <f t="shared" si="45"/>
        <v/>
      </c>
      <c r="AA240" s="3" t="str">
        <f t="shared" si="55"/>
        <v/>
      </c>
      <c r="AB240" s="3" t="str">
        <f t="shared" si="46"/>
        <v/>
      </c>
      <c r="AC240" s="3" t="str">
        <f t="shared" si="47"/>
        <v/>
      </c>
      <c r="AD240" s="3" t="str">
        <f t="shared" si="48"/>
        <v/>
      </c>
      <c r="AE240" s="3" t="str">
        <f t="shared" si="49"/>
        <v/>
      </c>
      <c r="AF240" s="3" t="str">
        <f t="shared" si="50"/>
        <v/>
      </c>
      <c r="AG240" s="3" t="str">
        <f t="shared" si="51"/>
        <v/>
      </c>
      <c r="AH240" s="3" t="str">
        <f t="shared" si="52"/>
        <v/>
      </c>
      <c r="AI240" s="3" t="str">
        <f t="shared" si="53"/>
        <v/>
      </c>
      <c r="AJ240" s="3" t="str">
        <f t="shared" si="54"/>
        <v/>
      </c>
      <c r="AK240" s="3" t="str">
        <f>IF(V240=0,"",_xlfn.CONCAT(DADOS!$A$8,X240:AJ240,"
"))</f>
        <v/>
      </c>
    </row>
    <row r="241" spans="5:37" ht="15" customHeight="1" x14ac:dyDescent="0.25">
      <c r="E241" s="22"/>
      <c r="F241" s="22"/>
      <c r="G241" s="12"/>
      <c r="H241" s="22"/>
      <c r="I241" s="13"/>
      <c r="J241" s="14"/>
      <c r="K241" s="12"/>
      <c r="L241" s="15"/>
      <c r="M241" s="16"/>
      <c r="N241" s="15"/>
      <c r="O241" s="16"/>
      <c r="P241" s="17"/>
      <c r="Q241" s="15"/>
      <c r="R241" s="18"/>
      <c r="S241" s="20">
        <v>227</v>
      </c>
      <c r="V241" s="3">
        <f t="shared" si="42"/>
        <v>0</v>
      </c>
      <c r="X241" s="3" t="str">
        <f t="shared" si="43"/>
        <v/>
      </c>
      <c r="Y241" s="3" t="str">
        <f t="shared" si="44"/>
        <v/>
      </c>
      <c r="Z241" s="3" t="str">
        <f t="shared" si="45"/>
        <v/>
      </c>
      <c r="AA241" s="3" t="str">
        <f t="shared" si="55"/>
        <v/>
      </c>
      <c r="AB241" s="3" t="str">
        <f t="shared" si="46"/>
        <v/>
      </c>
      <c r="AC241" s="3" t="str">
        <f t="shared" si="47"/>
        <v/>
      </c>
      <c r="AD241" s="3" t="str">
        <f t="shared" si="48"/>
        <v/>
      </c>
      <c r="AE241" s="3" t="str">
        <f t="shared" si="49"/>
        <v/>
      </c>
      <c r="AF241" s="3" t="str">
        <f t="shared" si="50"/>
        <v/>
      </c>
      <c r="AG241" s="3" t="str">
        <f t="shared" si="51"/>
        <v/>
      </c>
      <c r="AH241" s="3" t="str">
        <f t="shared" si="52"/>
        <v/>
      </c>
      <c r="AI241" s="3" t="str">
        <f t="shared" si="53"/>
        <v/>
      </c>
      <c r="AJ241" s="3" t="str">
        <f t="shared" si="54"/>
        <v/>
      </c>
      <c r="AK241" s="3" t="str">
        <f>IF(V241=0,"",_xlfn.CONCAT(DADOS!$A$8,X241:AJ241,"
"))</f>
        <v/>
      </c>
    </row>
    <row r="242" spans="5:37" ht="15" customHeight="1" x14ac:dyDescent="0.25">
      <c r="E242" s="22"/>
      <c r="F242" s="22"/>
      <c r="G242" s="12"/>
      <c r="H242" s="22"/>
      <c r="I242" s="13"/>
      <c r="J242" s="14"/>
      <c r="K242" s="12"/>
      <c r="L242" s="15"/>
      <c r="M242" s="16"/>
      <c r="N242" s="15"/>
      <c r="O242" s="16"/>
      <c r="P242" s="17"/>
      <c r="Q242" s="15"/>
      <c r="R242" s="18"/>
      <c r="S242" s="20">
        <v>228</v>
      </c>
      <c r="V242" s="3">
        <f t="shared" si="42"/>
        <v>0</v>
      </c>
      <c r="X242" s="3" t="str">
        <f t="shared" si="43"/>
        <v/>
      </c>
      <c r="Y242" s="3" t="str">
        <f t="shared" si="44"/>
        <v/>
      </c>
      <c r="Z242" s="3" t="str">
        <f t="shared" si="45"/>
        <v/>
      </c>
      <c r="AA242" s="3" t="str">
        <f t="shared" si="55"/>
        <v/>
      </c>
      <c r="AB242" s="3" t="str">
        <f t="shared" si="46"/>
        <v/>
      </c>
      <c r="AC242" s="3" t="str">
        <f t="shared" si="47"/>
        <v/>
      </c>
      <c r="AD242" s="3" t="str">
        <f t="shared" si="48"/>
        <v/>
      </c>
      <c r="AE242" s="3" t="str">
        <f t="shared" si="49"/>
        <v/>
      </c>
      <c r="AF242" s="3" t="str">
        <f t="shared" si="50"/>
        <v/>
      </c>
      <c r="AG242" s="3" t="str">
        <f t="shared" si="51"/>
        <v/>
      </c>
      <c r="AH242" s="3" t="str">
        <f t="shared" si="52"/>
        <v/>
      </c>
      <c r="AI242" s="3" t="str">
        <f t="shared" si="53"/>
        <v/>
      </c>
      <c r="AJ242" s="3" t="str">
        <f t="shared" si="54"/>
        <v/>
      </c>
      <c r="AK242" s="3" t="str">
        <f>IF(V242=0,"",_xlfn.CONCAT(DADOS!$A$8,X242:AJ242,"
"))</f>
        <v/>
      </c>
    </row>
    <row r="243" spans="5:37" ht="15" customHeight="1" x14ac:dyDescent="0.25">
      <c r="E243" s="22"/>
      <c r="F243" s="22"/>
      <c r="G243" s="12"/>
      <c r="H243" s="22"/>
      <c r="I243" s="13"/>
      <c r="J243" s="14"/>
      <c r="K243" s="12"/>
      <c r="L243" s="15"/>
      <c r="M243" s="16"/>
      <c r="N243" s="15"/>
      <c r="O243" s="16"/>
      <c r="P243" s="17"/>
      <c r="Q243" s="15"/>
      <c r="R243" s="18"/>
      <c r="S243" s="20">
        <v>229</v>
      </c>
      <c r="V243" s="3">
        <f t="shared" si="42"/>
        <v>0</v>
      </c>
      <c r="X243" s="3" t="str">
        <f t="shared" si="43"/>
        <v/>
      </c>
      <c r="Y243" s="3" t="str">
        <f t="shared" si="44"/>
        <v/>
      </c>
      <c r="Z243" s="3" t="str">
        <f t="shared" si="45"/>
        <v/>
      </c>
      <c r="AA243" s="3" t="str">
        <f t="shared" si="55"/>
        <v/>
      </c>
      <c r="AB243" s="3" t="str">
        <f t="shared" si="46"/>
        <v/>
      </c>
      <c r="AC243" s="3" t="str">
        <f t="shared" si="47"/>
        <v/>
      </c>
      <c r="AD243" s="3" t="str">
        <f t="shared" si="48"/>
        <v/>
      </c>
      <c r="AE243" s="3" t="str">
        <f t="shared" si="49"/>
        <v/>
      </c>
      <c r="AF243" s="3" t="str">
        <f t="shared" si="50"/>
        <v/>
      </c>
      <c r="AG243" s="3" t="str">
        <f t="shared" si="51"/>
        <v/>
      </c>
      <c r="AH243" s="3" t="str">
        <f t="shared" si="52"/>
        <v/>
      </c>
      <c r="AI243" s="3" t="str">
        <f t="shared" si="53"/>
        <v/>
      </c>
      <c r="AJ243" s="3" t="str">
        <f t="shared" si="54"/>
        <v/>
      </c>
      <c r="AK243" s="3" t="str">
        <f>IF(V243=0,"",_xlfn.CONCAT(DADOS!$A$8,X243:AJ243,"
"))</f>
        <v/>
      </c>
    </row>
    <row r="244" spans="5:37" ht="15" customHeight="1" x14ac:dyDescent="0.25">
      <c r="E244" s="22"/>
      <c r="F244" s="22"/>
      <c r="G244" s="12"/>
      <c r="H244" s="22"/>
      <c r="I244" s="13"/>
      <c r="J244" s="14"/>
      <c r="K244" s="12"/>
      <c r="L244" s="15"/>
      <c r="M244" s="16"/>
      <c r="N244" s="15"/>
      <c r="O244" s="16"/>
      <c r="P244" s="17"/>
      <c r="Q244" s="15"/>
      <c r="R244" s="18"/>
      <c r="S244" s="20">
        <v>230</v>
      </c>
      <c r="V244" s="3">
        <f t="shared" si="42"/>
        <v>0</v>
      </c>
      <c r="X244" s="3" t="str">
        <f t="shared" si="43"/>
        <v/>
      </c>
      <c r="Y244" s="3" t="str">
        <f t="shared" si="44"/>
        <v/>
      </c>
      <c r="Z244" s="3" t="str">
        <f t="shared" si="45"/>
        <v/>
      </c>
      <c r="AA244" s="3" t="str">
        <f t="shared" si="55"/>
        <v/>
      </c>
      <c r="AB244" s="3" t="str">
        <f t="shared" si="46"/>
        <v/>
      </c>
      <c r="AC244" s="3" t="str">
        <f t="shared" si="47"/>
        <v/>
      </c>
      <c r="AD244" s="3" t="str">
        <f t="shared" si="48"/>
        <v/>
      </c>
      <c r="AE244" s="3" t="str">
        <f t="shared" si="49"/>
        <v/>
      </c>
      <c r="AF244" s="3" t="str">
        <f t="shared" si="50"/>
        <v/>
      </c>
      <c r="AG244" s="3" t="str">
        <f t="shared" si="51"/>
        <v/>
      </c>
      <c r="AH244" s="3" t="str">
        <f t="shared" si="52"/>
        <v/>
      </c>
      <c r="AI244" s="3" t="str">
        <f t="shared" si="53"/>
        <v/>
      </c>
      <c r="AJ244" s="3" t="str">
        <f t="shared" si="54"/>
        <v/>
      </c>
      <c r="AK244" s="3" t="str">
        <f>IF(V244=0,"",_xlfn.CONCAT(DADOS!$A$8,X244:AJ244,"
"))</f>
        <v/>
      </c>
    </row>
    <row r="245" spans="5:37" ht="15" customHeight="1" x14ac:dyDescent="0.25">
      <c r="E245" s="22"/>
      <c r="F245" s="22"/>
      <c r="G245" s="12"/>
      <c r="H245" s="22"/>
      <c r="I245" s="13"/>
      <c r="J245" s="14"/>
      <c r="K245" s="12"/>
      <c r="L245" s="15"/>
      <c r="M245" s="16"/>
      <c r="N245" s="15"/>
      <c r="O245" s="16"/>
      <c r="P245" s="17"/>
      <c r="Q245" s="15"/>
      <c r="R245" s="18"/>
      <c r="S245" s="20">
        <v>231</v>
      </c>
      <c r="V245" s="3">
        <f t="shared" si="42"/>
        <v>0</v>
      </c>
      <c r="X245" s="3" t="str">
        <f t="shared" si="43"/>
        <v/>
      </c>
      <c r="Y245" s="3" t="str">
        <f t="shared" si="44"/>
        <v/>
      </c>
      <c r="Z245" s="3" t="str">
        <f t="shared" si="45"/>
        <v/>
      </c>
      <c r="AA245" s="3" t="str">
        <f t="shared" si="55"/>
        <v/>
      </c>
      <c r="AB245" s="3" t="str">
        <f t="shared" si="46"/>
        <v/>
      </c>
      <c r="AC245" s="3" t="str">
        <f t="shared" si="47"/>
        <v/>
      </c>
      <c r="AD245" s="3" t="str">
        <f t="shared" si="48"/>
        <v/>
      </c>
      <c r="AE245" s="3" t="str">
        <f t="shared" si="49"/>
        <v/>
      </c>
      <c r="AF245" s="3" t="str">
        <f t="shared" si="50"/>
        <v/>
      </c>
      <c r="AG245" s="3" t="str">
        <f t="shared" si="51"/>
        <v/>
      </c>
      <c r="AH245" s="3" t="str">
        <f t="shared" si="52"/>
        <v/>
      </c>
      <c r="AI245" s="3" t="str">
        <f t="shared" si="53"/>
        <v/>
      </c>
      <c r="AJ245" s="3" t="str">
        <f t="shared" si="54"/>
        <v/>
      </c>
      <c r="AK245" s="3" t="str">
        <f>IF(V245=0,"",_xlfn.CONCAT(DADOS!$A$8,X245:AJ245,"
"))</f>
        <v/>
      </c>
    </row>
    <row r="246" spans="5:37" ht="15" customHeight="1" x14ac:dyDescent="0.25">
      <c r="E246" s="22"/>
      <c r="F246" s="22"/>
      <c r="G246" s="12"/>
      <c r="H246" s="22"/>
      <c r="I246" s="13"/>
      <c r="J246" s="14"/>
      <c r="K246" s="12"/>
      <c r="L246" s="15"/>
      <c r="M246" s="16"/>
      <c r="N246" s="15"/>
      <c r="O246" s="16"/>
      <c r="P246" s="17"/>
      <c r="Q246" s="15"/>
      <c r="R246" s="18"/>
      <c r="S246" s="20">
        <v>232</v>
      </c>
      <c r="V246" s="3">
        <f t="shared" si="42"/>
        <v>0</v>
      </c>
      <c r="X246" s="3" t="str">
        <f t="shared" si="43"/>
        <v/>
      </c>
      <c r="Y246" s="3" t="str">
        <f t="shared" si="44"/>
        <v/>
      </c>
      <c r="Z246" s="3" t="str">
        <f t="shared" si="45"/>
        <v/>
      </c>
      <c r="AA246" s="3" t="str">
        <f t="shared" si="55"/>
        <v/>
      </c>
      <c r="AB246" s="3" t="str">
        <f t="shared" si="46"/>
        <v/>
      </c>
      <c r="AC246" s="3" t="str">
        <f t="shared" si="47"/>
        <v/>
      </c>
      <c r="AD246" s="3" t="str">
        <f t="shared" si="48"/>
        <v/>
      </c>
      <c r="AE246" s="3" t="str">
        <f t="shared" si="49"/>
        <v/>
      </c>
      <c r="AF246" s="3" t="str">
        <f t="shared" si="50"/>
        <v/>
      </c>
      <c r="AG246" s="3" t="str">
        <f t="shared" si="51"/>
        <v/>
      </c>
      <c r="AH246" s="3" t="str">
        <f t="shared" si="52"/>
        <v/>
      </c>
      <c r="AI246" s="3" t="str">
        <f t="shared" si="53"/>
        <v/>
      </c>
      <c r="AJ246" s="3" t="str">
        <f t="shared" si="54"/>
        <v/>
      </c>
      <c r="AK246" s="3" t="str">
        <f>IF(V246=0,"",_xlfn.CONCAT(DADOS!$A$8,X246:AJ246,"
"))</f>
        <v/>
      </c>
    </row>
    <row r="247" spans="5:37" ht="15" customHeight="1" x14ac:dyDescent="0.25">
      <c r="E247" s="22"/>
      <c r="F247" s="22"/>
      <c r="G247" s="12"/>
      <c r="H247" s="22"/>
      <c r="I247" s="13"/>
      <c r="J247" s="14"/>
      <c r="K247" s="12"/>
      <c r="L247" s="15"/>
      <c r="M247" s="16"/>
      <c r="N247" s="15"/>
      <c r="O247" s="16"/>
      <c r="P247" s="17"/>
      <c r="Q247" s="15"/>
      <c r="R247" s="18"/>
      <c r="S247" s="20">
        <v>233</v>
      </c>
      <c r="V247" s="3">
        <f t="shared" si="42"/>
        <v>0</v>
      </c>
      <c r="X247" s="3" t="str">
        <f t="shared" si="43"/>
        <v/>
      </c>
      <c r="Y247" s="3" t="str">
        <f t="shared" si="44"/>
        <v/>
      </c>
      <c r="Z247" s="3" t="str">
        <f t="shared" si="45"/>
        <v/>
      </c>
      <c r="AA247" s="3" t="str">
        <f t="shared" si="55"/>
        <v/>
      </c>
      <c r="AB247" s="3" t="str">
        <f t="shared" si="46"/>
        <v/>
      </c>
      <c r="AC247" s="3" t="str">
        <f t="shared" si="47"/>
        <v/>
      </c>
      <c r="AD247" s="3" t="str">
        <f t="shared" si="48"/>
        <v/>
      </c>
      <c r="AE247" s="3" t="str">
        <f t="shared" si="49"/>
        <v/>
      </c>
      <c r="AF247" s="3" t="str">
        <f t="shared" si="50"/>
        <v/>
      </c>
      <c r="AG247" s="3" t="str">
        <f t="shared" si="51"/>
        <v/>
      </c>
      <c r="AH247" s="3" t="str">
        <f t="shared" si="52"/>
        <v/>
      </c>
      <c r="AI247" s="3" t="str">
        <f t="shared" si="53"/>
        <v/>
      </c>
      <c r="AJ247" s="3" t="str">
        <f t="shared" si="54"/>
        <v/>
      </c>
      <c r="AK247" s="3" t="str">
        <f>IF(V247=0,"",_xlfn.CONCAT(DADOS!$A$8,X247:AJ247,"
"))</f>
        <v/>
      </c>
    </row>
    <row r="248" spans="5:37" ht="15" customHeight="1" x14ac:dyDescent="0.25">
      <c r="E248" s="22"/>
      <c r="F248" s="22"/>
      <c r="G248" s="12"/>
      <c r="H248" s="22"/>
      <c r="I248" s="13"/>
      <c r="J248" s="14"/>
      <c r="K248" s="12"/>
      <c r="L248" s="15"/>
      <c r="M248" s="16"/>
      <c r="N248" s="15"/>
      <c r="O248" s="16"/>
      <c r="P248" s="17"/>
      <c r="Q248" s="15"/>
      <c r="R248" s="18"/>
      <c r="S248" s="20">
        <v>234</v>
      </c>
      <c r="V248" s="3">
        <f t="shared" si="42"/>
        <v>0</v>
      </c>
      <c r="X248" s="3" t="str">
        <f t="shared" si="43"/>
        <v/>
      </c>
      <c r="Y248" s="3" t="str">
        <f t="shared" si="44"/>
        <v/>
      </c>
      <c r="Z248" s="3" t="str">
        <f t="shared" si="45"/>
        <v/>
      </c>
      <c r="AA248" s="3" t="str">
        <f t="shared" si="55"/>
        <v/>
      </c>
      <c r="AB248" s="3" t="str">
        <f t="shared" si="46"/>
        <v/>
      </c>
      <c r="AC248" s="3" t="str">
        <f t="shared" si="47"/>
        <v/>
      </c>
      <c r="AD248" s="3" t="str">
        <f t="shared" si="48"/>
        <v/>
      </c>
      <c r="AE248" s="3" t="str">
        <f t="shared" si="49"/>
        <v/>
      </c>
      <c r="AF248" s="3" t="str">
        <f t="shared" si="50"/>
        <v/>
      </c>
      <c r="AG248" s="3" t="str">
        <f t="shared" si="51"/>
        <v/>
      </c>
      <c r="AH248" s="3" t="str">
        <f t="shared" si="52"/>
        <v/>
      </c>
      <c r="AI248" s="3" t="str">
        <f t="shared" si="53"/>
        <v/>
      </c>
      <c r="AJ248" s="3" t="str">
        <f t="shared" si="54"/>
        <v/>
      </c>
      <c r="AK248" s="3" t="str">
        <f>IF(V248=0,"",_xlfn.CONCAT(DADOS!$A$8,X248:AJ248,"
"))</f>
        <v/>
      </c>
    </row>
    <row r="249" spans="5:37" ht="15" customHeight="1" x14ac:dyDescent="0.25">
      <c r="E249" s="22"/>
      <c r="F249" s="22"/>
      <c r="G249" s="12"/>
      <c r="H249" s="22"/>
      <c r="I249" s="13"/>
      <c r="J249" s="14"/>
      <c r="K249" s="12"/>
      <c r="L249" s="15"/>
      <c r="M249" s="16"/>
      <c r="N249" s="15"/>
      <c r="O249" s="16"/>
      <c r="P249" s="17"/>
      <c r="Q249" s="15"/>
      <c r="R249" s="18"/>
      <c r="S249" s="20">
        <v>235</v>
      </c>
      <c r="V249" s="3">
        <f t="shared" si="42"/>
        <v>0</v>
      </c>
      <c r="X249" s="3" t="str">
        <f t="shared" si="43"/>
        <v/>
      </c>
      <c r="Y249" s="3" t="str">
        <f t="shared" si="44"/>
        <v/>
      </c>
      <c r="Z249" s="3" t="str">
        <f t="shared" si="45"/>
        <v/>
      </c>
      <c r="AA249" s="3" t="str">
        <f t="shared" si="55"/>
        <v/>
      </c>
      <c r="AB249" s="3" t="str">
        <f t="shared" si="46"/>
        <v/>
      </c>
      <c r="AC249" s="3" t="str">
        <f t="shared" si="47"/>
        <v/>
      </c>
      <c r="AD249" s="3" t="str">
        <f t="shared" si="48"/>
        <v/>
      </c>
      <c r="AE249" s="3" t="str">
        <f t="shared" si="49"/>
        <v/>
      </c>
      <c r="AF249" s="3" t="str">
        <f t="shared" si="50"/>
        <v/>
      </c>
      <c r="AG249" s="3" t="str">
        <f t="shared" si="51"/>
        <v/>
      </c>
      <c r="AH249" s="3" t="str">
        <f t="shared" si="52"/>
        <v/>
      </c>
      <c r="AI249" s="3" t="str">
        <f t="shared" si="53"/>
        <v/>
      </c>
      <c r="AJ249" s="3" t="str">
        <f t="shared" si="54"/>
        <v/>
      </c>
      <c r="AK249" s="3" t="str">
        <f>IF(V249=0,"",_xlfn.CONCAT(DADOS!$A$8,X249:AJ249,"
"))</f>
        <v/>
      </c>
    </row>
    <row r="250" spans="5:37" ht="15" customHeight="1" x14ac:dyDescent="0.25">
      <c r="E250" s="22"/>
      <c r="F250" s="22"/>
      <c r="G250" s="12"/>
      <c r="H250" s="22"/>
      <c r="I250" s="13"/>
      <c r="J250" s="14"/>
      <c r="K250" s="12"/>
      <c r="L250" s="15"/>
      <c r="M250" s="16"/>
      <c r="N250" s="15"/>
      <c r="O250" s="16"/>
      <c r="P250" s="17"/>
      <c r="Q250" s="15"/>
      <c r="R250" s="18"/>
      <c r="S250" s="20">
        <v>236</v>
      </c>
      <c r="V250" s="3">
        <f t="shared" si="42"/>
        <v>0</v>
      </c>
      <c r="X250" s="3" t="str">
        <f t="shared" si="43"/>
        <v/>
      </c>
      <c r="Y250" s="3" t="str">
        <f t="shared" si="44"/>
        <v/>
      </c>
      <c r="Z250" s="3" t="str">
        <f t="shared" si="45"/>
        <v/>
      </c>
      <c r="AA250" s="3" t="str">
        <f t="shared" si="55"/>
        <v/>
      </c>
      <c r="AB250" s="3" t="str">
        <f t="shared" si="46"/>
        <v/>
      </c>
      <c r="AC250" s="3" t="str">
        <f t="shared" si="47"/>
        <v/>
      </c>
      <c r="AD250" s="3" t="str">
        <f t="shared" si="48"/>
        <v/>
      </c>
      <c r="AE250" s="3" t="str">
        <f t="shared" si="49"/>
        <v/>
      </c>
      <c r="AF250" s="3" t="str">
        <f t="shared" si="50"/>
        <v/>
      </c>
      <c r="AG250" s="3" t="str">
        <f t="shared" si="51"/>
        <v/>
      </c>
      <c r="AH250" s="3" t="str">
        <f t="shared" si="52"/>
        <v/>
      </c>
      <c r="AI250" s="3" t="str">
        <f t="shared" si="53"/>
        <v/>
      </c>
      <c r="AJ250" s="3" t="str">
        <f t="shared" si="54"/>
        <v/>
      </c>
      <c r="AK250" s="3" t="str">
        <f>IF(V250=0,"",_xlfn.CONCAT(DADOS!$A$8,X250:AJ250,"
"))</f>
        <v/>
      </c>
    </row>
    <row r="251" spans="5:37" ht="15" customHeight="1" x14ac:dyDescent="0.25">
      <c r="E251" s="22"/>
      <c r="F251" s="22"/>
      <c r="G251" s="12"/>
      <c r="H251" s="22"/>
      <c r="I251" s="13"/>
      <c r="J251" s="14"/>
      <c r="K251" s="12"/>
      <c r="L251" s="15"/>
      <c r="M251" s="16"/>
      <c r="N251" s="15"/>
      <c r="O251" s="16"/>
      <c r="P251" s="17"/>
      <c r="Q251" s="15"/>
      <c r="R251" s="18"/>
      <c r="S251" s="20">
        <v>237</v>
      </c>
      <c r="V251" s="3">
        <f t="shared" si="42"/>
        <v>0</v>
      </c>
      <c r="X251" s="3" t="str">
        <f t="shared" si="43"/>
        <v/>
      </c>
      <c r="Y251" s="3" t="str">
        <f t="shared" si="44"/>
        <v/>
      </c>
      <c r="Z251" s="3" t="str">
        <f t="shared" si="45"/>
        <v/>
      </c>
      <c r="AA251" s="3" t="str">
        <f t="shared" si="55"/>
        <v/>
      </c>
      <c r="AB251" s="3" t="str">
        <f t="shared" si="46"/>
        <v/>
      </c>
      <c r="AC251" s="3" t="str">
        <f t="shared" si="47"/>
        <v/>
      </c>
      <c r="AD251" s="3" t="str">
        <f t="shared" si="48"/>
        <v/>
      </c>
      <c r="AE251" s="3" t="str">
        <f t="shared" si="49"/>
        <v/>
      </c>
      <c r="AF251" s="3" t="str">
        <f t="shared" si="50"/>
        <v/>
      </c>
      <c r="AG251" s="3" t="str">
        <f t="shared" si="51"/>
        <v/>
      </c>
      <c r="AH251" s="3" t="str">
        <f t="shared" si="52"/>
        <v/>
      </c>
      <c r="AI251" s="3" t="str">
        <f t="shared" si="53"/>
        <v/>
      </c>
      <c r="AJ251" s="3" t="str">
        <f t="shared" si="54"/>
        <v/>
      </c>
      <c r="AK251" s="3" t="str">
        <f>IF(V251=0,"",_xlfn.CONCAT(DADOS!$A$8,X251:AJ251,"
"))</f>
        <v/>
      </c>
    </row>
    <row r="252" spans="5:37" ht="15" customHeight="1" x14ac:dyDescent="0.25">
      <c r="E252" s="22"/>
      <c r="F252" s="22"/>
      <c r="G252" s="12"/>
      <c r="H252" s="22"/>
      <c r="I252" s="13"/>
      <c r="J252" s="14"/>
      <c r="K252" s="12"/>
      <c r="L252" s="15"/>
      <c r="M252" s="16"/>
      <c r="N252" s="15"/>
      <c r="O252" s="16"/>
      <c r="P252" s="17"/>
      <c r="Q252" s="15"/>
      <c r="R252" s="18"/>
      <c r="S252" s="20">
        <v>238</v>
      </c>
      <c r="V252" s="3">
        <f t="shared" si="42"/>
        <v>0</v>
      </c>
      <c r="X252" s="3" t="str">
        <f t="shared" si="43"/>
        <v/>
      </c>
      <c r="Y252" s="3" t="str">
        <f t="shared" si="44"/>
        <v/>
      </c>
      <c r="Z252" s="3" t="str">
        <f t="shared" si="45"/>
        <v/>
      </c>
      <c r="AA252" s="3" t="str">
        <f t="shared" si="55"/>
        <v/>
      </c>
      <c r="AB252" s="3" t="str">
        <f t="shared" si="46"/>
        <v/>
      </c>
      <c r="AC252" s="3" t="str">
        <f t="shared" si="47"/>
        <v/>
      </c>
      <c r="AD252" s="3" t="str">
        <f t="shared" si="48"/>
        <v/>
      </c>
      <c r="AE252" s="3" t="str">
        <f t="shared" si="49"/>
        <v/>
      </c>
      <c r="AF252" s="3" t="str">
        <f t="shared" si="50"/>
        <v/>
      </c>
      <c r="AG252" s="3" t="str">
        <f t="shared" si="51"/>
        <v/>
      </c>
      <c r="AH252" s="3" t="str">
        <f t="shared" si="52"/>
        <v/>
      </c>
      <c r="AI252" s="3" t="str">
        <f t="shared" si="53"/>
        <v/>
      </c>
      <c r="AJ252" s="3" t="str">
        <f t="shared" si="54"/>
        <v/>
      </c>
      <c r="AK252" s="3" t="str">
        <f>IF(V252=0,"",_xlfn.CONCAT(DADOS!$A$8,X252:AJ252,"
"))</f>
        <v/>
      </c>
    </row>
    <row r="253" spans="5:37" ht="15" customHeight="1" x14ac:dyDescent="0.25">
      <c r="E253" s="22"/>
      <c r="F253" s="22"/>
      <c r="G253" s="12"/>
      <c r="H253" s="22"/>
      <c r="I253" s="13"/>
      <c r="J253" s="14"/>
      <c r="K253" s="12"/>
      <c r="L253" s="15"/>
      <c r="M253" s="16"/>
      <c r="N253" s="15"/>
      <c r="O253" s="16"/>
      <c r="P253" s="17"/>
      <c r="Q253" s="15"/>
      <c r="R253" s="18"/>
      <c r="S253" s="20">
        <v>239</v>
      </c>
      <c r="V253" s="3">
        <f t="shared" si="42"/>
        <v>0</v>
      </c>
      <c r="X253" s="3" t="str">
        <f t="shared" si="43"/>
        <v/>
      </c>
      <c r="Y253" s="3" t="str">
        <f t="shared" si="44"/>
        <v/>
      </c>
      <c r="Z253" s="3" t="str">
        <f t="shared" si="45"/>
        <v/>
      </c>
      <c r="AA253" s="3" t="str">
        <f t="shared" si="55"/>
        <v/>
      </c>
      <c r="AB253" s="3" t="str">
        <f t="shared" si="46"/>
        <v/>
      </c>
      <c r="AC253" s="3" t="str">
        <f t="shared" si="47"/>
        <v/>
      </c>
      <c r="AD253" s="3" t="str">
        <f t="shared" si="48"/>
        <v/>
      </c>
      <c r="AE253" s="3" t="str">
        <f t="shared" si="49"/>
        <v/>
      </c>
      <c r="AF253" s="3" t="str">
        <f t="shared" si="50"/>
        <v/>
      </c>
      <c r="AG253" s="3" t="str">
        <f t="shared" si="51"/>
        <v/>
      </c>
      <c r="AH253" s="3" t="str">
        <f t="shared" si="52"/>
        <v/>
      </c>
      <c r="AI253" s="3" t="str">
        <f t="shared" si="53"/>
        <v/>
      </c>
      <c r="AJ253" s="3" t="str">
        <f t="shared" si="54"/>
        <v/>
      </c>
      <c r="AK253" s="3" t="str">
        <f>IF(V253=0,"",_xlfn.CONCAT(DADOS!$A$8,X253:AJ253,"
"))</f>
        <v/>
      </c>
    </row>
    <row r="254" spans="5:37" ht="15" customHeight="1" x14ac:dyDescent="0.25">
      <c r="E254" s="22"/>
      <c r="F254" s="22"/>
      <c r="G254" s="12"/>
      <c r="H254" s="22"/>
      <c r="I254" s="13"/>
      <c r="J254" s="14"/>
      <c r="K254" s="12"/>
      <c r="L254" s="15"/>
      <c r="M254" s="16"/>
      <c r="N254" s="15"/>
      <c r="O254" s="16"/>
      <c r="P254" s="17"/>
      <c r="Q254" s="15"/>
      <c r="R254" s="18"/>
      <c r="S254" s="20">
        <v>240</v>
      </c>
      <c r="V254" s="3">
        <f t="shared" si="42"/>
        <v>0</v>
      </c>
      <c r="X254" s="3" t="str">
        <f t="shared" si="43"/>
        <v/>
      </c>
      <c r="Y254" s="3" t="str">
        <f t="shared" si="44"/>
        <v/>
      </c>
      <c r="Z254" s="3" t="str">
        <f t="shared" si="45"/>
        <v/>
      </c>
      <c r="AA254" s="3" t="str">
        <f t="shared" si="55"/>
        <v/>
      </c>
      <c r="AB254" s="3" t="str">
        <f t="shared" si="46"/>
        <v/>
      </c>
      <c r="AC254" s="3" t="str">
        <f t="shared" si="47"/>
        <v/>
      </c>
      <c r="AD254" s="3" t="str">
        <f t="shared" si="48"/>
        <v/>
      </c>
      <c r="AE254" s="3" t="str">
        <f t="shared" si="49"/>
        <v/>
      </c>
      <c r="AF254" s="3" t="str">
        <f t="shared" si="50"/>
        <v/>
      </c>
      <c r="AG254" s="3" t="str">
        <f t="shared" si="51"/>
        <v/>
      </c>
      <c r="AH254" s="3" t="str">
        <f t="shared" si="52"/>
        <v/>
      </c>
      <c r="AI254" s="3" t="str">
        <f t="shared" si="53"/>
        <v/>
      </c>
      <c r="AJ254" s="3" t="str">
        <f t="shared" si="54"/>
        <v/>
      </c>
      <c r="AK254" s="3" t="str">
        <f>IF(V254=0,"",_xlfn.CONCAT(DADOS!$A$8,X254:AJ254,"
"))</f>
        <v/>
      </c>
    </row>
    <row r="255" spans="5:37" ht="15" customHeight="1" x14ac:dyDescent="0.25">
      <c r="E255" s="22"/>
      <c r="F255" s="22"/>
      <c r="G255" s="12"/>
      <c r="H255" s="22"/>
      <c r="I255" s="13"/>
      <c r="J255" s="14"/>
      <c r="K255" s="12"/>
      <c r="L255" s="15"/>
      <c r="M255" s="16"/>
      <c r="N255" s="15"/>
      <c r="O255" s="16"/>
      <c r="P255" s="17"/>
      <c r="Q255" s="15"/>
      <c r="R255" s="18"/>
      <c r="S255" s="20">
        <v>241</v>
      </c>
      <c r="V255" s="3">
        <f t="shared" si="42"/>
        <v>0</v>
      </c>
      <c r="X255" s="3" t="str">
        <f t="shared" si="43"/>
        <v/>
      </c>
      <c r="Y255" s="3" t="str">
        <f t="shared" si="44"/>
        <v/>
      </c>
      <c r="Z255" s="3" t="str">
        <f t="shared" si="45"/>
        <v/>
      </c>
      <c r="AA255" s="3" t="str">
        <f t="shared" si="55"/>
        <v/>
      </c>
      <c r="AB255" s="3" t="str">
        <f t="shared" si="46"/>
        <v/>
      </c>
      <c r="AC255" s="3" t="str">
        <f t="shared" si="47"/>
        <v/>
      </c>
      <c r="AD255" s="3" t="str">
        <f t="shared" si="48"/>
        <v/>
      </c>
      <c r="AE255" s="3" t="str">
        <f t="shared" si="49"/>
        <v/>
      </c>
      <c r="AF255" s="3" t="str">
        <f t="shared" si="50"/>
        <v/>
      </c>
      <c r="AG255" s="3" t="str">
        <f t="shared" si="51"/>
        <v/>
      </c>
      <c r="AH255" s="3" t="str">
        <f t="shared" si="52"/>
        <v/>
      </c>
      <c r="AI255" s="3" t="str">
        <f t="shared" si="53"/>
        <v/>
      </c>
      <c r="AJ255" s="3" t="str">
        <f t="shared" si="54"/>
        <v/>
      </c>
      <c r="AK255" s="3" t="str">
        <f>IF(V255=0,"",_xlfn.CONCAT(DADOS!$A$8,X255:AJ255,"
"))</f>
        <v/>
      </c>
    </row>
    <row r="256" spans="5:37" ht="15" customHeight="1" x14ac:dyDescent="0.25">
      <c r="E256" s="22"/>
      <c r="F256" s="22"/>
      <c r="G256" s="12"/>
      <c r="H256" s="22"/>
      <c r="I256" s="13"/>
      <c r="J256" s="14"/>
      <c r="K256" s="12"/>
      <c r="L256" s="15"/>
      <c r="M256" s="16"/>
      <c r="N256" s="15"/>
      <c r="O256" s="16"/>
      <c r="P256" s="17"/>
      <c r="Q256" s="15"/>
      <c r="R256" s="18"/>
      <c r="S256" s="20">
        <v>242</v>
      </c>
      <c r="V256" s="3">
        <f t="shared" si="42"/>
        <v>0</v>
      </c>
      <c r="X256" s="3" t="str">
        <f t="shared" si="43"/>
        <v/>
      </c>
      <c r="Y256" s="3" t="str">
        <f t="shared" si="44"/>
        <v/>
      </c>
      <c r="Z256" s="3" t="str">
        <f t="shared" si="45"/>
        <v/>
      </c>
      <c r="AA256" s="3" t="str">
        <f t="shared" si="55"/>
        <v/>
      </c>
      <c r="AB256" s="3" t="str">
        <f t="shared" si="46"/>
        <v/>
      </c>
      <c r="AC256" s="3" t="str">
        <f t="shared" si="47"/>
        <v/>
      </c>
      <c r="AD256" s="3" t="str">
        <f t="shared" si="48"/>
        <v/>
      </c>
      <c r="AE256" s="3" t="str">
        <f t="shared" si="49"/>
        <v/>
      </c>
      <c r="AF256" s="3" t="str">
        <f t="shared" si="50"/>
        <v/>
      </c>
      <c r="AG256" s="3" t="str">
        <f t="shared" si="51"/>
        <v/>
      </c>
      <c r="AH256" s="3" t="str">
        <f t="shared" si="52"/>
        <v/>
      </c>
      <c r="AI256" s="3" t="str">
        <f t="shared" si="53"/>
        <v/>
      </c>
      <c r="AJ256" s="3" t="str">
        <f t="shared" si="54"/>
        <v/>
      </c>
      <c r="AK256" s="3" t="str">
        <f>IF(V256=0,"",_xlfn.CONCAT(DADOS!$A$8,X256:AJ256,"
"))</f>
        <v/>
      </c>
    </row>
    <row r="257" spans="5:37" ht="15" customHeight="1" x14ac:dyDescent="0.25">
      <c r="E257" s="22"/>
      <c r="F257" s="22"/>
      <c r="G257" s="12"/>
      <c r="H257" s="22"/>
      <c r="I257" s="13"/>
      <c r="J257" s="14"/>
      <c r="K257" s="12"/>
      <c r="L257" s="15"/>
      <c r="M257" s="16"/>
      <c r="N257" s="15"/>
      <c r="O257" s="16"/>
      <c r="P257" s="17"/>
      <c r="Q257" s="15"/>
      <c r="R257" s="18"/>
      <c r="S257" s="20">
        <v>243</v>
      </c>
      <c r="V257" s="3">
        <f t="shared" si="42"/>
        <v>0</v>
      </c>
      <c r="X257" s="3" t="str">
        <f t="shared" si="43"/>
        <v/>
      </c>
      <c r="Y257" s="3" t="str">
        <f t="shared" si="44"/>
        <v/>
      </c>
      <c r="Z257" s="3" t="str">
        <f t="shared" si="45"/>
        <v/>
      </c>
      <c r="AA257" s="3" t="str">
        <f t="shared" si="55"/>
        <v/>
      </c>
      <c r="AB257" s="3" t="str">
        <f t="shared" si="46"/>
        <v/>
      </c>
      <c r="AC257" s="3" t="str">
        <f t="shared" si="47"/>
        <v/>
      </c>
      <c r="AD257" s="3" t="str">
        <f t="shared" si="48"/>
        <v/>
      </c>
      <c r="AE257" s="3" t="str">
        <f t="shared" si="49"/>
        <v/>
      </c>
      <c r="AF257" s="3" t="str">
        <f t="shared" si="50"/>
        <v/>
      </c>
      <c r="AG257" s="3" t="str">
        <f t="shared" si="51"/>
        <v/>
      </c>
      <c r="AH257" s="3" t="str">
        <f t="shared" si="52"/>
        <v/>
      </c>
      <c r="AI257" s="3" t="str">
        <f t="shared" si="53"/>
        <v/>
      </c>
      <c r="AJ257" s="3" t="str">
        <f t="shared" si="54"/>
        <v/>
      </c>
      <c r="AK257" s="3" t="str">
        <f>IF(V257=0,"",_xlfn.CONCAT(DADOS!$A$8,X257:AJ257,"
"))</f>
        <v/>
      </c>
    </row>
    <row r="258" spans="5:37" ht="15" customHeight="1" x14ac:dyDescent="0.25">
      <c r="E258" s="22"/>
      <c r="F258" s="22"/>
      <c r="G258" s="12"/>
      <c r="H258" s="22"/>
      <c r="I258" s="13"/>
      <c r="J258" s="14"/>
      <c r="K258" s="12"/>
      <c r="L258" s="15"/>
      <c r="M258" s="16"/>
      <c r="N258" s="15"/>
      <c r="O258" s="16"/>
      <c r="P258" s="17"/>
      <c r="Q258" s="15"/>
      <c r="R258" s="18"/>
      <c r="S258" s="20">
        <v>244</v>
      </c>
      <c r="V258" s="3">
        <f t="shared" si="42"/>
        <v>0</v>
      </c>
      <c r="X258" s="3" t="str">
        <f t="shared" si="43"/>
        <v/>
      </c>
      <c r="Y258" s="3" t="str">
        <f t="shared" si="44"/>
        <v/>
      </c>
      <c r="Z258" s="3" t="str">
        <f t="shared" si="45"/>
        <v/>
      </c>
      <c r="AA258" s="3" t="str">
        <f t="shared" si="55"/>
        <v/>
      </c>
      <c r="AB258" s="3" t="str">
        <f t="shared" si="46"/>
        <v/>
      </c>
      <c r="AC258" s="3" t="str">
        <f t="shared" si="47"/>
        <v/>
      </c>
      <c r="AD258" s="3" t="str">
        <f t="shared" si="48"/>
        <v/>
      </c>
      <c r="AE258" s="3" t="str">
        <f t="shared" si="49"/>
        <v/>
      </c>
      <c r="AF258" s="3" t="str">
        <f t="shared" si="50"/>
        <v/>
      </c>
      <c r="AG258" s="3" t="str">
        <f t="shared" si="51"/>
        <v/>
      </c>
      <c r="AH258" s="3" t="str">
        <f t="shared" si="52"/>
        <v/>
      </c>
      <c r="AI258" s="3" t="str">
        <f t="shared" si="53"/>
        <v/>
      </c>
      <c r="AJ258" s="3" t="str">
        <f t="shared" si="54"/>
        <v/>
      </c>
      <c r="AK258" s="3" t="str">
        <f>IF(V258=0,"",_xlfn.CONCAT(DADOS!$A$8,X258:AJ258,"
"))</f>
        <v/>
      </c>
    </row>
    <row r="259" spans="5:37" ht="15" customHeight="1" x14ac:dyDescent="0.25">
      <c r="E259" s="22"/>
      <c r="F259" s="22"/>
      <c r="G259" s="12"/>
      <c r="H259" s="22"/>
      <c r="I259" s="13"/>
      <c r="J259" s="14"/>
      <c r="K259" s="12"/>
      <c r="L259" s="15"/>
      <c r="M259" s="16"/>
      <c r="N259" s="15"/>
      <c r="O259" s="16"/>
      <c r="P259" s="17"/>
      <c r="Q259" s="15"/>
      <c r="R259" s="18"/>
      <c r="S259" s="20">
        <v>245</v>
      </c>
      <c r="V259" s="3">
        <f t="shared" si="42"/>
        <v>0</v>
      </c>
      <c r="X259" s="3" t="str">
        <f t="shared" si="43"/>
        <v/>
      </c>
      <c r="Y259" s="3" t="str">
        <f t="shared" si="44"/>
        <v/>
      </c>
      <c r="Z259" s="3" t="str">
        <f t="shared" si="45"/>
        <v/>
      </c>
      <c r="AA259" s="3" t="str">
        <f t="shared" si="55"/>
        <v/>
      </c>
      <c r="AB259" s="3" t="str">
        <f t="shared" si="46"/>
        <v/>
      </c>
      <c r="AC259" s="3" t="str">
        <f t="shared" si="47"/>
        <v/>
      </c>
      <c r="AD259" s="3" t="str">
        <f t="shared" si="48"/>
        <v/>
      </c>
      <c r="AE259" s="3" t="str">
        <f t="shared" si="49"/>
        <v/>
      </c>
      <c r="AF259" s="3" t="str">
        <f t="shared" si="50"/>
        <v/>
      </c>
      <c r="AG259" s="3" t="str">
        <f t="shared" si="51"/>
        <v/>
      </c>
      <c r="AH259" s="3" t="str">
        <f t="shared" si="52"/>
        <v/>
      </c>
      <c r="AI259" s="3" t="str">
        <f t="shared" si="53"/>
        <v/>
      </c>
      <c r="AJ259" s="3" t="str">
        <f t="shared" si="54"/>
        <v/>
      </c>
      <c r="AK259" s="3" t="str">
        <f>IF(V259=0,"",_xlfn.CONCAT(DADOS!$A$8,X259:AJ259,"
"))</f>
        <v/>
      </c>
    </row>
    <row r="260" spans="5:37" ht="15" customHeight="1" x14ac:dyDescent="0.25">
      <c r="E260" s="22"/>
      <c r="F260" s="22"/>
      <c r="G260" s="12"/>
      <c r="H260" s="22"/>
      <c r="I260" s="13"/>
      <c r="J260" s="14"/>
      <c r="K260" s="12"/>
      <c r="L260" s="15"/>
      <c r="M260" s="16"/>
      <c r="N260" s="15"/>
      <c r="O260" s="16"/>
      <c r="P260" s="17"/>
      <c r="Q260" s="15"/>
      <c r="R260" s="18"/>
      <c r="S260" s="20">
        <v>246</v>
      </c>
      <c r="V260" s="3">
        <f t="shared" si="42"/>
        <v>0</v>
      </c>
      <c r="X260" s="3" t="str">
        <f t="shared" si="43"/>
        <v/>
      </c>
      <c r="Y260" s="3" t="str">
        <f t="shared" si="44"/>
        <v/>
      </c>
      <c r="Z260" s="3" t="str">
        <f t="shared" si="45"/>
        <v/>
      </c>
      <c r="AA260" s="3" t="str">
        <f t="shared" si="55"/>
        <v/>
      </c>
      <c r="AB260" s="3" t="str">
        <f t="shared" si="46"/>
        <v/>
      </c>
      <c r="AC260" s="3" t="str">
        <f t="shared" si="47"/>
        <v/>
      </c>
      <c r="AD260" s="3" t="str">
        <f t="shared" si="48"/>
        <v/>
      </c>
      <c r="AE260" s="3" t="str">
        <f t="shared" si="49"/>
        <v/>
      </c>
      <c r="AF260" s="3" t="str">
        <f t="shared" si="50"/>
        <v/>
      </c>
      <c r="AG260" s="3" t="str">
        <f t="shared" si="51"/>
        <v/>
      </c>
      <c r="AH260" s="3" t="str">
        <f t="shared" si="52"/>
        <v/>
      </c>
      <c r="AI260" s="3" t="str">
        <f t="shared" si="53"/>
        <v/>
      </c>
      <c r="AJ260" s="3" t="str">
        <f t="shared" si="54"/>
        <v/>
      </c>
      <c r="AK260" s="3" t="str">
        <f>IF(V260=0,"",_xlfn.CONCAT(DADOS!$A$8,X260:AJ260,"
"))</f>
        <v/>
      </c>
    </row>
    <row r="261" spans="5:37" ht="15" customHeight="1" x14ac:dyDescent="0.25">
      <c r="E261" s="22"/>
      <c r="F261" s="22"/>
      <c r="G261" s="12"/>
      <c r="H261" s="22"/>
      <c r="I261" s="13"/>
      <c r="J261" s="14"/>
      <c r="K261" s="12"/>
      <c r="L261" s="15"/>
      <c r="M261" s="16"/>
      <c r="N261" s="15"/>
      <c r="O261" s="16"/>
      <c r="P261" s="17"/>
      <c r="Q261" s="15"/>
      <c r="R261" s="18"/>
      <c r="S261" s="20">
        <v>247</v>
      </c>
      <c r="V261" s="3">
        <f t="shared" si="42"/>
        <v>0</v>
      </c>
      <c r="X261" s="3" t="str">
        <f t="shared" si="43"/>
        <v/>
      </c>
      <c r="Y261" s="3" t="str">
        <f t="shared" si="44"/>
        <v/>
      </c>
      <c r="Z261" s="3" t="str">
        <f t="shared" si="45"/>
        <v/>
      </c>
      <c r="AA261" s="3" t="str">
        <f t="shared" si="55"/>
        <v/>
      </c>
      <c r="AB261" s="3" t="str">
        <f t="shared" si="46"/>
        <v/>
      </c>
      <c r="AC261" s="3" t="str">
        <f t="shared" si="47"/>
        <v/>
      </c>
      <c r="AD261" s="3" t="str">
        <f t="shared" si="48"/>
        <v/>
      </c>
      <c r="AE261" s="3" t="str">
        <f t="shared" si="49"/>
        <v/>
      </c>
      <c r="AF261" s="3" t="str">
        <f t="shared" si="50"/>
        <v/>
      </c>
      <c r="AG261" s="3" t="str">
        <f t="shared" si="51"/>
        <v/>
      </c>
      <c r="AH261" s="3" t="str">
        <f t="shared" si="52"/>
        <v/>
      </c>
      <c r="AI261" s="3" t="str">
        <f t="shared" si="53"/>
        <v/>
      </c>
      <c r="AJ261" s="3" t="str">
        <f t="shared" si="54"/>
        <v/>
      </c>
      <c r="AK261" s="3" t="str">
        <f>IF(V261=0,"",_xlfn.CONCAT(DADOS!$A$8,X261:AJ261,"
"))</f>
        <v/>
      </c>
    </row>
    <row r="262" spans="5:37" ht="15" customHeight="1" x14ac:dyDescent="0.25">
      <c r="E262" s="22"/>
      <c r="F262" s="22"/>
      <c r="G262" s="12"/>
      <c r="H262" s="22"/>
      <c r="I262" s="13"/>
      <c r="J262" s="14"/>
      <c r="K262" s="12"/>
      <c r="L262" s="15"/>
      <c r="M262" s="16"/>
      <c r="N262" s="15"/>
      <c r="O262" s="16"/>
      <c r="P262" s="17"/>
      <c r="Q262" s="15"/>
      <c r="R262" s="18"/>
      <c r="S262" s="20">
        <v>248</v>
      </c>
      <c r="V262" s="3">
        <f t="shared" si="42"/>
        <v>0</v>
      </c>
      <c r="X262" s="3" t="str">
        <f t="shared" si="43"/>
        <v/>
      </c>
      <c r="Y262" s="3" t="str">
        <f t="shared" si="44"/>
        <v/>
      </c>
      <c r="Z262" s="3" t="str">
        <f t="shared" si="45"/>
        <v/>
      </c>
      <c r="AA262" s="3" t="str">
        <f t="shared" si="55"/>
        <v/>
      </c>
      <c r="AB262" s="3" t="str">
        <f t="shared" si="46"/>
        <v/>
      </c>
      <c r="AC262" s="3" t="str">
        <f t="shared" si="47"/>
        <v/>
      </c>
      <c r="AD262" s="3" t="str">
        <f t="shared" si="48"/>
        <v/>
      </c>
      <c r="AE262" s="3" t="str">
        <f t="shared" si="49"/>
        <v/>
      </c>
      <c r="AF262" s="3" t="str">
        <f t="shared" si="50"/>
        <v/>
      </c>
      <c r="AG262" s="3" t="str">
        <f t="shared" si="51"/>
        <v/>
      </c>
      <c r="AH262" s="3" t="str">
        <f t="shared" si="52"/>
        <v/>
      </c>
      <c r="AI262" s="3" t="str">
        <f t="shared" si="53"/>
        <v/>
      </c>
      <c r="AJ262" s="3" t="str">
        <f t="shared" si="54"/>
        <v/>
      </c>
      <c r="AK262" s="3" t="str">
        <f>IF(V262=0,"",_xlfn.CONCAT(DADOS!$A$8,X262:AJ262,"
"))</f>
        <v/>
      </c>
    </row>
    <row r="263" spans="5:37" ht="15" customHeight="1" x14ac:dyDescent="0.25">
      <c r="E263" s="22"/>
      <c r="F263" s="22"/>
      <c r="G263" s="12"/>
      <c r="H263" s="22"/>
      <c r="I263" s="13"/>
      <c r="J263" s="14"/>
      <c r="K263" s="12"/>
      <c r="L263" s="15"/>
      <c r="M263" s="16"/>
      <c r="N263" s="15"/>
      <c r="O263" s="16"/>
      <c r="P263" s="17"/>
      <c r="Q263" s="15"/>
      <c r="R263" s="18"/>
      <c r="S263" s="20">
        <v>249</v>
      </c>
      <c r="V263" s="3">
        <f t="shared" si="42"/>
        <v>0</v>
      </c>
      <c r="X263" s="3" t="str">
        <f t="shared" si="43"/>
        <v/>
      </c>
      <c r="Y263" s="3" t="str">
        <f t="shared" si="44"/>
        <v/>
      </c>
      <c r="Z263" s="3" t="str">
        <f t="shared" si="45"/>
        <v/>
      </c>
      <c r="AA263" s="3" t="str">
        <f t="shared" si="55"/>
        <v/>
      </c>
      <c r="AB263" s="3" t="str">
        <f t="shared" si="46"/>
        <v/>
      </c>
      <c r="AC263" s="3" t="str">
        <f t="shared" si="47"/>
        <v/>
      </c>
      <c r="AD263" s="3" t="str">
        <f t="shared" si="48"/>
        <v/>
      </c>
      <c r="AE263" s="3" t="str">
        <f t="shared" si="49"/>
        <v/>
      </c>
      <c r="AF263" s="3" t="str">
        <f t="shared" si="50"/>
        <v/>
      </c>
      <c r="AG263" s="3" t="str">
        <f t="shared" si="51"/>
        <v/>
      </c>
      <c r="AH263" s="3" t="str">
        <f t="shared" si="52"/>
        <v/>
      </c>
      <c r="AI263" s="3" t="str">
        <f t="shared" si="53"/>
        <v/>
      </c>
      <c r="AJ263" s="3" t="str">
        <f t="shared" si="54"/>
        <v/>
      </c>
      <c r="AK263" s="3" t="str">
        <f>IF(V263=0,"",_xlfn.CONCAT(DADOS!$A$8,X263:AJ263,"
"))</f>
        <v/>
      </c>
    </row>
    <row r="264" spans="5:37" ht="15" customHeight="1" x14ac:dyDescent="0.25">
      <c r="E264" s="22"/>
      <c r="F264" s="22"/>
      <c r="G264" s="12"/>
      <c r="H264" s="22"/>
      <c r="I264" s="13"/>
      <c r="J264" s="14"/>
      <c r="K264" s="12"/>
      <c r="L264" s="15"/>
      <c r="M264" s="16"/>
      <c r="N264" s="15"/>
      <c r="O264" s="16"/>
      <c r="P264" s="17"/>
      <c r="Q264" s="15"/>
      <c r="R264" s="18"/>
      <c r="S264" s="20">
        <v>250</v>
      </c>
      <c r="V264" s="3">
        <f t="shared" si="42"/>
        <v>0</v>
      </c>
      <c r="X264" s="3" t="str">
        <f t="shared" si="43"/>
        <v/>
      </c>
      <c r="Y264" s="3" t="str">
        <f t="shared" si="44"/>
        <v/>
      </c>
      <c r="Z264" s="3" t="str">
        <f t="shared" si="45"/>
        <v/>
      </c>
      <c r="AA264" s="3" t="str">
        <f t="shared" si="55"/>
        <v/>
      </c>
      <c r="AB264" s="3" t="str">
        <f t="shared" si="46"/>
        <v/>
      </c>
      <c r="AC264" s="3" t="str">
        <f t="shared" si="47"/>
        <v/>
      </c>
      <c r="AD264" s="3" t="str">
        <f t="shared" si="48"/>
        <v/>
      </c>
      <c r="AE264" s="3" t="str">
        <f t="shared" si="49"/>
        <v/>
      </c>
      <c r="AF264" s="3" t="str">
        <f t="shared" si="50"/>
        <v/>
      </c>
      <c r="AG264" s="3" t="str">
        <f t="shared" si="51"/>
        <v/>
      </c>
      <c r="AH264" s="3" t="str">
        <f t="shared" si="52"/>
        <v/>
      </c>
      <c r="AI264" s="3" t="str">
        <f t="shared" si="53"/>
        <v/>
      </c>
      <c r="AJ264" s="3" t="str">
        <f t="shared" si="54"/>
        <v/>
      </c>
      <c r="AK264" s="3" t="str">
        <f>IF(V264=0,"",_xlfn.CONCAT(DADOS!$A$8,X264:AJ264,"
"))</f>
        <v/>
      </c>
    </row>
    <row r="265" spans="5:37" ht="15" customHeight="1" x14ac:dyDescent="0.25">
      <c r="E265" s="22"/>
      <c r="F265" s="22"/>
      <c r="G265" s="12"/>
      <c r="H265" s="22"/>
      <c r="I265" s="13"/>
      <c r="J265" s="14"/>
      <c r="K265" s="12"/>
      <c r="L265" s="15"/>
      <c r="M265" s="16"/>
      <c r="N265" s="15"/>
      <c r="O265" s="16"/>
      <c r="P265" s="17"/>
      <c r="Q265" s="15"/>
      <c r="R265" s="18"/>
      <c r="S265" s="20">
        <v>251</v>
      </c>
      <c r="V265" s="3">
        <f t="shared" si="42"/>
        <v>0</v>
      </c>
      <c r="X265" s="3" t="str">
        <f t="shared" si="43"/>
        <v/>
      </c>
      <c r="Y265" s="3" t="str">
        <f t="shared" si="44"/>
        <v/>
      </c>
      <c r="Z265" s="3" t="str">
        <f t="shared" si="45"/>
        <v/>
      </c>
      <c r="AA265" s="3" t="str">
        <f t="shared" si="55"/>
        <v/>
      </c>
      <c r="AB265" s="3" t="str">
        <f t="shared" si="46"/>
        <v/>
      </c>
      <c r="AC265" s="3" t="str">
        <f t="shared" si="47"/>
        <v/>
      </c>
      <c r="AD265" s="3" t="str">
        <f t="shared" si="48"/>
        <v/>
      </c>
      <c r="AE265" s="3" t="str">
        <f t="shared" si="49"/>
        <v/>
      </c>
      <c r="AF265" s="3" t="str">
        <f t="shared" si="50"/>
        <v/>
      </c>
      <c r="AG265" s="3" t="str">
        <f t="shared" si="51"/>
        <v/>
      </c>
      <c r="AH265" s="3" t="str">
        <f t="shared" si="52"/>
        <v/>
      </c>
      <c r="AI265" s="3" t="str">
        <f t="shared" si="53"/>
        <v/>
      </c>
      <c r="AJ265" s="3" t="str">
        <f t="shared" si="54"/>
        <v/>
      </c>
      <c r="AK265" s="3" t="str">
        <f>IF(V265=0,"",_xlfn.CONCAT(DADOS!$A$8,X265:AJ265,"
"))</f>
        <v/>
      </c>
    </row>
    <row r="266" spans="5:37" ht="15" customHeight="1" x14ac:dyDescent="0.25">
      <c r="E266" s="22"/>
      <c r="F266" s="22"/>
      <c r="G266" s="12"/>
      <c r="H266" s="22"/>
      <c r="I266" s="13"/>
      <c r="J266" s="14"/>
      <c r="K266" s="12"/>
      <c r="L266" s="15"/>
      <c r="M266" s="16"/>
      <c r="N266" s="15"/>
      <c r="O266" s="16"/>
      <c r="P266" s="17"/>
      <c r="Q266" s="15"/>
      <c r="R266" s="18"/>
      <c r="S266" s="20">
        <v>252</v>
      </c>
      <c r="V266" s="3">
        <f t="shared" si="42"/>
        <v>0</v>
      </c>
      <c r="X266" s="3" t="str">
        <f t="shared" si="43"/>
        <v/>
      </c>
      <c r="Y266" s="3" t="str">
        <f t="shared" si="44"/>
        <v/>
      </c>
      <c r="Z266" s="3" t="str">
        <f t="shared" si="45"/>
        <v/>
      </c>
      <c r="AA266" s="3" t="str">
        <f t="shared" si="55"/>
        <v/>
      </c>
      <c r="AB266" s="3" t="str">
        <f t="shared" si="46"/>
        <v/>
      </c>
      <c r="AC266" s="3" t="str">
        <f t="shared" si="47"/>
        <v/>
      </c>
      <c r="AD266" s="3" t="str">
        <f t="shared" si="48"/>
        <v/>
      </c>
      <c r="AE266" s="3" t="str">
        <f t="shared" si="49"/>
        <v/>
      </c>
      <c r="AF266" s="3" t="str">
        <f t="shared" si="50"/>
        <v/>
      </c>
      <c r="AG266" s="3" t="str">
        <f t="shared" si="51"/>
        <v/>
      </c>
      <c r="AH266" s="3" t="str">
        <f t="shared" si="52"/>
        <v/>
      </c>
      <c r="AI266" s="3" t="str">
        <f t="shared" si="53"/>
        <v/>
      </c>
      <c r="AJ266" s="3" t="str">
        <f t="shared" si="54"/>
        <v/>
      </c>
      <c r="AK266" s="3" t="str">
        <f>IF(V266=0,"",_xlfn.CONCAT(DADOS!$A$8,X266:AJ266,"
"))</f>
        <v/>
      </c>
    </row>
    <row r="267" spans="5:37" ht="15" customHeight="1" x14ac:dyDescent="0.25">
      <c r="E267" s="22"/>
      <c r="F267" s="22"/>
      <c r="G267" s="12"/>
      <c r="H267" s="22"/>
      <c r="I267" s="13"/>
      <c r="J267" s="14"/>
      <c r="K267" s="12"/>
      <c r="L267" s="15"/>
      <c r="M267" s="16"/>
      <c r="N267" s="15"/>
      <c r="O267" s="16"/>
      <c r="P267" s="17"/>
      <c r="Q267" s="15"/>
      <c r="R267" s="18"/>
      <c r="S267" s="20">
        <v>253</v>
      </c>
      <c r="V267" s="3">
        <f t="shared" si="42"/>
        <v>0</v>
      </c>
      <c r="X267" s="3" t="str">
        <f t="shared" si="43"/>
        <v/>
      </c>
      <c r="Y267" s="3" t="str">
        <f t="shared" si="44"/>
        <v/>
      </c>
      <c r="Z267" s="3" t="str">
        <f t="shared" si="45"/>
        <v/>
      </c>
      <c r="AA267" s="3" t="str">
        <f t="shared" si="55"/>
        <v/>
      </c>
      <c r="AB267" s="3" t="str">
        <f t="shared" si="46"/>
        <v/>
      </c>
      <c r="AC267" s="3" t="str">
        <f t="shared" si="47"/>
        <v/>
      </c>
      <c r="AD267" s="3" t="str">
        <f t="shared" si="48"/>
        <v/>
      </c>
      <c r="AE267" s="3" t="str">
        <f t="shared" si="49"/>
        <v/>
      </c>
      <c r="AF267" s="3" t="str">
        <f t="shared" si="50"/>
        <v/>
      </c>
      <c r="AG267" s="3" t="str">
        <f t="shared" si="51"/>
        <v/>
      </c>
      <c r="AH267" s="3" t="str">
        <f t="shared" si="52"/>
        <v/>
      </c>
      <c r="AI267" s="3" t="str">
        <f t="shared" si="53"/>
        <v/>
      </c>
      <c r="AJ267" s="3" t="str">
        <f t="shared" si="54"/>
        <v/>
      </c>
      <c r="AK267" s="3" t="str">
        <f>IF(V267=0,"",_xlfn.CONCAT(DADOS!$A$8,X267:AJ267,"
"))</f>
        <v/>
      </c>
    </row>
    <row r="268" spans="5:37" ht="15" customHeight="1" x14ac:dyDescent="0.25">
      <c r="E268" s="22"/>
      <c r="F268" s="22"/>
      <c r="G268" s="12"/>
      <c r="H268" s="22"/>
      <c r="I268" s="13"/>
      <c r="J268" s="14"/>
      <c r="K268" s="12"/>
      <c r="L268" s="15"/>
      <c r="M268" s="16"/>
      <c r="N268" s="15"/>
      <c r="O268" s="16"/>
      <c r="P268" s="17"/>
      <c r="Q268" s="15"/>
      <c r="R268" s="18"/>
      <c r="S268" s="20">
        <v>254</v>
      </c>
      <c r="V268" s="3">
        <f t="shared" si="42"/>
        <v>0</v>
      </c>
      <c r="X268" s="3" t="str">
        <f t="shared" si="43"/>
        <v/>
      </c>
      <c r="Y268" s="3" t="str">
        <f t="shared" si="44"/>
        <v/>
      </c>
      <c r="Z268" s="3" t="str">
        <f t="shared" si="45"/>
        <v/>
      </c>
      <c r="AA268" s="3" t="str">
        <f t="shared" si="55"/>
        <v/>
      </c>
      <c r="AB268" s="3" t="str">
        <f t="shared" si="46"/>
        <v/>
      </c>
      <c r="AC268" s="3" t="str">
        <f t="shared" si="47"/>
        <v/>
      </c>
      <c r="AD268" s="3" t="str">
        <f t="shared" si="48"/>
        <v/>
      </c>
      <c r="AE268" s="3" t="str">
        <f t="shared" si="49"/>
        <v/>
      </c>
      <c r="AF268" s="3" t="str">
        <f t="shared" si="50"/>
        <v/>
      </c>
      <c r="AG268" s="3" t="str">
        <f t="shared" si="51"/>
        <v/>
      </c>
      <c r="AH268" s="3" t="str">
        <f t="shared" si="52"/>
        <v/>
      </c>
      <c r="AI268" s="3" t="str">
        <f t="shared" si="53"/>
        <v/>
      </c>
      <c r="AJ268" s="3" t="str">
        <f t="shared" si="54"/>
        <v/>
      </c>
      <c r="AK268" s="3" t="str">
        <f>IF(V268=0,"",_xlfn.CONCAT(DADOS!$A$8,X268:AJ268,"
"))</f>
        <v/>
      </c>
    </row>
    <row r="269" spans="5:37" ht="15" customHeight="1" x14ac:dyDescent="0.25">
      <c r="E269" s="22"/>
      <c r="F269" s="22"/>
      <c r="G269" s="12"/>
      <c r="H269" s="22"/>
      <c r="I269" s="13"/>
      <c r="J269" s="14"/>
      <c r="K269" s="12"/>
      <c r="L269" s="15"/>
      <c r="M269" s="16"/>
      <c r="N269" s="15"/>
      <c r="O269" s="16"/>
      <c r="P269" s="17"/>
      <c r="Q269" s="15"/>
      <c r="R269" s="18"/>
      <c r="S269" s="20">
        <v>255</v>
      </c>
      <c r="V269" s="3">
        <f t="shared" si="42"/>
        <v>0</v>
      </c>
      <c r="X269" s="3" t="str">
        <f t="shared" si="43"/>
        <v/>
      </c>
      <c r="Y269" s="3" t="str">
        <f t="shared" si="44"/>
        <v/>
      </c>
      <c r="Z269" s="3" t="str">
        <f t="shared" si="45"/>
        <v/>
      </c>
      <c r="AA269" s="3" t="str">
        <f t="shared" si="55"/>
        <v/>
      </c>
      <c r="AB269" s="3" t="str">
        <f t="shared" si="46"/>
        <v/>
      </c>
      <c r="AC269" s="3" t="str">
        <f t="shared" si="47"/>
        <v/>
      </c>
      <c r="AD269" s="3" t="str">
        <f t="shared" si="48"/>
        <v/>
      </c>
      <c r="AE269" s="3" t="str">
        <f t="shared" si="49"/>
        <v/>
      </c>
      <c r="AF269" s="3" t="str">
        <f t="shared" si="50"/>
        <v/>
      </c>
      <c r="AG269" s="3" t="str">
        <f t="shared" si="51"/>
        <v/>
      </c>
      <c r="AH269" s="3" t="str">
        <f t="shared" si="52"/>
        <v/>
      </c>
      <c r="AI269" s="3" t="str">
        <f t="shared" si="53"/>
        <v/>
      </c>
      <c r="AJ269" s="3" t="str">
        <f t="shared" si="54"/>
        <v/>
      </c>
      <c r="AK269" s="3" t="str">
        <f>IF(V269=0,"",_xlfn.CONCAT(DADOS!$A$8,X269:AJ269,"
"))</f>
        <v/>
      </c>
    </row>
    <row r="270" spans="5:37" ht="15" customHeight="1" x14ac:dyDescent="0.25">
      <c r="E270" s="22"/>
      <c r="F270" s="22"/>
      <c r="G270" s="12"/>
      <c r="H270" s="22"/>
      <c r="I270" s="13"/>
      <c r="J270" s="14"/>
      <c r="K270" s="12"/>
      <c r="L270" s="15"/>
      <c r="M270" s="16"/>
      <c r="N270" s="15"/>
      <c r="O270" s="16"/>
      <c r="P270" s="17"/>
      <c r="Q270" s="15"/>
      <c r="R270" s="18"/>
      <c r="S270" s="20">
        <v>256</v>
      </c>
      <c r="V270" s="3">
        <f t="shared" si="42"/>
        <v>0</v>
      </c>
      <c r="X270" s="3" t="str">
        <f t="shared" si="43"/>
        <v/>
      </c>
      <c r="Y270" s="3" t="str">
        <f t="shared" si="44"/>
        <v/>
      </c>
      <c r="Z270" s="3" t="str">
        <f t="shared" si="45"/>
        <v/>
      </c>
      <c r="AA270" s="3" t="str">
        <f t="shared" si="55"/>
        <v/>
      </c>
      <c r="AB270" s="3" t="str">
        <f t="shared" si="46"/>
        <v/>
      </c>
      <c r="AC270" s="3" t="str">
        <f t="shared" si="47"/>
        <v/>
      </c>
      <c r="AD270" s="3" t="str">
        <f t="shared" si="48"/>
        <v/>
      </c>
      <c r="AE270" s="3" t="str">
        <f t="shared" si="49"/>
        <v/>
      </c>
      <c r="AF270" s="3" t="str">
        <f t="shared" si="50"/>
        <v/>
      </c>
      <c r="AG270" s="3" t="str">
        <f t="shared" si="51"/>
        <v/>
      </c>
      <c r="AH270" s="3" t="str">
        <f t="shared" si="52"/>
        <v/>
      </c>
      <c r="AI270" s="3" t="str">
        <f t="shared" si="53"/>
        <v/>
      </c>
      <c r="AJ270" s="3" t="str">
        <f t="shared" si="54"/>
        <v/>
      </c>
      <c r="AK270" s="3" t="str">
        <f>IF(V270=0,"",_xlfn.CONCAT(DADOS!$A$8,X270:AJ270,"
"))</f>
        <v/>
      </c>
    </row>
    <row r="271" spans="5:37" ht="15" customHeight="1" x14ac:dyDescent="0.25">
      <c r="E271" s="22"/>
      <c r="F271" s="22"/>
      <c r="G271" s="12"/>
      <c r="H271" s="22"/>
      <c r="I271" s="13"/>
      <c r="J271" s="14"/>
      <c r="K271" s="12"/>
      <c r="L271" s="15"/>
      <c r="M271" s="16"/>
      <c r="N271" s="15"/>
      <c r="O271" s="16"/>
      <c r="P271" s="17"/>
      <c r="Q271" s="15"/>
      <c r="R271" s="18"/>
      <c r="S271" s="20">
        <v>257</v>
      </c>
      <c r="V271" s="3">
        <f t="shared" ref="V271:V334" si="56">IF(E271="",0,1)</f>
        <v>0</v>
      </c>
      <c r="X271" s="3" t="str">
        <f t="shared" ref="X271:X334" si="57">_xlfn.CONCAT(E271,IF(LEN(E271)=1,"  ",IF(LEN(E271)=2," ","")))</f>
        <v/>
      </c>
      <c r="Y271" s="3" t="str">
        <f t="shared" ref="Y271:Y334" si="58">_xlfn.CONCAT(F271,IF(LEN(F271)=1,"  ",IF(LEN(F271)=2," ","")))</f>
        <v/>
      </c>
      <c r="Z271" s="3" t="str">
        <f t="shared" ref="Z271:Z334" si="59">IF(V271=0,"",G271)</f>
        <v/>
      </c>
      <c r="AA271" s="3" t="str">
        <f t="shared" si="55"/>
        <v/>
      </c>
      <c r="AB271" s="3" t="str">
        <f t="shared" ref="AB271:AB334" si="60">IF(V271=0,"",IF(LEN(I271)=1,_xlfn.CONCAT(0,I271),I271))</f>
        <v/>
      </c>
      <c r="AC271" s="3" t="str">
        <f t="shared" ref="AC271:AC334" si="61">IF(I271=20,"",(IF(I271=8,IF(LEN(J271)=1,_xlfn.CONCAT("00",J271),IF(LEN(J271)=2,_xlfn.CONCAT("0",J271),J271)),"")))</f>
        <v/>
      </c>
      <c r="AD271" s="3" t="str">
        <f t="shared" ref="AD271:AD334" si="62">IF(I271=20,"",IF(I271=8,IF(LEN(K271)=1,_xlfn.CONCAT(0,K271),K271),""))</f>
        <v/>
      </c>
      <c r="AE271" s="3" t="str">
        <f t="shared" ref="AE271:AE334" si="63">IF(I271=8,L271,"")</f>
        <v/>
      </c>
      <c r="AF271" s="3" t="str">
        <f t="shared" ref="AF271:AF334" si="64">IF(V271=0,"",IF($I271=20,"",IF(LEN(M271)=1,_xlfn.CONCAT("00",M271),IF(LEN(M271)=2,_xlfn.CONCAT("0",M271),M271))))</f>
        <v/>
      </c>
      <c r="AG271" s="3" t="str">
        <f t="shared" ref="AG271:AG334" si="65">IF(V271=0,"",IF($I271=20,"",IF(LEN(N271)=1,_xlfn.CONCAT(0,N271),N271)))</f>
        <v/>
      </c>
      <c r="AH271" s="3" t="str">
        <f t="shared" ref="AH271:AH334" si="66">IF(V271=0,"",IF($I271=20,"",IF(LEN(P271)=3,_xlfn.CONCAT("00",P271),_xlfn.CONCAT("0",P271))))</f>
        <v/>
      </c>
      <c r="AI271" s="3" t="str">
        <f t="shared" ref="AI271:AI334" si="67">IF(V271=0,"",IF(I271=20,"",_xlfn.CONCAT(R271,"0",$AJ$14)))</f>
        <v/>
      </c>
      <c r="AJ271" s="3" t="str">
        <f t="shared" ref="AJ271:AJ334" si="68">IF(V271=0,"",IF(LEN(R271)&lt;4,$AJ$14,""))</f>
        <v/>
      </c>
      <c r="AK271" s="3" t="str">
        <f>IF(V271=0,"",_xlfn.CONCAT(DADOS!$A$8,X271:AJ271,"
"))</f>
        <v/>
      </c>
    </row>
    <row r="272" spans="5:37" ht="15" customHeight="1" x14ac:dyDescent="0.25">
      <c r="E272" s="22"/>
      <c r="F272" s="22"/>
      <c r="G272" s="12"/>
      <c r="H272" s="22"/>
      <c r="I272" s="13"/>
      <c r="J272" s="14"/>
      <c r="K272" s="12"/>
      <c r="L272" s="15"/>
      <c r="M272" s="16"/>
      <c r="N272" s="15"/>
      <c r="O272" s="16"/>
      <c r="P272" s="17"/>
      <c r="Q272" s="15"/>
      <c r="R272" s="18"/>
      <c r="S272" s="20">
        <v>258</v>
      </c>
      <c r="V272" s="3">
        <f t="shared" si="56"/>
        <v>0</v>
      </c>
      <c r="X272" s="3" t="str">
        <f t="shared" si="57"/>
        <v/>
      </c>
      <c r="Y272" s="3" t="str">
        <f t="shared" si="58"/>
        <v/>
      </c>
      <c r="Z272" s="3" t="str">
        <f t="shared" si="59"/>
        <v/>
      </c>
      <c r="AA272" s="3" t="str">
        <f t="shared" ref="AA272:AA335" si="69">IF(OR(G272=0,G272=4),"",H272)</f>
        <v/>
      </c>
      <c r="AB272" s="3" t="str">
        <f t="shared" si="60"/>
        <v/>
      </c>
      <c r="AC272" s="3" t="str">
        <f t="shared" si="61"/>
        <v/>
      </c>
      <c r="AD272" s="3" t="str">
        <f t="shared" si="62"/>
        <v/>
      </c>
      <c r="AE272" s="3" t="str">
        <f t="shared" si="63"/>
        <v/>
      </c>
      <c r="AF272" s="3" t="str">
        <f t="shared" si="64"/>
        <v/>
      </c>
      <c r="AG272" s="3" t="str">
        <f t="shared" si="65"/>
        <v/>
      </c>
      <c r="AH272" s="3" t="str">
        <f t="shared" si="66"/>
        <v/>
      </c>
      <c r="AI272" s="3" t="str">
        <f t="shared" si="67"/>
        <v/>
      </c>
      <c r="AJ272" s="3" t="str">
        <f t="shared" si="68"/>
        <v/>
      </c>
      <c r="AK272" s="3" t="str">
        <f>IF(V272=0,"",_xlfn.CONCAT(DADOS!$A$8,X272:AJ272,"
"))</f>
        <v/>
      </c>
    </row>
    <row r="273" spans="5:37" ht="15" customHeight="1" x14ac:dyDescent="0.25">
      <c r="E273" s="22"/>
      <c r="F273" s="22"/>
      <c r="G273" s="12"/>
      <c r="H273" s="22"/>
      <c r="I273" s="13"/>
      <c r="J273" s="14"/>
      <c r="K273" s="12"/>
      <c r="L273" s="15"/>
      <c r="M273" s="16"/>
      <c r="N273" s="15"/>
      <c r="O273" s="16"/>
      <c r="P273" s="17"/>
      <c r="Q273" s="15"/>
      <c r="R273" s="18"/>
      <c r="S273" s="20">
        <v>259</v>
      </c>
      <c r="V273" s="3">
        <f t="shared" si="56"/>
        <v>0</v>
      </c>
      <c r="X273" s="3" t="str">
        <f t="shared" si="57"/>
        <v/>
      </c>
      <c r="Y273" s="3" t="str">
        <f t="shared" si="58"/>
        <v/>
      </c>
      <c r="Z273" s="3" t="str">
        <f t="shared" si="59"/>
        <v/>
      </c>
      <c r="AA273" s="3" t="str">
        <f t="shared" si="69"/>
        <v/>
      </c>
      <c r="AB273" s="3" t="str">
        <f t="shared" si="60"/>
        <v/>
      </c>
      <c r="AC273" s="3" t="str">
        <f t="shared" si="61"/>
        <v/>
      </c>
      <c r="AD273" s="3" t="str">
        <f t="shared" si="62"/>
        <v/>
      </c>
      <c r="AE273" s="3" t="str">
        <f t="shared" si="63"/>
        <v/>
      </c>
      <c r="AF273" s="3" t="str">
        <f t="shared" si="64"/>
        <v/>
      </c>
      <c r="AG273" s="3" t="str">
        <f t="shared" si="65"/>
        <v/>
      </c>
      <c r="AH273" s="3" t="str">
        <f t="shared" si="66"/>
        <v/>
      </c>
      <c r="AI273" s="3" t="str">
        <f t="shared" si="67"/>
        <v/>
      </c>
      <c r="AJ273" s="3" t="str">
        <f t="shared" si="68"/>
        <v/>
      </c>
      <c r="AK273" s="3" t="str">
        <f>IF(V273=0,"",_xlfn.CONCAT(DADOS!$A$8,X273:AJ273,"
"))</f>
        <v/>
      </c>
    </row>
    <row r="274" spans="5:37" ht="15" customHeight="1" x14ac:dyDescent="0.25">
      <c r="E274" s="22"/>
      <c r="F274" s="22"/>
      <c r="G274" s="12"/>
      <c r="H274" s="22"/>
      <c r="I274" s="13"/>
      <c r="J274" s="14"/>
      <c r="K274" s="12"/>
      <c r="L274" s="15"/>
      <c r="M274" s="16"/>
      <c r="N274" s="15"/>
      <c r="O274" s="16"/>
      <c r="P274" s="17"/>
      <c r="Q274" s="15"/>
      <c r="R274" s="18"/>
      <c r="S274" s="20">
        <v>260</v>
      </c>
      <c r="V274" s="3">
        <f t="shared" si="56"/>
        <v>0</v>
      </c>
      <c r="X274" s="3" t="str">
        <f t="shared" si="57"/>
        <v/>
      </c>
      <c r="Y274" s="3" t="str">
        <f t="shared" si="58"/>
        <v/>
      </c>
      <c r="Z274" s="3" t="str">
        <f t="shared" si="59"/>
        <v/>
      </c>
      <c r="AA274" s="3" t="str">
        <f t="shared" si="69"/>
        <v/>
      </c>
      <c r="AB274" s="3" t="str">
        <f t="shared" si="60"/>
        <v/>
      </c>
      <c r="AC274" s="3" t="str">
        <f t="shared" si="61"/>
        <v/>
      </c>
      <c r="AD274" s="3" t="str">
        <f t="shared" si="62"/>
        <v/>
      </c>
      <c r="AE274" s="3" t="str">
        <f t="shared" si="63"/>
        <v/>
      </c>
      <c r="AF274" s="3" t="str">
        <f t="shared" si="64"/>
        <v/>
      </c>
      <c r="AG274" s="3" t="str">
        <f t="shared" si="65"/>
        <v/>
      </c>
      <c r="AH274" s="3" t="str">
        <f t="shared" si="66"/>
        <v/>
      </c>
      <c r="AI274" s="3" t="str">
        <f t="shared" si="67"/>
        <v/>
      </c>
      <c r="AJ274" s="3" t="str">
        <f t="shared" si="68"/>
        <v/>
      </c>
      <c r="AK274" s="3" t="str">
        <f>IF(V274=0,"",_xlfn.CONCAT(DADOS!$A$8,X274:AJ274,"
"))</f>
        <v/>
      </c>
    </row>
    <row r="275" spans="5:37" ht="15" customHeight="1" x14ac:dyDescent="0.25">
      <c r="E275" s="22"/>
      <c r="F275" s="22"/>
      <c r="G275" s="12"/>
      <c r="H275" s="22"/>
      <c r="I275" s="13"/>
      <c r="J275" s="14"/>
      <c r="K275" s="12"/>
      <c r="L275" s="15"/>
      <c r="M275" s="16"/>
      <c r="N275" s="15"/>
      <c r="O275" s="16"/>
      <c r="P275" s="17"/>
      <c r="Q275" s="15"/>
      <c r="R275" s="18"/>
      <c r="S275" s="20">
        <v>261</v>
      </c>
      <c r="V275" s="3">
        <f t="shared" si="56"/>
        <v>0</v>
      </c>
      <c r="X275" s="3" t="str">
        <f t="shared" si="57"/>
        <v/>
      </c>
      <c r="Y275" s="3" t="str">
        <f t="shared" si="58"/>
        <v/>
      </c>
      <c r="Z275" s="3" t="str">
        <f t="shared" si="59"/>
        <v/>
      </c>
      <c r="AA275" s="3" t="str">
        <f t="shared" si="69"/>
        <v/>
      </c>
      <c r="AB275" s="3" t="str">
        <f t="shared" si="60"/>
        <v/>
      </c>
      <c r="AC275" s="3" t="str">
        <f t="shared" si="61"/>
        <v/>
      </c>
      <c r="AD275" s="3" t="str">
        <f t="shared" si="62"/>
        <v/>
      </c>
      <c r="AE275" s="3" t="str">
        <f t="shared" si="63"/>
        <v/>
      </c>
      <c r="AF275" s="3" t="str">
        <f t="shared" si="64"/>
        <v/>
      </c>
      <c r="AG275" s="3" t="str">
        <f t="shared" si="65"/>
        <v/>
      </c>
      <c r="AH275" s="3" t="str">
        <f t="shared" si="66"/>
        <v/>
      </c>
      <c r="AI275" s="3" t="str">
        <f t="shared" si="67"/>
        <v/>
      </c>
      <c r="AJ275" s="3" t="str">
        <f t="shared" si="68"/>
        <v/>
      </c>
      <c r="AK275" s="3" t="str">
        <f>IF(V275=0,"",_xlfn.CONCAT(DADOS!$A$8,X275:AJ275,"
"))</f>
        <v/>
      </c>
    </row>
    <row r="276" spans="5:37" ht="15" customHeight="1" x14ac:dyDescent="0.25">
      <c r="E276" s="22"/>
      <c r="F276" s="22"/>
      <c r="G276" s="12"/>
      <c r="H276" s="22"/>
      <c r="I276" s="13"/>
      <c r="J276" s="14"/>
      <c r="K276" s="12"/>
      <c r="L276" s="15"/>
      <c r="M276" s="16"/>
      <c r="N276" s="15"/>
      <c r="O276" s="16"/>
      <c r="P276" s="17"/>
      <c r="Q276" s="15"/>
      <c r="R276" s="18"/>
      <c r="S276" s="20">
        <v>262</v>
      </c>
      <c r="V276" s="3">
        <f t="shared" si="56"/>
        <v>0</v>
      </c>
      <c r="X276" s="3" t="str">
        <f t="shared" si="57"/>
        <v/>
      </c>
      <c r="Y276" s="3" t="str">
        <f t="shared" si="58"/>
        <v/>
      </c>
      <c r="Z276" s="3" t="str">
        <f t="shared" si="59"/>
        <v/>
      </c>
      <c r="AA276" s="3" t="str">
        <f t="shared" si="69"/>
        <v/>
      </c>
      <c r="AB276" s="3" t="str">
        <f t="shared" si="60"/>
        <v/>
      </c>
      <c r="AC276" s="3" t="str">
        <f t="shared" si="61"/>
        <v/>
      </c>
      <c r="AD276" s="3" t="str">
        <f t="shared" si="62"/>
        <v/>
      </c>
      <c r="AE276" s="3" t="str">
        <f t="shared" si="63"/>
        <v/>
      </c>
      <c r="AF276" s="3" t="str">
        <f t="shared" si="64"/>
        <v/>
      </c>
      <c r="AG276" s="3" t="str">
        <f t="shared" si="65"/>
        <v/>
      </c>
      <c r="AH276" s="3" t="str">
        <f t="shared" si="66"/>
        <v/>
      </c>
      <c r="AI276" s="3" t="str">
        <f t="shared" si="67"/>
        <v/>
      </c>
      <c r="AJ276" s="3" t="str">
        <f t="shared" si="68"/>
        <v/>
      </c>
      <c r="AK276" s="3" t="str">
        <f>IF(V276=0,"",_xlfn.CONCAT(DADOS!$A$8,X276:AJ276,"
"))</f>
        <v/>
      </c>
    </row>
    <row r="277" spans="5:37" ht="15" customHeight="1" x14ac:dyDescent="0.25">
      <c r="E277" s="22"/>
      <c r="F277" s="22"/>
      <c r="G277" s="12"/>
      <c r="H277" s="22"/>
      <c r="I277" s="13"/>
      <c r="J277" s="14"/>
      <c r="K277" s="12"/>
      <c r="L277" s="15"/>
      <c r="M277" s="16"/>
      <c r="N277" s="15"/>
      <c r="O277" s="16"/>
      <c r="P277" s="17"/>
      <c r="Q277" s="15"/>
      <c r="R277" s="18"/>
      <c r="S277" s="20">
        <v>263</v>
      </c>
      <c r="V277" s="3">
        <f t="shared" si="56"/>
        <v>0</v>
      </c>
      <c r="X277" s="3" t="str">
        <f t="shared" si="57"/>
        <v/>
      </c>
      <c r="Y277" s="3" t="str">
        <f t="shared" si="58"/>
        <v/>
      </c>
      <c r="Z277" s="3" t="str">
        <f t="shared" si="59"/>
        <v/>
      </c>
      <c r="AA277" s="3" t="str">
        <f t="shared" si="69"/>
        <v/>
      </c>
      <c r="AB277" s="3" t="str">
        <f t="shared" si="60"/>
        <v/>
      </c>
      <c r="AC277" s="3" t="str">
        <f t="shared" si="61"/>
        <v/>
      </c>
      <c r="AD277" s="3" t="str">
        <f t="shared" si="62"/>
        <v/>
      </c>
      <c r="AE277" s="3" t="str">
        <f t="shared" si="63"/>
        <v/>
      </c>
      <c r="AF277" s="3" t="str">
        <f t="shared" si="64"/>
        <v/>
      </c>
      <c r="AG277" s="3" t="str">
        <f t="shared" si="65"/>
        <v/>
      </c>
      <c r="AH277" s="3" t="str">
        <f t="shared" si="66"/>
        <v/>
      </c>
      <c r="AI277" s="3" t="str">
        <f t="shared" si="67"/>
        <v/>
      </c>
      <c r="AJ277" s="3" t="str">
        <f t="shared" si="68"/>
        <v/>
      </c>
      <c r="AK277" s="3" t="str">
        <f>IF(V277=0,"",_xlfn.CONCAT(DADOS!$A$8,X277:AJ277,"
"))</f>
        <v/>
      </c>
    </row>
    <row r="278" spans="5:37" ht="15" customHeight="1" x14ac:dyDescent="0.25">
      <c r="E278" s="22"/>
      <c r="F278" s="22"/>
      <c r="G278" s="12"/>
      <c r="H278" s="22"/>
      <c r="I278" s="13"/>
      <c r="J278" s="14"/>
      <c r="K278" s="12"/>
      <c r="L278" s="15"/>
      <c r="M278" s="16"/>
      <c r="N278" s="15"/>
      <c r="O278" s="16"/>
      <c r="P278" s="17"/>
      <c r="Q278" s="15"/>
      <c r="R278" s="18"/>
      <c r="S278" s="20">
        <v>264</v>
      </c>
      <c r="V278" s="3">
        <f t="shared" si="56"/>
        <v>0</v>
      </c>
      <c r="X278" s="3" t="str">
        <f t="shared" si="57"/>
        <v/>
      </c>
      <c r="Y278" s="3" t="str">
        <f t="shared" si="58"/>
        <v/>
      </c>
      <c r="Z278" s="3" t="str">
        <f t="shared" si="59"/>
        <v/>
      </c>
      <c r="AA278" s="3" t="str">
        <f t="shared" si="69"/>
        <v/>
      </c>
      <c r="AB278" s="3" t="str">
        <f t="shared" si="60"/>
        <v/>
      </c>
      <c r="AC278" s="3" t="str">
        <f t="shared" si="61"/>
        <v/>
      </c>
      <c r="AD278" s="3" t="str">
        <f t="shared" si="62"/>
        <v/>
      </c>
      <c r="AE278" s="3" t="str">
        <f t="shared" si="63"/>
        <v/>
      </c>
      <c r="AF278" s="3" t="str">
        <f t="shared" si="64"/>
        <v/>
      </c>
      <c r="AG278" s="3" t="str">
        <f t="shared" si="65"/>
        <v/>
      </c>
      <c r="AH278" s="3" t="str">
        <f t="shared" si="66"/>
        <v/>
      </c>
      <c r="AI278" s="3" t="str">
        <f t="shared" si="67"/>
        <v/>
      </c>
      <c r="AJ278" s="3" t="str">
        <f t="shared" si="68"/>
        <v/>
      </c>
      <c r="AK278" s="3" t="str">
        <f>IF(V278=0,"",_xlfn.CONCAT(DADOS!$A$8,X278:AJ278,"
"))</f>
        <v/>
      </c>
    </row>
    <row r="279" spans="5:37" ht="15" customHeight="1" x14ac:dyDescent="0.25">
      <c r="E279" s="22"/>
      <c r="F279" s="22"/>
      <c r="G279" s="12"/>
      <c r="H279" s="22"/>
      <c r="I279" s="13"/>
      <c r="J279" s="14"/>
      <c r="K279" s="12"/>
      <c r="L279" s="15"/>
      <c r="M279" s="16"/>
      <c r="N279" s="15"/>
      <c r="O279" s="16"/>
      <c r="P279" s="17"/>
      <c r="Q279" s="15"/>
      <c r="R279" s="18"/>
      <c r="S279" s="20">
        <v>265</v>
      </c>
      <c r="V279" s="3">
        <f t="shared" si="56"/>
        <v>0</v>
      </c>
      <c r="X279" s="3" t="str">
        <f t="shared" si="57"/>
        <v/>
      </c>
      <c r="Y279" s="3" t="str">
        <f t="shared" si="58"/>
        <v/>
      </c>
      <c r="Z279" s="3" t="str">
        <f t="shared" si="59"/>
        <v/>
      </c>
      <c r="AA279" s="3" t="str">
        <f t="shared" si="69"/>
        <v/>
      </c>
      <c r="AB279" s="3" t="str">
        <f t="shared" si="60"/>
        <v/>
      </c>
      <c r="AC279" s="3" t="str">
        <f t="shared" si="61"/>
        <v/>
      </c>
      <c r="AD279" s="3" t="str">
        <f t="shared" si="62"/>
        <v/>
      </c>
      <c r="AE279" s="3" t="str">
        <f t="shared" si="63"/>
        <v/>
      </c>
      <c r="AF279" s="3" t="str">
        <f t="shared" si="64"/>
        <v/>
      </c>
      <c r="AG279" s="3" t="str">
        <f t="shared" si="65"/>
        <v/>
      </c>
      <c r="AH279" s="3" t="str">
        <f t="shared" si="66"/>
        <v/>
      </c>
      <c r="AI279" s="3" t="str">
        <f t="shared" si="67"/>
        <v/>
      </c>
      <c r="AJ279" s="3" t="str">
        <f t="shared" si="68"/>
        <v/>
      </c>
      <c r="AK279" s="3" t="str">
        <f>IF(V279=0,"",_xlfn.CONCAT(DADOS!$A$8,X279:AJ279,"
"))</f>
        <v/>
      </c>
    </row>
    <row r="280" spans="5:37" ht="15" customHeight="1" x14ac:dyDescent="0.25">
      <c r="E280" s="22"/>
      <c r="F280" s="22"/>
      <c r="G280" s="12"/>
      <c r="H280" s="22"/>
      <c r="I280" s="13"/>
      <c r="J280" s="14"/>
      <c r="K280" s="12"/>
      <c r="L280" s="15"/>
      <c r="M280" s="16"/>
      <c r="N280" s="15"/>
      <c r="O280" s="16"/>
      <c r="P280" s="17"/>
      <c r="Q280" s="15"/>
      <c r="R280" s="18"/>
      <c r="S280" s="20">
        <v>266</v>
      </c>
      <c r="V280" s="3">
        <f t="shared" si="56"/>
        <v>0</v>
      </c>
      <c r="X280" s="3" t="str">
        <f t="shared" si="57"/>
        <v/>
      </c>
      <c r="Y280" s="3" t="str">
        <f t="shared" si="58"/>
        <v/>
      </c>
      <c r="Z280" s="3" t="str">
        <f t="shared" si="59"/>
        <v/>
      </c>
      <c r="AA280" s="3" t="str">
        <f t="shared" si="69"/>
        <v/>
      </c>
      <c r="AB280" s="3" t="str">
        <f t="shared" si="60"/>
        <v/>
      </c>
      <c r="AC280" s="3" t="str">
        <f t="shared" si="61"/>
        <v/>
      </c>
      <c r="AD280" s="3" t="str">
        <f t="shared" si="62"/>
        <v/>
      </c>
      <c r="AE280" s="3" t="str">
        <f t="shared" si="63"/>
        <v/>
      </c>
      <c r="AF280" s="3" t="str">
        <f t="shared" si="64"/>
        <v/>
      </c>
      <c r="AG280" s="3" t="str">
        <f t="shared" si="65"/>
        <v/>
      </c>
      <c r="AH280" s="3" t="str">
        <f t="shared" si="66"/>
        <v/>
      </c>
      <c r="AI280" s="3" t="str">
        <f t="shared" si="67"/>
        <v/>
      </c>
      <c r="AJ280" s="3" t="str">
        <f t="shared" si="68"/>
        <v/>
      </c>
      <c r="AK280" s="3" t="str">
        <f>IF(V280=0,"",_xlfn.CONCAT(DADOS!$A$8,X280:AJ280,"
"))</f>
        <v/>
      </c>
    </row>
    <row r="281" spans="5:37" ht="15" customHeight="1" x14ac:dyDescent="0.25">
      <c r="E281" s="22"/>
      <c r="F281" s="22"/>
      <c r="G281" s="12"/>
      <c r="H281" s="22"/>
      <c r="I281" s="13"/>
      <c r="J281" s="14"/>
      <c r="K281" s="12"/>
      <c r="L281" s="15"/>
      <c r="M281" s="16"/>
      <c r="N281" s="15"/>
      <c r="O281" s="16"/>
      <c r="P281" s="17"/>
      <c r="Q281" s="15"/>
      <c r="R281" s="18"/>
      <c r="S281" s="20">
        <v>267</v>
      </c>
      <c r="V281" s="3">
        <f t="shared" si="56"/>
        <v>0</v>
      </c>
      <c r="X281" s="3" t="str">
        <f t="shared" si="57"/>
        <v/>
      </c>
      <c r="Y281" s="3" t="str">
        <f t="shared" si="58"/>
        <v/>
      </c>
      <c r="Z281" s="3" t="str">
        <f t="shared" si="59"/>
        <v/>
      </c>
      <c r="AA281" s="3" t="str">
        <f t="shared" si="69"/>
        <v/>
      </c>
      <c r="AB281" s="3" t="str">
        <f t="shared" si="60"/>
        <v/>
      </c>
      <c r="AC281" s="3" t="str">
        <f t="shared" si="61"/>
        <v/>
      </c>
      <c r="AD281" s="3" t="str">
        <f t="shared" si="62"/>
        <v/>
      </c>
      <c r="AE281" s="3" t="str">
        <f t="shared" si="63"/>
        <v/>
      </c>
      <c r="AF281" s="3" t="str">
        <f t="shared" si="64"/>
        <v/>
      </c>
      <c r="AG281" s="3" t="str">
        <f t="shared" si="65"/>
        <v/>
      </c>
      <c r="AH281" s="3" t="str">
        <f t="shared" si="66"/>
        <v/>
      </c>
      <c r="AI281" s="3" t="str">
        <f t="shared" si="67"/>
        <v/>
      </c>
      <c r="AJ281" s="3" t="str">
        <f t="shared" si="68"/>
        <v/>
      </c>
      <c r="AK281" s="3" t="str">
        <f>IF(V281=0,"",_xlfn.CONCAT(DADOS!$A$8,X281:AJ281,"
"))</f>
        <v/>
      </c>
    </row>
    <row r="282" spans="5:37" ht="15" customHeight="1" x14ac:dyDescent="0.25">
      <c r="E282" s="22"/>
      <c r="F282" s="22"/>
      <c r="G282" s="12"/>
      <c r="H282" s="22"/>
      <c r="I282" s="13"/>
      <c r="J282" s="14"/>
      <c r="K282" s="12"/>
      <c r="L282" s="15"/>
      <c r="M282" s="16"/>
      <c r="N282" s="15"/>
      <c r="O282" s="16"/>
      <c r="P282" s="17"/>
      <c r="Q282" s="15"/>
      <c r="R282" s="18"/>
      <c r="S282" s="20">
        <v>268</v>
      </c>
      <c r="V282" s="3">
        <f t="shared" si="56"/>
        <v>0</v>
      </c>
      <c r="X282" s="3" t="str">
        <f t="shared" si="57"/>
        <v/>
      </c>
      <c r="Y282" s="3" t="str">
        <f t="shared" si="58"/>
        <v/>
      </c>
      <c r="Z282" s="3" t="str">
        <f t="shared" si="59"/>
        <v/>
      </c>
      <c r="AA282" s="3" t="str">
        <f t="shared" si="69"/>
        <v/>
      </c>
      <c r="AB282" s="3" t="str">
        <f t="shared" si="60"/>
        <v/>
      </c>
      <c r="AC282" s="3" t="str">
        <f t="shared" si="61"/>
        <v/>
      </c>
      <c r="AD282" s="3" t="str">
        <f t="shared" si="62"/>
        <v/>
      </c>
      <c r="AE282" s="3" t="str">
        <f t="shared" si="63"/>
        <v/>
      </c>
      <c r="AF282" s="3" t="str">
        <f t="shared" si="64"/>
        <v/>
      </c>
      <c r="AG282" s="3" t="str">
        <f t="shared" si="65"/>
        <v/>
      </c>
      <c r="AH282" s="3" t="str">
        <f t="shared" si="66"/>
        <v/>
      </c>
      <c r="AI282" s="3" t="str">
        <f t="shared" si="67"/>
        <v/>
      </c>
      <c r="AJ282" s="3" t="str">
        <f t="shared" si="68"/>
        <v/>
      </c>
      <c r="AK282" s="3" t="str">
        <f>IF(V282=0,"",_xlfn.CONCAT(DADOS!$A$8,X282:AJ282,"
"))</f>
        <v/>
      </c>
    </row>
    <row r="283" spans="5:37" ht="15" customHeight="1" x14ac:dyDescent="0.25">
      <c r="E283" s="22"/>
      <c r="F283" s="22"/>
      <c r="G283" s="12"/>
      <c r="H283" s="22"/>
      <c r="I283" s="13"/>
      <c r="J283" s="14"/>
      <c r="K283" s="12"/>
      <c r="L283" s="15"/>
      <c r="M283" s="16"/>
      <c r="N283" s="15"/>
      <c r="O283" s="16"/>
      <c r="P283" s="17"/>
      <c r="Q283" s="15"/>
      <c r="R283" s="18"/>
      <c r="S283" s="20">
        <v>269</v>
      </c>
      <c r="V283" s="3">
        <f t="shared" si="56"/>
        <v>0</v>
      </c>
      <c r="X283" s="3" t="str">
        <f t="shared" si="57"/>
        <v/>
      </c>
      <c r="Y283" s="3" t="str">
        <f t="shared" si="58"/>
        <v/>
      </c>
      <c r="Z283" s="3" t="str">
        <f t="shared" si="59"/>
        <v/>
      </c>
      <c r="AA283" s="3" t="str">
        <f t="shared" si="69"/>
        <v/>
      </c>
      <c r="AB283" s="3" t="str">
        <f t="shared" si="60"/>
        <v/>
      </c>
      <c r="AC283" s="3" t="str">
        <f t="shared" si="61"/>
        <v/>
      </c>
      <c r="AD283" s="3" t="str">
        <f t="shared" si="62"/>
        <v/>
      </c>
      <c r="AE283" s="3" t="str">
        <f t="shared" si="63"/>
        <v/>
      </c>
      <c r="AF283" s="3" t="str">
        <f t="shared" si="64"/>
        <v/>
      </c>
      <c r="AG283" s="3" t="str">
        <f t="shared" si="65"/>
        <v/>
      </c>
      <c r="AH283" s="3" t="str">
        <f t="shared" si="66"/>
        <v/>
      </c>
      <c r="AI283" s="3" t="str">
        <f t="shared" si="67"/>
        <v/>
      </c>
      <c r="AJ283" s="3" t="str">
        <f t="shared" si="68"/>
        <v/>
      </c>
      <c r="AK283" s="3" t="str">
        <f>IF(V283=0,"",_xlfn.CONCAT(DADOS!$A$8,X283:AJ283,"
"))</f>
        <v/>
      </c>
    </row>
    <row r="284" spans="5:37" ht="15" customHeight="1" x14ac:dyDescent="0.25">
      <c r="E284" s="22"/>
      <c r="F284" s="22"/>
      <c r="G284" s="12"/>
      <c r="H284" s="22"/>
      <c r="I284" s="13"/>
      <c r="J284" s="14"/>
      <c r="K284" s="12"/>
      <c r="L284" s="15"/>
      <c r="M284" s="16"/>
      <c r="N284" s="15"/>
      <c r="O284" s="16"/>
      <c r="P284" s="17"/>
      <c r="Q284" s="15"/>
      <c r="R284" s="18"/>
      <c r="S284" s="20">
        <v>270</v>
      </c>
      <c r="V284" s="3">
        <f t="shared" si="56"/>
        <v>0</v>
      </c>
      <c r="X284" s="3" t="str">
        <f t="shared" si="57"/>
        <v/>
      </c>
      <c r="Y284" s="3" t="str">
        <f t="shared" si="58"/>
        <v/>
      </c>
      <c r="Z284" s="3" t="str">
        <f t="shared" si="59"/>
        <v/>
      </c>
      <c r="AA284" s="3" t="str">
        <f t="shared" si="69"/>
        <v/>
      </c>
      <c r="AB284" s="3" t="str">
        <f t="shared" si="60"/>
        <v/>
      </c>
      <c r="AC284" s="3" t="str">
        <f t="shared" si="61"/>
        <v/>
      </c>
      <c r="AD284" s="3" t="str">
        <f t="shared" si="62"/>
        <v/>
      </c>
      <c r="AE284" s="3" t="str">
        <f t="shared" si="63"/>
        <v/>
      </c>
      <c r="AF284" s="3" t="str">
        <f t="shared" si="64"/>
        <v/>
      </c>
      <c r="AG284" s="3" t="str">
        <f t="shared" si="65"/>
        <v/>
      </c>
      <c r="AH284" s="3" t="str">
        <f t="shared" si="66"/>
        <v/>
      </c>
      <c r="AI284" s="3" t="str">
        <f t="shared" si="67"/>
        <v/>
      </c>
      <c r="AJ284" s="3" t="str">
        <f t="shared" si="68"/>
        <v/>
      </c>
      <c r="AK284" s="3" t="str">
        <f>IF(V284=0,"",_xlfn.CONCAT(DADOS!$A$8,X284:AJ284,"
"))</f>
        <v/>
      </c>
    </row>
    <row r="285" spans="5:37" ht="15" customHeight="1" x14ac:dyDescent="0.25">
      <c r="E285" s="22"/>
      <c r="F285" s="22"/>
      <c r="G285" s="12"/>
      <c r="H285" s="22"/>
      <c r="I285" s="13"/>
      <c r="J285" s="14"/>
      <c r="K285" s="12"/>
      <c r="L285" s="15"/>
      <c r="M285" s="16"/>
      <c r="N285" s="15"/>
      <c r="O285" s="16"/>
      <c r="P285" s="17"/>
      <c r="Q285" s="15"/>
      <c r="R285" s="18"/>
      <c r="S285" s="20">
        <v>271</v>
      </c>
      <c r="V285" s="3">
        <f t="shared" si="56"/>
        <v>0</v>
      </c>
      <c r="X285" s="3" t="str">
        <f t="shared" si="57"/>
        <v/>
      </c>
      <c r="Y285" s="3" t="str">
        <f t="shared" si="58"/>
        <v/>
      </c>
      <c r="Z285" s="3" t="str">
        <f t="shared" si="59"/>
        <v/>
      </c>
      <c r="AA285" s="3" t="str">
        <f t="shared" si="69"/>
        <v/>
      </c>
      <c r="AB285" s="3" t="str">
        <f t="shared" si="60"/>
        <v/>
      </c>
      <c r="AC285" s="3" t="str">
        <f t="shared" si="61"/>
        <v/>
      </c>
      <c r="AD285" s="3" t="str">
        <f t="shared" si="62"/>
        <v/>
      </c>
      <c r="AE285" s="3" t="str">
        <f t="shared" si="63"/>
        <v/>
      </c>
      <c r="AF285" s="3" t="str">
        <f t="shared" si="64"/>
        <v/>
      </c>
      <c r="AG285" s="3" t="str">
        <f t="shared" si="65"/>
        <v/>
      </c>
      <c r="AH285" s="3" t="str">
        <f t="shared" si="66"/>
        <v/>
      </c>
      <c r="AI285" s="3" t="str">
        <f t="shared" si="67"/>
        <v/>
      </c>
      <c r="AJ285" s="3" t="str">
        <f t="shared" si="68"/>
        <v/>
      </c>
      <c r="AK285" s="3" t="str">
        <f>IF(V285=0,"",_xlfn.CONCAT(DADOS!$A$8,X285:AJ285,"
"))</f>
        <v/>
      </c>
    </row>
    <row r="286" spans="5:37" ht="15" customHeight="1" x14ac:dyDescent="0.25">
      <c r="E286" s="22"/>
      <c r="F286" s="22"/>
      <c r="G286" s="12"/>
      <c r="H286" s="22"/>
      <c r="I286" s="13"/>
      <c r="J286" s="14"/>
      <c r="K286" s="12"/>
      <c r="L286" s="15"/>
      <c r="M286" s="16"/>
      <c r="N286" s="15"/>
      <c r="O286" s="16"/>
      <c r="P286" s="17"/>
      <c r="Q286" s="15"/>
      <c r="R286" s="18"/>
      <c r="S286" s="20">
        <v>272</v>
      </c>
      <c r="V286" s="3">
        <f t="shared" si="56"/>
        <v>0</v>
      </c>
      <c r="X286" s="3" t="str">
        <f t="shared" si="57"/>
        <v/>
      </c>
      <c r="Y286" s="3" t="str">
        <f t="shared" si="58"/>
        <v/>
      </c>
      <c r="Z286" s="3" t="str">
        <f t="shared" si="59"/>
        <v/>
      </c>
      <c r="AA286" s="3" t="str">
        <f t="shared" si="69"/>
        <v/>
      </c>
      <c r="AB286" s="3" t="str">
        <f t="shared" si="60"/>
        <v/>
      </c>
      <c r="AC286" s="3" t="str">
        <f t="shared" si="61"/>
        <v/>
      </c>
      <c r="AD286" s="3" t="str">
        <f t="shared" si="62"/>
        <v/>
      </c>
      <c r="AE286" s="3" t="str">
        <f t="shared" si="63"/>
        <v/>
      </c>
      <c r="AF286" s="3" t="str">
        <f t="shared" si="64"/>
        <v/>
      </c>
      <c r="AG286" s="3" t="str">
        <f t="shared" si="65"/>
        <v/>
      </c>
      <c r="AH286" s="3" t="str">
        <f t="shared" si="66"/>
        <v/>
      </c>
      <c r="AI286" s="3" t="str">
        <f t="shared" si="67"/>
        <v/>
      </c>
      <c r="AJ286" s="3" t="str">
        <f t="shared" si="68"/>
        <v/>
      </c>
      <c r="AK286" s="3" t="str">
        <f>IF(V286=0,"",_xlfn.CONCAT(DADOS!$A$8,X286:AJ286,"
"))</f>
        <v/>
      </c>
    </row>
    <row r="287" spans="5:37" ht="15" customHeight="1" x14ac:dyDescent="0.25">
      <c r="E287" s="22"/>
      <c r="F287" s="22"/>
      <c r="G287" s="12"/>
      <c r="H287" s="22"/>
      <c r="I287" s="13"/>
      <c r="J287" s="14"/>
      <c r="K287" s="12"/>
      <c r="L287" s="15"/>
      <c r="M287" s="16"/>
      <c r="N287" s="15"/>
      <c r="O287" s="16"/>
      <c r="P287" s="17"/>
      <c r="Q287" s="15"/>
      <c r="R287" s="18"/>
      <c r="S287" s="20">
        <v>273</v>
      </c>
      <c r="V287" s="3">
        <f t="shared" si="56"/>
        <v>0</v>
      </c>
      <c r="X287" s="3" t="str">
        <f t="shared" si="57"/>
        <v/>
      </c>
      <c r="Y287" s="3" t="str">
        <f t="shared" si="58"/>
        <v/>
      </c>
      <c r="Z287" s="3" t="str">
        <f t="shared" si="59"/>
        <v/>
      </c>
      <c r="AA287" s="3" t="str">
        <f t="shared" si="69"/>
        <v/>
      </c>
      <c r="AB287" s="3" t="str">
        <f t="shared" si="60"/>
        <v/>
      </c>
      <c r="AC287" s="3" t="str">
        <f t="shared" si="61"/>
        <v/>
      </c>
      <c r="AD287" s="3" t="str">
        <f t="shared" si="62"/>
        <v/>
      </c>
      <c r="AE287" s="3" t="str">
        <f t="shared" si="63"/>
        <v/>
      </c>
      <c r="AF287" s="3" t="str">
        <f t="shared" si="64"/>
        <v/>
      </c>
      <c r="AG287" s="3" t="str">
        <f t="shared" si="65"/>
        <v/>
      </c>
      <c r="AH287" s="3" t="str">
        <f t="shared" si="66"/>
        <v/>
      </c>
      <c r="AI287" s="3" t="str">
        <f t="shared" si="67"/>
        <v/>
      </c>
      <c r="AJ287" s="3" t="str">
        <f t="shared" si="68"/>
        <v/>
      </c>
      <c r="AK287" s="3" t="str">
        <f>IF(V287=0,"",_xlfn.CONCAT(DADOS!$A$8,X287:AJ287,"
"))</f>
        <v/>
      </c>
    </row>
    <row r="288" spans="5:37" ht="15" customHeight="1" x14ac:dyDescent="0.25">
      <c r="E288" s="22"/>
      <c r="F288" s="22"/>
      <c r="G288" s="12"/>
      <c r="H288" s="22"/>
      <c r="I288" s="13"/>
      <c r="J288" s="14"/>
      <c r="K288" s="12"/>
      <c r="L288" s="15"/>
      <c r="M288" s="16"/>
      <c r="N288" s="15"/>
      <c r="O288" s="16"/>
      <c r="P288" s="17"/>
      <c r="Q288" s="15"/>
      <c r="R288" s="18"/>
      <c r="S288" s="20">
        <v>274</v>
      </c>
      <c r="V288" s="3">
        <f t="shared" si="56"/>
        <v>0</v>
      </c>
      <c r="X288" s="3" t="str">
        <f t="shared" si="57"/>
        <v/>
      </c>
      <c r="Y288" s="3" t="str">
        <f t="shared" si="58"/>
        <v/>
      </c>
      <c r="Z288" s="3" t="str">
        <f t="shared" si="59"/>
        <v/>
      </c>
      <c r="AA288" s="3" t="str">
        <f t="shared" si="69"/>
        <v/>
      </c>
      <c r="AB288" s="3" t="str">
        <f t="shared" si="60"/>
        <v/>
      </c>
      <c r="AC288" s="3" t="str">
        <f t="shared" si="61"/>
        <v/>
      </c>
      <c r="AD288" s="3" t="str">
        <f t="shared" si="62"/>
        <v/>
      </c>
      <c r="AE288" s="3" t="str">
        <f t="shared" si="63"/>
        <v/>
      </c>
      <c r="AF288" s="3" t="str">
        <f t="shared" si="64"/>
        <v/>
      </c>
      <c r="AG288" s="3" t="str">
        <f t="shared" si="65"/>
        <v/>
      </c>
      <c r="AH288" s="3" t="str">
        <f t="shared" si="66"/>
        <v/>
      </c>
      <c r="AI288" s="3" t="str">
        <f t="shared" si="67"/>
        <v/>
      </c>
      <c r="AJ288" s="3" t="str">
        <f t="shared" si="68"/>
        <v/>
      </c>
      <c r="AK288" s="3" t="str">
        <f>IF(V288=0,"",_xlfn.CONCAT(DADOS!$A$8,X288:AJ288,"
"))</f>
        <v/>
      </c>
    </row>
    <row r="289" spans="5:37" ht="15" customHeight="1" x14ac:dyDescent="0.25">
      <c r="E289" s="22"/>
      <c r="F289" s="22"/>
      <c r="G289" s="12"/>
      <c r="H289" s="22"/>
      <c r="I289" s="13"/>
      <c r="J289" s="14"/>
      <c r="K289" s="12"/>
      <c r="L289" s="15"/>
      <c r="M289" s="16"/>
      <c r="N289" s="15"/>
      <c r="O289" s="16"/>
      <c r="P289" s="17"/>
      <c r="Q289" s="15"/>
      <c r="R289" s="18"/>
      <c r="S289" s="20">
        <v>275</v>
      </c>
      <c r="V289" s="3">
        <f t="shared" si="56"/>
        <v>0</v>
      </c>
      <c r="X289" s="3" t="str">
        <f t="shared" si="57"/>
        <v/>
      </c>
      <c r="Y289" s="3" t="str">
        <f t="shared" si="58"/>
        <v/>
      </c>
      <c r="Z289" s="3" t="str">
        <f t="shared" si="59"/>
        <v/>
      </c>
      <c r="AA289" s="3" t="str">
        <f t="shared" si="69"/>
        <v/>
      </c>
      <c r="AB289" s="3" t="str">
        <f t="shared" si="60"/>
        <v/>
      </c>
      <c r="AC289" s="3" t="str">
        <f t="shared" si="61"/>
        <v/>
      </c>
      <c r="AD289" s="3" t="str">
        <f t="shared" si="62"/>
        <v/>
      </c>
      <c r="AE289" s="3" t="str">
        <f t="shared" si="63"/>
        <v/>
      </c>
      <c r="AF289" s="3" t="str">
        <f t="shared" si="64"/>
        <v/>
      </c>
      <c r="AG289" s="3" t="str">
        <f t="shared" si="65"/>
        <v/>
      </c>
      <c r="AH289" s="3" t="str">
        <f t="shared" si="66"/>
        <v/>
      </c>
      <c r="AI289" s="3" t="str">
        <f t="shared" si="67"/>
        <v/>
      </c>
      <c r="AJ289" s="3" t="str">
        <f t="shared" si="68"/>
        <v/>
      </c>
      <c r="AK289" s="3" t="str">
        <f>IF(V289=0,"",_xlfn.CONCAT(DADOS!$A$8,X289:AJ289,"
"))</f>
        <v/>
      </c>
    </row>
    <row r="290" spans="5:37" ht="15" customHeight="1" x14ac:dyDescent="0.25">
      <c r="E290" s="22"/>
      <c r="F290" s="22"/>
      <c r="G290" s="12"/>
      <c r="H290" s="22"/>
      <c r="I290" s="13"/>
      <c r="J290" s="14"/>
      <c r="K290" s="12"/>
      <c r="L290" s="15"/>
      <c r="M290" s="16"/>
      <c r="N290" s="15"/>
      <c r="O290" s="16"/>
      <c r="P290" s="17"/>
      <c r="Q290" s="15"/>
      <c r="R290" s="18"/>
      <c r="S290" s="20">
        <v>276</v>
      </c>
      <c r="V290" s="3">
        <f t="shared" si="56"/>
        <v>0</v>
      </c>
      <c r="X290" s="3" t="str">
        <f t="shared" si="57"/>
        <v/>
      </c>
      <c r="Y290" s="3" t="str">
        <f t="shared" si="58"/>
        <v/>
      </c>
      <c r="Z290" s="3" t="str">
        <f t="shared" si="59"/>
        <v/>
      </c>
      <c r="AA290" s="3" t="str">
        <f t="shared" si="69"/>
        <v/>
      </c>
      <c r="AB290" s="3" t="str">
        <f t="shared" si="60"/>
        <v/>
      </c>
      <c r="AC290" s="3" t="str">
        <f t="shared" si="61"/>
        <v/>
      </c>
      <c r="AD290" s="3" t="str">
        <f t="shared" si="62"/>
        <v/>
      </c>
      <c r="AE290" s="3" t="str">
        <f t="shared" si="63"/>
        <v/>
      </c>
      <c r="AF290" s="3" t="str">
        <f t="shared" si="64"/>
        <v/>
      </c>
      <c r="AG290" s="3" t="str">
        <f t="shared" si="65"/>
        <v/>
      </c>
      <c r="AH290" s="3" t="str">
        <f t="shared" si="66"/>
        <v/>
      </c>
      <c r="AI290" s="3" t="str">
        <f t="shared" si="67"/>
        <v/>
      </c>
      <c r="AJ290" s="3" t="str">
        <f t="shared" si="68"/>
        <v/>
      </c>
      <c r="AK290" s="3" t="str">
        <f>IF(V290=0,"",_xlfn.CONCAT(DADOS!$A$8,X290:AJ290,"
"))</f>
        <v/>
      </c>
    </row>
    <row r="291" spans="5:37" ht="15" customHeight="1" x14ac:dyDescent="0.25">
      <c r="E291" s="22"/>
      <c r="F291" s="22"/>
      <c r="G291" s="12"/>
      <c r="H291" s="22"/>
      <c r="I291" s="13"/>
      <c r="J291" s="14"/>
      <c r="K291" s="12"/>
      <c r="L291" s="15"/>
      <c r="M291" s="16"/>
      <c r="N291" s="15"/>
      <c r="O291" s="16"/>
      <c r="P291" s="17"/>
      <c r="Q291" s="15"/>
      <c r="R291" s="18"/>
      <c r="S291" s="20">
        <v>277</v>
      </c>
      <c r="V291" s="3">
        <f t="shared" si="56"/>
        <v>0</v>
      </c>
      <c r="X291" s="3" t="str">
        <f t="shared" si="57"/>
        <v/>
      </c>
      <c r="Y291" s="3" t="str">
        <f t="shared" si="58"/>
        <v/>
      </c>
      <c r="Z291" s="3" t="str">
        <f t="shared" si="59"/>
        <v/>
      </c>
      <c r="AA291" s="3" t="str">
        <f t="shared" si="69"/>
        <v/>
      </c>
      <c r="AB291" s="3" t="str">
        <f t="shared" si="60"/>
        <v/>
      </c>
      <c r="AC291" s="3" t="str">
        <f t="shared" si="61"/>
        <v/>
      </c>
      <c r="AD291" s="3" t="str">
        <f t="shared" si="62"/>
        <v/>
      </c>
      <c r="AE291" s="3" t="str">
        <f t="shared" si="63"/>
        <v/>
      </c>
      <c r="AF291" s="3" t="str">
        <f t="shared" si="64"/>
        <v/>
      </c>
      <c r="AG291" s="3" t="str">
        <f t="shared" si="65"/>
        <v/>
      </c>
      <c r="AH291" s="3" t="str">
        <f t="shared" si="66"/>
        <v/>
      </c>
      <c r="AI291" s="3" t="str">
        <f t="shared" si="67"/>
        <v/>
      </c>
      <c r="AJ291" s="3" t="str">
        <f t="shared" si="68"/>
        <v/>
      </c>
      <c r="AK291" s="3" t="str">
        <f>IF(V291=0,"",_xlfn.CONCAT(DADOS!$A$8,X291:AJ291,"
"))</f>
        <v/>
      </c>
    </row>
    <row r="292" spans="5:37" ht="15" customHeight="1" x14ac:dyDescent="0.25">
      <c r="E292" s="22"/>
      <c r="F292" s="22"/>
      <c r="G292" s="12"/>
      <c r="H292" s="22"/>
      <c r="I292" s="13"/>
      <c r="J292" s="14"/>
      <c r="K292" s="12"/>
      <c r="L292" s="15"/>
      <c r="M292" s="16"/>
      <c r="N292" s="15"/>
      <c r="O292" s="16"/>
      <c r="P292" s="17"/>
      <c r="Q292" s="15"/>
      <c r="R292" s="18"/>
      <c r="S292" s="20">
        <v>278</v>
      </c>
      <c r="V292" s="3">
        <f t="shared" si="56"/>
        <v>0</v>
      </c>
      <c r="X292" s="3" t="str">
        <f t="shared" si="57"/>
        <v/>
      </c>
      <c r="Y292" s="3" t="str">
        <f t="shared" si="58"/>
        <v/>
      </c>
      <c r="Z292" s="3" t="str">
        <f t="shared" si="59"/>
        <v/>
      </c>
      <c r="AA292" s="3" t="str">
        <f t="shared" si="69"/>
        <v/>
      </c>
      <c r="AB292" s="3" t="str">
        <f t="shared" si="60"/>
        <v/>
      </c>
      <c r="AC292" s="3" t="str">
        <f t="shared" si="61"/>
        <v/>
      </c>
      <c r="AD292" s="3" t="str">
        <f t="shared" si="62"/>
        <v/>
      </c>
      <c r="AE292" s="3" t="str">
        <f t="shared" si="63"/>
        <v/>
      </c>
      <c r="AF292" s="3" t="str">
        <f t="shared" si="64"/>
        <v/>
      </c>
      <c r="AG292" s="3" t="str">
        <f t="shared" si="65"/>
        <v/>
      </c>
      <c r="AH292" s="3" t="str">
        <f t="shared" si="66"/>
        <v/>
      </c>
      <c r="AI292" s="3" t="str">
        <f t="shared" si="67"/>
        <v/>
      </c>
      <c r="AJ292" s="3" t="str">
        <f t="shared" si="68"/>
        <v/>
      </c>
      <c r="AK292" s="3" t="str">
        <f>IF(V292=0,"",_xlfn.CONCAT(DADOS!$A$8,X292:AJ292,"
"))</f>
        <v/>
      </c>
    </row>
    <row r="293" spans="5:37" ht="15" customHeight="1" x14ac:dyDescent="0.25">
      <c r="E293" s="22"/>
      <c r="F293" s="22"/>
      <c r="G293" s="12"/>
      <c r="H293" s="22"/>
      <c r="I293" s="13"/>
      <c r="J293" s="14"/>
      <c r="K293" s="12"/>
      <c r="L293" s="15"/>
      <c r="M293" s="16"/>
      <c r="N293" s="15"/>
      <c r="O293" s="16"/>
      <c r="P293" s="17"/>
      <c r="Q293" s="15"/>
      <c r="R293" s="18"/>
      <c r="S293" s="20">
        <v>279</v>
      </c>
      <c r="V293" s="3">
        <f t="shared" si="56"/>
        <v>0</v>
      </c>
      <c r="X293" s="3" t="str">
        <f t="shared" si="57"/>
        <v/>
      </c>
      <c r="Y293" s="3" t="str">
        <f t="shared" si="58"/>
        <v/>
      </c>
      <c r="Z293" s="3" t="str">
        <f t="shared" si="59"/>
        <v/>
      </c>
      <c r="AA293" s="3" t="str">
        <f t="shared" si="69"/>
        <v/>
      </c>
      <c r="AB293" s="3" t="str">
        <f t="shared" si="60"/>
        <v/>
      </c>
      <c r="AC293" s="3" t="str">
        <f t="shared" si="61"/>
        <v/>
      </c>
      <c r="AD293" s="3" t="str">
        <f t="shared" si="62"/>
        <v/>
      </c>
      <c r="AE293" s="3" t="str">
        <f t="shared" si="63"/>
        <v/>
      </c>
      <c r="AF293" s="3" t="str">
        <f t="shared" si="64"/>
        <v/>
      </c>
      <c r="AG293" s="3" t="str">
        <f t="shared" si="65"/>
        <v/>
      </c>
      <c r="AH293" s="3" t="str">
        <f t="shared" si="66"/>
        <v/>
      </c>
      <c r="AI293" s="3" t="str">
        <f t="shared" si="67"/>
        <v/>
      </c>
      <c r="AJ293" s="3" t="str">
        <f t="shared" si="68"/>
        <v/>
      </c>
      <c r="AK293" s="3" t="str">
        <f>IF(V293=0,"",_xlfn.CONCAT(DADOS!$A$8,X293:AJ293,"
"))</f>
        <v/>
      </c>
    </row>
    <row r="294" spans="5:37" ht="15" customHeight="1" x14ac:dyDescent="0.25">
      <c r="E294" s="22"/>
      <c r="F294" s="22"/>
      <c r="G294" s="12"/>
      <c r="H294" s="22"/>
      <c r="I294" s="13"/>
      <c r="J294" s="14"/>
      <c r="K294" s="12"/>
      <c r="L294" s="15"/>
      <c r="M294" s="16"/>
      <c r="N294" s="15"/>
      <c r="O294" s="16"/>
      <c r="P294" s="17"/>
      <c r="Q294" s="15"/>
      <c r="R294" s="18"/>
      <c r="S294" s="20">
        <v>280</v>
      </c>
      <c r="V294" s="3">
        <f t="shared" si="56"/>
        <v>0</v>
      </c>
      <c r="X294" s="3" t="str">
        <f t="shared" si="57"/>
        <v/>
      </c>
      <c r="Y294" s="3" t="str">
        <f t="shared" si="58"/>
        <v/>
      </c>
      <c r="Z294" s="3" t="str">
        <f t="shared" si="59"/>
        <v/>
      </c>
      <c r="AA294" s="3" t="str">
        <f t="shared" si="69"/>
        <v/>
      </c>
      <c r="AB294" s="3" t="str">
        <f t="shared" si="60"/>
        <v/>
      </c>
      <c r="AC294" s="3" t="str">
        <f t="shared" si="61"/>
        <v/>
      </c>
      <c r="AD294" s="3" t="str">
        <f t="shared" si="62"/>
        <v/>
      </c>
      <c r="AE294" s="3" t="str">
        <f t="shared" si="63"/>
        <v/>
      </c>
      <c r="AF294" s="3" t="str">
        <f t="shared" si="64"/>
        <v/>
      </c>
      <c r="AG294" s="3" t="str">
        <f t="shared" si="65"/>
        <v/>
      </c>
      <c r="AH294" s="3" t="str">
        <f t="shared" si="66"/>
        <v/>
      </c>
      <c r="AI294" s="3" t="str">
        <f t="shared" si="67"/>
        <v/>
      </c>
      <c r="AJ294" s="3" t="str">
        <f t="shared" si="68"/>
        <v/>
      </c>
      <c r="AK294" s="3" t="str">
        <f>IF(V294=0,"",_xlfn.CONCAT(DADOS!$A$8,X294:AJ294,"
"))</f>
        <v/>
      </c>
    </row>
    <row r="295" spans="5:37" ht="15" customHeight="1" x14ac:dyDescent="0.25">
      <c r="E295" s="22"/>
      <c r="F295" s="22"/>
      <c r="G295" s="12"/>
      <c r="H295" s="22"/>
      <c r="I295" s="13"/>
      <c r="J295" s="14"/>
      <c r="K295" s="12"/>
      <c r="L295" s="15"/>
      <c r="M295" s="16"/>
      <c r="N295" s="15"/>
      <c r="O295" s="16"/>
      <c r="P295" s="17"/>
      <c r="Q295" s="15"/>
      <c r="R295" s="18"/>
      <c r="S295" s="20">
        <v>281</v>
      </c>
      <c r="V295" s="3">
        <f t="shared" si="56"/>
        <v>0</v>
      </c>
      <c r="X295" s="3" t="str">
        <f t="shared" si="57"/>
        <v/>
      </c>
      <c r="Y295" s="3" t="str">
        <f t="shared" si="58"/>
        <v/>
      </c>
      <c r="Z295" s="3" t="str">
        <f t="shared" si="59"/>
        <v/>
      </c>
      <c r="AA295" s="3" t="str">
        <f t="shared" si="69"/>
        <v/>
      </c>
      <c r="AB295" s="3" t="str">
        <f t="shared" si="60"/>
        <v/>
      </c>
      <c r="AC295" s="3" t="str">
        <f t="shared" si="61"/>
        <v/>
      </c>
      <c r="AD295" s="3" t="str">
        <f t="shared" si="62"/>
        <v/>
      </c>
      <c r="AE295" s="3" t="str">
        <f t="shared" si="63"/>
        <v/>
      </c>
      <c r="AF295" s="3" t="str">
        <f t="shared" si="64"/>
        <v/>
      </c>
      <c r="AG295" s="3" t="str">
        <f t="shared" si="65"/>
        <v/>
      </c>
      <c r="AH295" s="3" t="str">
        <f t="shared" si="66"/>
        <v/>
      </c>
      <c r="AI295" s="3" t="str">
        <f t="shared" si="67"/>
        <v/>
      </c>
      <c r="AJ295" s="3" t="str">
        <f t="shared" si="68"/>
        <v/>
      </c>
      <c r="AK295" s="3" t="str">
        <f>IF(V295=0,"",_xlfn.CONCAT(DADOS!$A$8,X295:AJ295,"
"))</f>
        <v/>
      </c>
    </row>
    <row r="296" spans="5:37" ht="15" customHeight="1" x14ac:dyDescent="0.25">
      <c r="E296" s="22"/>
      <c r="F296" s="22"/>
      <c r="G296" s="12"/>
      <c r="H296" s="22"/>
      <c r="I296" s="13"/>
      <c r="J296" s="14"/>
      <c r="K296" s="12"/>
      <c r="L296" s="15"/>
      <c r="M296" s="16"/>
      <c r="N296" s="15"/>
      <c r="O296" s="16"/>
      <c r="P296" s="17"/>
      <c r="Q296" s="15"/>
      <c r="R296" s="18"/>
      <c r="S296" s="20">
        <v>282</v>
      </c>
      <c r="V296" s="3">
        <f t="shared" si="56"/>
        <v>0</v>
      </c>
      <c r="X296" s="3" t="str">
        <f t="shared" si="57"/>
        <v/>
      </c>
      <c r="Y296" s="3" t="str">
        <f t="shared" si="58"/>
        <v/>
      </c>
      <c r="Z296" s="3" t="str">
        <f t="shared" si="59"/>
        <v/>
      </c>
      <c r="AA296" s="3" t="str">
        <f t="shared" si="69"/>
        <v/>
      </c>
      <c r="AB296" s="3" t="str">
        <f t="shared" si="60"/>
        <v/>
      </c>
      <c r="AC296" s="3" t="str">
        <f t="shared" si="61"/>
        <v/>
      </c>
      <c r="AD296" s="3" t="str">
        <f t="shared" si="62"/>
        <v/>
      </c>
      <c r="AE296" s="3" t="str">
        <f t="shared" si="63"/>
        <v/>
      </c>
      <c r="AF296" s="3" t="str">
        <f t="shared" si="64"/>
        <v/>
      </c>
      <c r="AG296" s="3" t="str">
        <f t="shared" si="65"/>
        <v/>
      </c>
      <c r="AH296" s="3" t="str">
        <f t="shared" si="66"/>
        <v/>
      </c>
      <c r="AI296" s="3" t="str">
        <f t="shared" si="67"/>
        <v/>
      </c>
      <c r="AJ296" s="3" t="str">
        <f t="shared" si="68"/>
        <v/>
      </c>
      <c r="AK296" s="3" t="str">
        <f>IF(V296=0,"",_xlfn.CONCAT(DADOS!$A$8,X296:AJ296,"
"))</f>
        <v/>
      </c>
    </row>
    <row r="297" spans="5:37" ht="15" customHeight="1" x14ac:dyDescent="0.25">
      <c r="E297" s="22"/>
      <c r="F297" s="22"/>
      <c r="G297" s="12"/>
      <c r="H297" s="22"/>
      <c r="I297" s="13"/>
      <c r="J297" s="14"/>
      <c r="K297" s="12"/>
      <c r="L297" s="15"/>
      <c r="M297" s="16"/>
      <c r="N297" s="15"/>
      <c r="O297" s="16"/>
      <c r="P297" s="17"/>
      <c r="Q297" s="15"/>
      <c r="R297" s="18"/>
      <c r="S297" s="20">
        <v>283</v>
      </c>
      <c r="V297" s="3">
        <f t="shared" si="56"/>
        <v>0</v>
      </c>
      <c r="X297" s="3" t="str">
        <f t="shared" si="57"/>
        <v/>
      </c>
      <c r="Y297" s="3" t="str">
        <f t="shared" si="58"/>
        <v/>
      </c>
      <c r="Z297" s="3" t="str">
        <f t="shared" si="59"/>
        <v/>
      </c>
      <c r="AA297" s="3" t="str">
        <f t="shared" si="69"/>
        <v/>
      </c>
      <c r="AB297" s="3" t="str">
        <f t="shared" si="60"/>
        <v/>
      </c>
      <c r="AC297" s="3" t="str">
        <f t="shared" si="61"/>
        <v/>
      </c>
      <c r="AD297" s="3" t="str">
        <f t="shared" si="62"/>
        <v/>
      </c>
      <c r="AE297" s="3" t="str">
        <f t="shared" si="63"/>
        <v/>
      </c>
      <c r="AF297" s="3" t="str">
        <f t="shared" si="64"/>
        <v/>
      </c>
      <c r="AG297" s="3" t="str">
        <f t="shared" si="65"/>
        <v/>
      </c>
      <c r="AH297" s="3" t="str">
        <f t="shared" si="66"/>
        <v/>
      </c>
      <c r="AI297" s="3" t="str">
        <f t="shared" si="67"/>
        <v/>
      </c>
      <c r="AJ297" s="3" t="str">
        <f t="shared" si="68"/>
        <v/>
      </c>
      <c r="AK297" s="3" t="str">
        <f>IF(V297=0,"",_xlfn.CONCAT(DADOS!$A$8,X297:AJ297,"
"))</f>
        <v/>
      </c>
    </row>
    <row r="298" spans="5:37" ht="15" customHeight="1" x14ac:dyDescent="0.25">
      <c r="E298" s="22"/>
      <c r="F298" s="22"/>
      <c r="G298" s="12"/>
      <c r="H298" s="22"/>
      <c r="I298" s="13"/>
      <c r="J298" s="14"/>
      <c r="K298" s="12"/>
      <c r="L298" s="15"/>
      <c r="M298" s="16"/>
      <c r="N298" s="15"/>
      <c r="O298" s="16"/>
      <c r="P298" s="17"/>
      <c r="Q298" s="15"/>
      <c r="R298" s="18"/>
      <c r="S298" s="20">
        <v>284</v>
      </c>
      <c r="V298" s="3">
        <f t="shared" si="56"/>
        <v>0</v>
      </c>
      <c r="X298" s="3" t="str">
        <f t="shared" si="57"/>
        <v/>
      </c>
      <c r="Y298" s="3" t="str">
        <f t="shared" si="58"/>
        <v/>
      </c>
      <c r="Z298" s="3" t="str">
        <f t="shared" si="59"/>
        <v/>
      </c>
      <c r="AA298" s="3" t="str">
        <f t="shared" si="69"/>
        <v/>
      </c>
      <c r="AB298" s="3" t="str">
        <f t="shared" si="60"/>
        <v/>
      </c>
      <c r="AC298" s="3" t="str">
        <f t="shared" si="61"/>
        <v/>
      </c>
      <c r="AD298" s="3" t="str">
        <f t="shared" si="62"/>
        <v/>
      </c>
      <c r="AE298" s="3" t="str">
        <f t="shared" si="63"/>
        <v/>
      </c>
      <c r="AF298" s="3" t="str">
        <f t="shared" si="64"/>
        <v/>
      </c>
      <c r="AG298" s="3" t="str">
        <f t="shared" si="65"/>
        <v/>
      </c>
      <c r="AH298" s="3" t="str">
        <f t="shared" si="66"/>
        <v/>
      </c>
      <c r="AI298" s="3" t="str">
        <f t="shared" si="67"/>
        <v/>
      </c>
      <c r="AJ298" s="3" t="str">
        <f t="shared" si="68"/>
        <v/>
      </c>
      <c r="AK298" s="3" t="str">
        <f>IF(V298=0,"",_xlfn.CONCAT(DADOS!$A$8,X298:AJ298,"
"))</f>
        <v/>
      </c>
    </row>
    <row r="299" spans="5:37" ht="15" customHeight="1" x14ac:dyDescent="0.25">
      <c r="E299" s="22"/>
      <c r="F299" s="22"/>
      <c r="G299" s="12"/>
      <c r="H299" s="22"/>
      <c r="I299" s="13"/>
      <c r="J299" s="14"/>
      <c r="K299" s="12"/>
      <c r="L299" s="15"/>
      <c r="M299" s="16"/>
      <c r="N299" s="15"/>
      <c r="O299" s="16"/>
      <c r="P299" s="17"/>
      <c r="Q299" s="15"/>
      <c r="R299" s="18"/>
      <c r="S299" s="20">
        <v>285</v>
      </c>
      <c r="V299" s="3">
        <f t="shared" si="56"/>
        <v>0</v>
      </c>
      <c r="X299" s="3" t="str">
        <f t="shared" si="57"/>
        <v/>
      </c>
      <c r="Y299" s="3" t="str">
        <f t="shared" si="58"/>
        <v/>
      </c>
      <c r="Z299" s="3" t="str">
        <f t="shared" si="59"/>
        <v/>
      </c>
      <c r="AA299" s="3" t="str">
        <f t="shared" si="69"/>
        <v/>
      </c>
      <c r="AB299" s="3" t="str">
        <f t="shared" si="60"/>
        <v/>
      </c>
      <c r="AC299" s="3" t="str">
        <f t="shared" si="61"/>
        <v/>
      </c>
      <c r="AD299" s="3" t="str">
        <f t="shared" si="62"/>
        <v/>
      </c>
      <c r="AE299" s="3" t="str">
        <f t="shared" si="63"/>
        <v/>
      </c>
      <c r="AF299" s="3" t="str">
        <f t="shared" si="64"/>
        <v/>
      </c>
      <c r="AG299" s="3" t="str">
        <f t="shared" si="65"/>
        <v/>
      </c>
      <c r="AH299" s="3" t="str">
        <f t="shared" si="66"/>
        <v/>
      </c>
      <c r="AI299" s="3" t="str">
        <f t="shared" si="67"/>
        <v/>
      </c>
      <c r="AJ299" s="3" t="str">
        <f t="shared" si="68"/>
        <v/>
      </c>
      <c r="AK299" s="3" t="str">
        <f>IF(V299=0,"",_xlfn.CONCAT(DADOS!$A$8,X299:AJ299,"
"))</f>
        <v/>
      </c>
    </row>
    <row r="300" spans="5:37" ht="15" customHeight="1" x14ac:dyDescent="0.25">
      <c r="E300" s="22"/>
      <c r="F300" s="22"/>
      <c r="G300" s="12"/>
      <c r="H300" s="22"/>
      <c r="I300" s="13"/>
      <c r="J300" s="14"/>
      <c r="K300" s="12"/>
      <c r="L300" s="15"/>
      <c r="M300" s="16"/>
      <c r="N300" s="15"/>
      <c r="O300" s="16"/>
      <c r="P300" s="17"/>
      <c r="Q300" s="15"/>
      <c r="R300" s="18"/>
      <c r="S300" s="20">
        <v>286</v>
      </c>
      <c r="V300" s="3">
        <f t="shared" si="56"/>
        <v>0</v>
      </c>
      <c r="X300" s="3" t="str">
        <f t="shared" si="57"/>
        <v/>
      </c>
      <c r="Y300" s="3" t="str">
        <f t="shared" si="58"/>
        <v/>
      </c>
      <c r="Z300" s="3" t="str">
        <f t="shared" si="59"/>
        <v/>
      </c>
      <c r="AA300" s="3" t="str">
        <f t="shared" si="69"/>
        <v/>
      </c>
      <c r="AB300" s="3" t="str">
        <f t="shared" si="60"/>
        <v/>
      </c>
      <c r="AC300" s="3" t="str">
        <f t="shared" si="61"/>
        <v/>
      </c>
      <c r="AD300" s="3" t="str">
        <f t="shared" si="62"/>
        <v/>
      </c>
      <c r="AE300" s="3" t="str">
        <f t="shared" si="63"/>
        <v/>
      </c>
      <c r="AF300" s="3" t="str">
        <f t="shared" si="64"/>
        <v/>
      </c>
      <c r="AG300" s="3" t="str">
        <f t="shared" si="65"/>
        <v/>
      </c>
      <c r="AH300" s="3" t="str">
        <f t="shared" si="66"/>
        <v/>
      </c>
      <c r="AI300" s="3" t="str">
        <f t="shared" si="67"/>
        <v/>
      </c>
      <c r="AJ300" s="3" t="str">
        <f t="shared" si="68"/>
        <v/>
      </c>
      <c r="AK300" s="3" t="str">
        <f>IF(V300=0,"",_xlfn.CONCAT(DADOS!$A$8,X300:AJ300,"
"))</f>
        <v/>
      </c>
    </row>
    <row r="301" spans="5:37" ht="15" customHeight="1" x14ac:dyDescent="0.25">
      <c r="E301" s="22"/>
      <c r="F301" s="22"/>
      <c r="G301" s="12"/>
      <c r="H301" s="22"/>
      <c r="I301" s="13"/>
      <c r="J301" s="14"/>
      <c r="K301" s="12"/>
      <c r="L301" s="15"/>
      <c r="M301" s="16"/>
      <c r="N301" s="15"/>
      <c r="O301" s="16"/>
      <c r="P301" s="17"/>
      <c r="Q301" s="15"/>
      <c r="R301" s="18"/>
      <c r="S301" s="20">
        <v>287</v>
      </c>
      <c r="V301" s="3">
        <f t="shared" si="56"/>
        <v>0</v>
      </c>
      <c r="X301" s="3" t="str">
        <f t="shared" si="57"/>
        <v/>
      </c>
      <c r="Y301" s="3" t="str">
        <f t="shared" si="58"/>
        <v/>
      </c>
      <c r="Z301" s="3" t="str">
        <f t="shared" si="59"/>
        <v/>
      </c>
      <c r="AA301" s="3" t="str">
        <f t="shared" si="69"/>
        <v/>
      </c>
      <c r="AB301" s="3" t="str">
        <f t="shared" si="60"/>
        <v/>
      </c>
      <c r="AC301" s="3" t="str">
        <f t="shared" si="61"/>
        <v/>
      </c>
      <c r="AD301" s="3" t="str">
        <f t="shared" si="62"/>
        <v/>
      </c>
      <c r="AE301" s="3" t="str">
        <f t="shared" si="63"/>
        <v/>
      </c>
      <c r="AF301" s="3" t="str">
        <f t="shared" si="64"/>
        <v/>
      </c>
      <c r="AG301" s="3" t="str">
        <f t="shared" si="65"/>
        <v/>
      </c>
      <c r="AH301" s="3" t="str">
        <f t="shared" si="66"/>
        <v/>
      </c>
      <c r="AI301" s="3" t="str">
        <f t="shared" si="67"/>
        <v/>
      </c>
      <c r="AJ301" s="3" t="str">
        <f t="shared" si="68"/>
        <v/>
      </c>
      <c r="AK301" s="3" t="str">
        <f>IF(V301=0,"",_xlfn.CONCAT(DADOS!$A$8,X301:AJ301,"
"))</f>
        <v/>
      </c>
    </row>
    <row r="302" spans="5:37" ht="15" customHeight="1" x14ac:dyDescent="0.25">
      <c r="E302" s="22"/>
      <c r="F302" s="22"/>
      <c r="G302" s="12"/>
      <c r="H302" s="22"/>
      <c r="I302" s="13"/>
      <c r="J302" s="14"/>
      <c r="K302" s="12"/>
      <c r="L302" s="15"/>
      <c r="M302" s="16"/>
      <c r="N302" s="15"/>
      <c r="O302" s="16"/>
      <c r="P302" s="17"/>
      <c r="Q302" s="15"/>
      <c r="R302" s="18"/>
      <c r="S302" s="20">
        <v>288</v>
      </c>
      <c r="V302" s="3">
        <f t="shared" si="56"/>
        <v>0</v>
      </c>
      <c r="X302" s="3" t="str">
        <f t="shared" si="57"/>
        <v/>
      </c>
      <c r="Y302" s="3" t="str">
        <f t="shared" si="58"/>
        <v/>
      </c>
      <c r="Z302" s="3" t="str">
        <f t="shared" si="59"/>
        <v/>
      </c>
      <c r="AA302" s="3" t="str">
        <f t="shared" si="69"/>
        <v/>
      </c>
      <c r="AB302" s="3" t="str">
        <f t="shared" si="60"/>
        <v/>
      </c>
      <c r="AC302" s="3" t="str">
        <f t="shared" si="61"/>
        <v/>
      </c>
      <c r="AD302" s="3" t="str">
        <f t="shared" si="62"/>
        <v/>
      </c>
      <c r="AE302" s="3" t="str">
        <f t="shared" si="63"/>
        <v/>
      </c>
      <c r="AF302" s="3" t="str">
        <f t="shared" si="64"/>
        <v/>
      </c>
      <c r="AG302" s="3" t="str">
        <f t="shared" si="65"/>
        <v/>
      </c>
      <c r="AH302" s="3" t="str">
        <f t="shared" si="66"/>
        <v/>
      </c>
      <c r="AI302" s="3" t="str">
        <f t="shared" si="67"/>
        <v/>
      </c>
      <c r="AJ302" s="3" t="str">
        <f t="shared" si="68"/>
        <v/>
      </c>
      <c r="AK302" s="3" t="str">
        <f>IF(V302=0,"",_xlfn.CONCAT(DADOS!$A$8,X302:AJ302,"
"))</f>
        <v/>
      </c>
    </row>
    <row r="303" spans="5:37" ht="15" customHeight="1" x14ac:dyDescent="0.25">
      <c r="E303" s="22"/>
      <c r="F303" s="22"/>
      <c r="G303" s="12"/>
      <c r="H303" s="22"/>
      <c r="I303" s="13"/>
      <c r="J303" s="14"/>
      <c r="K303" s="12"/>
      <c r="L303" s="15"/>
      <c r="M303" s="16"/>
      <c r="N303" s="15"/>
      <c r="O303" s="16"/>
      <c r="P303" s="17"/>
      <c r="Q303" s="15"/>
      <c r="R303" s="18"/>
      <c r="S303" s="20">
        <v>289</v>
      </c>
      <c r="V303" s="3">
        <f t="shared" si="56"/>
        <v>0</v>
      </c>
      <c r="X303" s="3" t="str">
        <f t="shared" si="57"/>
        <v/>
      </c>
      <c r="Y303" s="3" t="str">
        <f t="shared" si="58"/>
        <v/>
      </c>
      <c r="Z303" s="3" t="str">
        <f t="shared" si="59"/>
        <v/>
      </c>
      <c r="AA303" s="3" t="str">
        <f t="shared" si="69"/>
        <v/>
      </c>
      <c r="AB303" s="3" t="str">
        <f t="shared" si="60"/>
        <v/>
      </c>
      <c r="AC303" s="3" t="str">
        <f t="shared" si="61"/>
        <v/>
      </c>
      <c r="AD303" s="3" t="str">
        <f t="shared" si="62"/>
        <v/>
      </c>
      <c r="AE303" s="3" t="str">
        <f t="shared" si="63"/>
        <v/>
      </c>
      <c r="AF303" s="3" t="str">
        <f t="shared" si="64"/>
        <v/>
      </c>
      <c r="AG303" s="3" t="str">
        <f t="shared" si="65"/>
        <v/>
      </c>
      <c r="AH303" s="3" t="str">
        <f t="shared" si="66"/>
        <v/>
      </c>
      <c r="AI303" s="3" t="str">
        <f t="shared" si="67"/>
        <v/>
      </c>
      <c r="AJ303" s="3" t="str">
        <f t="shared" si="68"/>
        <v/>
      </c>
      <c r="AK303" s="3" t="str">
        <f>IF(V303=0,"",_xlfn.CONCAT(DADOS!$A$8,X303:AJ303,"
"))</f>
        <v/>
      </c>
    </row>
    <row r="304" spans="5:37" ht="15" customHeight="1" x14ac:dyDescent="0.25">
      <c r="E304" s="22"/>
      <c r="F304" s="22"/>
      <c r="G304" s="12"/>
      <c r="H304" s="22"/>
      <c r="I304" s="13"/>
      <c r="J304" s="14"/>
      <c r="K304" s="12"/>
      <c r="L304" s="15"/>
      <c r="M304" s="16"/>
      <c r="N304" s="15"/>
      <c r="O304" s="16"/>
      <c r="P304" s="17"/>
      <c r="Q304" s="15"/>
      <c r="R304" s="18"/>
      <c r="S304" s="20">
        <v>290</v>
      </c>
      <c r="V304" s="3">
        <f t="shared" si="56"/>
        <v>0</v>
      </c>
      <c r="X304" s="3" t="str">
        <f t="shared" si="57"/>
        <v/>
      </c>
      <c r="Y304" s="3" t="str">
        <f t="shared" si="58"/>
        <v/>
      </c>
      <c r="Z304" s="3" t="str">
        <f t="shared" si="59"/>
        <v/>
      </c>
      <c r="AA304" s="3" t="str">
        <f t="shared" si="69"/>
        <v/>
      </c>
      <c r="AB304" s="3" t="str">
        <f t="shared" si="60"/>
        <v/>
      </c>
      <c r="AC304" s="3" t="str">
        <f t="shared" si="61"/>
        <v/>
      </c>
      <c r="AD304" s="3" t="str">
        <f t="shared" si="62"/>
        <v/>
      </c>
      <c r="AE304" s="3" t="str">
        <f t="shared" si="63"/>
        <v/>
      </c>
      <c r="AF304" s="3" t="str">
        <f t="shared" si="64"/>
        <v/>
      </c>
      <c r="AG304" s="3" t="str">
        <f t="shared" si="65"/>
        <v/>
      </c>
      <c r="AH304" s="3" t="str">
        <f t="shared" si="66"/>
        <v/>
      </c>
      <c r="AI304" s="3" t="str">
        <f t="shared" si="67"/>
        <v/>
      </c>
      <c r="AJ304" s="3" t="str">
        <f t="shared" si="68"/>
        <v/>
      </c>
      <c r="AK304" s="3" t="str">
        <f>IF(V304=0,"",_xlfn.CONCAT(DADOS!$A$8,X304:AJ304,"
"))</f>
        <v/>
      </c>
    </row>
    <row r="305" spans="5:37" ht="15" customHeight="1" x14ac:dyDescent="0.25">
      <c r="E305" s="22"/>
      <c r="F305" s="22"/>
      <c r="G305" s="12"/>
      <c r="H305" s="22"/>
      <c r="I305" s="13"/>
      <c r="J305" s="14"/>
      <c r="K305" s="12"/>
      <c r="L305" s="15"/>
      <c r="M305" s="16"/>
      <c r="N305" s="15"/>
      <c r="O305" s="16"/>
      <c r="P305" s="17"/>
      <c r="Q305" s="15"/>
      <c r="R305" s="18"/>
      <c r="S305" s="20">
        <v>291</v>
      </c>
      <c r="V305" s="3">
        <f t="shared" si="56"/>
        <v>0</v>
      </c>
      <c r="X305" s="3" t="str">
        <f t="shared" si="57"/>
        <v/>
      </c>
      <c r="Y305" s="3" t="str">
        <f t="shared" si="58"/>
        <v/>
      </c>
      <c r="Z305" s="3" t="str">
        <f t="shared" si="59"/>
        <v/>
      </c>
      <c r="AA305" s="3" t="str">
        <f t="shared" si="69"/>
        <v/>
      </c>
      <c r="AB305" s="3" t="str">
        <f t="shared" si="60"/>
        <v/>
      </c>
      <c r="AC305" s="3" t="str">
        <f t="shared" si="61"/>
        <v/>
      </c>
      <c r="AD305" s="3" t="str">
        <f t="shared" si="62"/>
        <v/>
      </c>
      <c r="AE305" s="3" t="str">
        <f t="shared" si="63"/>
        <v/>
      </c>
      <c r="AF305" s="3" t="str">
        <f t="shared" si="64"/>
        <v/>
      </c>
      <c r="AG305" s="3" t="str">
        <f t="shared" si="65"/>
        <v/>
      </c>
      <c r="AH305" s="3" t="str">
        <f t="shared" si="66"/>
        <v/>
      </c>
      <c r="AI305" s="3" t="str">
        <f t="shared" si="67"/>
        <v/>
      </c>
      <c r="AJ305" s="3" t="str">
        <f t="shared" si="68"/>
        <v/>
      </c>
      <c r="AK305" s="3" t="str">
        <f>IF(V305=0,"",_xlfn.CONCAT(DADOS!$A$8,X305:AJ305,"
"))</f>
        <v/>
      </c>
    </row>
    <row r="306" spans="5:37" ht="15" customHeight="1" x14ac:dyDescent="0.25">
      <c r="E306" s="22"/>
      <c r="F306" s="22"/>
      <c r="G306" s="12"/>
      <c r="H306" s="22"/>
      <c r="I306" s="13"/>
      <c r="J306" s="14"/>
      <c r="K306" s="12"/>
      <c r="L306" s="15"/>
      <c r="M306" s="16"/>
      <c r="N306" s="15"/>
      <c r="O306" s="16"/>
      <c r="P306" s="17"/>
      <c r="Q306" s="15"/>
      <c r="R306" s="18"/>
      <c r="S306" s="20">
        <v>292</v>
      </c>
      <c r="V306" s="3">
        <f t="shared" si="56"/>
        <v>0</v>
      </c>
      <c r="X306" s="3" t="str">
        <f t="shared" si="57"/>
        <v/>
      </c>
      <c r="Y306" s="3" t="str">
        <f t="shared" si="58"/>
        <v/>
      </c>
      <c r="Z306" s="3" t="str">
        <f t="shared" si="59"/>
        <v/>
      </c>
      <c r="AA306" s="3" t="str">
        <f t="shared" si="69"/>
        <v/>
      </c>
      <c r="AB306" s="3" t="str">
        <f t="shared" si="60"/>
        <v/>
      </c>
      <c r="AC306" s="3" t="str">
        <f t="shared" si="61"/>
        <v/>
      </c>
      <c r="AD306" s="3" t="str">
        <f t="shared" si="62"/>
        <v/>
      </c>
      <c r="AE306" s="3" t="str">
        <f t="shared" si="63"/>
        <v/>
      </c>
      <c r="AF306" s="3" t="str">
        <f t="shared" si="64"/>
        <v/>
      </c>
      <c r="AG306" s="3" t="str">
        <f t="shared" si="65"/>
        <v/>
      </c>
      <c r="AH306" s="3" t="str">
        <f t="shared" si="66"/>
        <v/>
      </c>
      <c r="AI306" s="3" t="str">
        <f t="shared" si="67"/>
        <v/>
      </c>
      <c r="AJ306" s="3" t="str">
        <f t="shared" si="68"/>
        <v/>
      </c>
      <c r="AK306" s="3" t="str">
        <f>IF(V306=0,"",_xlfn.CONCAT(DADOS!$A$8,X306:AJ306,"
"))</f>
        <v/>
      </c>
    </row>
    <row r="307" spans="5:37" ht="15" customHeight="1" x14ac:dyDescent="0.25">
      <c r="E307" s="22"/>
      <c r="F307" s="22"/>
      <c r="G307" s="12"/>
      <c r="H307" s="22"/>
      <c r="I307" s="13"/>
      <c r="J307" s="14"/>
      <c r="K307" s="12"/>
      <c r="L307" s="15"/>
      <c r="M307" s="16"/>
      <c r="N307" s="15"/>
      <c r="O307" s="16"/>
      <c r="P307" s="17"/>
      <c r="Q307" s="15"/>
      <c r="R307" s="18"/>
      <c r="S307" s="20">
        <v>293</v>
      </c>
      <c r="V307" s="3">
        <f t="shared" si="56"/>
        <v>0</v>
      </c>
      <c r="X307" s="3" t="str">
        <f t="shared" si="57"/>
        <v/>
      </c>
      <c r="Y307" s="3" t="str">
        <f t="shared" si="58"/>
        <v/>
      </c>
      <c r="Z307" s="3" t="str">
        <f t="shared" si="59"/>
        <v/>
      </c>
      <c r="AA307" s="3" t="str">
        <f t="shared" si="69"/>
        <v/>
      </c>
      <c r="AB307" s="3" t="str">
        <f t="shared" si="60"/>
        <v/>
      </c>
      <c r="AC307" s="3" t="str">
        <f t="shared" si="61"/>
        <v/>
      </c>
      <c r="AD307" s="3" t="str">
        <f t="shared" si="62"/>
        <v/>
      </c>
      <c r="AE307" s="3" t="str">
        <f t="shared" si="63"/>
        <v/>
      </c>
      <c r="AF307" s="3" t="str">
        <f t="shared" si="64"/>
        <v/>
      </c>
      <c r="AG307" s="3" t="str">
        <f t="shared" si="65"/>
        <v/>
      </c>
      <c r="AH307" s="3" t="str">
        <f t="shared" si="66"/>
        <v/>
      </c>
      <c r="AI307" s="3" t="str">
        <f t="shared" si="67"/>
        <v/>
      </c>
      <c r="AJ307" s="3" t="str">
        <f t="shared" si="68"/>
        <v/>
      </c>
      <c r="AK307" s="3" t="str">
        <f>IF(V307=0,"",_xlfn.CONCAT(DADOS!$A$8,X307:AJ307,"
"))</f>
        <v/>
      </c>
    </row>
    <row r="308" spans="5:37" ht="15" customHeight="1" x14ac:dyDescent="0.25">
      <c r="E308" s="22"/>
      <c r="F308" s="22"/>
      <c r="G308" s="12"/>
      <c r="H308" s="22"/>
      <c r="I308" s="13"/>
      <c r="J308" s="14"/>
      <c r="K308" s="12"/>
      <c r="L308" s="15"/>
      <c r="M308" s="16"/>
      <c r="N308" s="15"/>
      <c r="O308" s="16"/>
      <c r="P308" s="17"/>
      <c r="Q308" s="15"/>
      <c r="R308" s="18"/>
      <c r="S308" s="20">
        <v>294</v>
      </c>
      <c r="V308" s="3">
        <f t="shared" si="56"/>
        <v>0</v>
      </c>
      <c r="X308" s="3" t="str">
        <f t="shared" si="57"/>
        <v/>
      </c>
      <c r="Y308" s="3" t="str">
        <f t="shared" si="58"/>
        <v/>
      </c>
      <c r="Z308" s="3" t="str">
        <f t="shared" si="59"/>
        <v/>
      </c>
      <c r="AA308" s="3" t="str">
        <f t="shared" si="69"/>
        <v/>
      </c>
      <c r="AB308" s="3" t="str">
        <f t="shared" si="60"/>
        <v/>
      </c>
      <c r="AC308" s="3" t="str">
        <f t="shared" si="61"/>
        <v/>
      </c>
      <c r="AD308" s="3" t="str">
        <f t="shared" si="62"/>
        <v/>
      </c>
      <c r="AE308" s="3" t="str">
        <f t="shared" si="63"/>
        <v/>
      </c>
      <c r="AF308" s="3" t="str">
        <f t="shared" si="64"/>
        <v/>
      </c>
      <c r="AG308" s="3" t="str">
        <f t="shared" si="65"/>
        <v/>
      </c>
      <c r="AH308" s="3" t="str">
        <f t="shared" si="66"/>
        <v/>
      </c>
      <c r="AI308" s="3" t="str">
        <f t="shared" si="67"/>
        <v/>
      </c>
      <c r="AJ308" s="3" t="str">
        <f t="shared" si="68"/>
        <v/>
      </c>
      <c r="AK308" s="3" t="str">
        <f>IF(V308=0,"",_xlfn.CONCAT(DADOS!$A$8,X308:AJ308,"
"))</f>
        <v/>
      </c>
    </row>
    <row r="309" spans="5:37" ht="15" customHeight="1" x14ac:dyDescent="0.25">
      <c r="E309" s="22"/>
      <c r="F309" s="22"/>
      <c r="G309" s="12"/>
      <c r="H309" s="22"/>
      <c r="I309" s="13"/>
      <c r="J309" s="14"/>
      <c r="K309" s="12"/>
      <c r="L309" s="15"/>
      <c r="M309" s="16"/>
      <c r="N309" s="15"/>
      <c r="O309" s="16"/>
      <c r="P309" s="17"/>
      <c r="Q309" s="15"/>
      <c r="R309" s="18"/>
      <c r="S309" s="20">
        <v>295</v>
      </c>
      <c r="V309" s="3">
        <f t="shared" si="56"/>
        <v>0</v>
      </c>
      <c r="X309" s="3" t="str">
        <f t="shared" si="57"/>
        <v/>
      </c>
      <c r="Y309" s="3" t="str">
        <f t="shared" si="58"/>
        <v/>
      </c>
      <c r="Z309" s="3" t="str">
        <f t="shared" si="59"/>
        <v/>
      </c>
      <c r="AA309" s="3" t="str">
        <f t="shared" si="69"/>
        <v/>
      </c>
      <c r="AB309" s="3" t="str">
        <f t="shared" si="60"/>
        <v/>
      </c>
      <c r="AC309" s="3" t="str">
        <f t="shared" si="61"/>
        <v/>
      </c>
      <c r="AD309" s="3" t="str">
        <f t="shared" si="62"/>
        <v/>
      </c>
      <c r="AE309" s="3" t="str">
        <f t="shared" si="63"/>
        <v/>
      </c>
      <c r="AF309" s="3" t="str">
        <f t="shared" si="64"/>
        <v/>
      </c>
      <c r="AG309" s="3" t="str">
        <f t="shared" si="65"/>
        <v/>
      </c>
      <c r="AH309" s="3" t="str">
        <f t="shared" si="66"/>
        <v/>
      </c>
      <c r="AI309" s="3" t="str">
        <f t="shared" si="67"/>
        <v/>
      </c>
      <c r="AJ309" s="3" t="str">
        <f t="shared" si="68"/>
        <v/>
      </c>
      <c r="AK309" s="3" t="str">
        <f>IF(V309=0,"",_xlfn.CONCAT(DADOS!$A$8,X309:AJ309,"
"))</f>
        <v/>
      </c>
    </row>
    <row r="310" spans="5:37" ht="15" customHeight="1" x14ac:dyDescent="0.25">
      <c r="E310" s="22"/>
      <c r="F310" s="22"/>
      <c r="G310" s="12"/>
      <c r="H310" s="22"/>
      <c r="I310" s="13"/>
      <c r="J310" s="14"/>
      <c r="K310" s="12"/>
      <c r="L310" s="15"/>
      <c r="M310" s="16"/>
      <c r="N310" s="15"/>
      <c r="O310" s="16"/>
      <c r="P310" s="17"/>
      <c r="Q310" s="15"/>
      <c r="R310" s="18"/>
      <c r="S310" s="20">
        <v>296</v>
      </c>
      <c r="V310" s="3">
        <f t="shared" si="56"/>
        <v>0</v>
      </c>
      <c r="X310" s="3" t="str">
        <f t="shared" si="57"/>
        <v/>
      </c>
      <c r="Y310" s="3" t="str">
        <f t="shared" si="58"/>
        <v/>
      </c>
      <c r="Z310" s="3" t="str">
        <f t="shared" si="59"/>
        <v/>
      </c>
      <c r="AA310" s="3" t="str">
        <f t="shared" si="69"/>
        <v/>
      </c>
      <c r="AB310" s="3" t="str">
        <f t="shared" si="60"/>
        <v/>
      </c>
      <c r="AC310" s="3" t="str">
        <f t="shared" si="61"/>
        <v/>
      </c>
      <c r="AD310" s="3" t="str">
        <f t="shared" si="62"/>
        <v/>
      </c>
      <c r="AE310" s="3" t="str">
        <f t="shared" si="63"/>
        <v/>
      </c>
      <c r="AF310" s="3" t="str">
        <f t="shared" si="64"/>
        <v/>
      </c>
      <c r="AG310" s="3" t="str">
        <f t="shared" si="65"/>
        <v/>
      </c>
      <c r="AH310" s="3" t="str">
        <f t="shared" si="66"/>
        <v/>
      </c>
      <c r="AI310" s="3" t="str">
        <f t="shared" si="67"/>
        <v/>
      </c>
      <c r="AJ310" s="3" t="str">
        <f t="shared" si="68"/>
        <v/>
      </c>
      <c r="AK310" s="3" t="str">
        <f>IF(V310=0,"",_xlfn.CONCAT(DADOS!$A$8,X310:AJ310,"
"))</f>
        <v/>
      </c>
    </row>
    <row r="311" spans="5:37" ht="15" customHeight="1" x14ac:dyDescent="0.25">
      <c r="E311" s="22"/>
      <c r="F311" s="22"/>
      <c r="G311" s="12"/>
      <c r="H311" s="22"/>
      <c r="I311" s="13"/>
      <c r="J311" s="14"/>
      <c r="K311" s="12"/>
      <c r="L311" s="15"/>
      <c r="M311" s="16"/>
      <c r="N311" s="15"/>
      <c r="O311" s="16"/>
      <c r="P311" s="17"/>
      <c r="Q311" s="15"/>
      <c r="R311" s="18"/>
      <c r="S311" s="20">
        <v>297</v>
      </c>
      <c r="V311" s="3">
        <f t="shared" si="56"/>
        <v>0</v>
      </c>
      <c r="X311" s="3" t="str">
        <f t="shared" si="57"/>
        <v/>
      </c>
      <c r="Y311" s="3" t="str">
        <f t="shared" si="58"/>
        <v/>
      </c>
      <c r="Z311" s="3" t="str">
        <f t="shared" si="59"/>
        <v/>
      </c>
      <c r="AA311" s="3" t="str">
        <f t="shared" si="69"/>
        <v/>
      </c>
      <c r="AB311" s="3" t="str">
        <f t="shared" si="60"/>
        <v/>
      </c>
      <c r="AC311" s="3" t="str">
        <f t="shared" si="61"/>
        <v/>
      </c>
      <c r="AD311" s="3" t="str">
        <f t="shared" si="62"/>
        <v/>
      </c>
      <c r="AE311" s="3" t="str">
        <f t="shared" si="63"/>
        <v/>
      </c>
      <c r="AF311" s="3" t="str">
        <f t="shared" si="64"/>
        <v/>
      </c>
      <c r="AG311" s="3" t="str">
        <f t="shared" si="65"/>
        <v/>
      </c>
      <c r="AH311" s="3" t="str">
        <f t="shared" si="66"/>
        <v/>
      </c>
      <c r="AI311" s="3" t="str">
        <f t="shared" si="67"/>
        <v/>
      </c>
      <c r="AJ311" s="3" t="str">
        <f t="shared" si="68"/>
        <v/>
      </c>
      <c r="AK311" s="3" t="str">
        <f>IF(V311=0,"",_xlfn.CONCAT(DADOS!$A$8,X311:AJ311,"
"))</f>
        <v/>
      </c>
    </row>
    <row r="312" spans="5:37" ht="15" customHeight="1" x14ac:dyDescent="0.25">
      <c r="E312" s="22"/>
      <c r="F312" s="22"/>
      <c r="G312" s="12"/>
      <c r="H312" s="22"/>
      <c r="I312" s="13"/>
      <c r="J312" s="14"/>
      <c r="K312" s="12"/>
      <c r="L312" s="15"/>
      <c r="M312" s="16"/>
      <c r="N312" s="15"/>
      <c r="O312" s="16"/>
      <c r="P312" s="17"/>
      <c r="Q312" s="15"/>
      <c r="R312" s="18"/>
      <c r="S312" s="20">
        <v>298</v>
      </c>
      <c r="V312" s="3">
        <f t="shared" si="56"/>
        <v>0</v>
      </c>
      <c r="X312" s="3" t="str">
        <f t="shared" si="57"/>
        <v/>
      </c>
      <c r="Y312" s="3" t="str">
        <f t="shared" si="58"/>
        <v/>
      </c>
      <c r="Z312" s="3" t="str">
        <f t="shared" si="59"/>
        <v/>
      </c>
      <c r="AA312" s="3" t="str">
        <f t="shared" si="69"/>
        <v/>
      </c>
      <c r="AB312" s="3" t="str">
        <f t="shared" si="60"/>
        <v/>
      </c>
      <c r="AC312" s="3" t="str">
        <f t="shared" si="61"/>
        <v/>
      </c>
      <c r="AD312" s="3" t="str">
        <f t="shared" si="62"/>
        <v/>
      </c>
      <c r="AE312" s="3" t="str">
        <f t="shared" si="63"/>
        <v/>
      </c>
      <c r="AF312" s="3" t="str">
        <f t="shared" si="64"/>
        <v/>
      </c>
      <c r="AG312" s="3" t="str">
        <f t="shared" si="65"/>
        <v/>
      </c>
      <c r="AH312" s="3" t="str">
        <f t="shared" si="66"/>
        <v/>
      </c>
      <c r="AI312" s="3" t="str">
        <f t="shared" si="67"/>
        <v/>
      </c>
      <c r="AJ312" s="3" t="str">
        <f t="shared" si="68"/>
        <v/>
      </c>
      <c r="AK312" s="3" t="str">
        <f>IF(V312=0,"",_xlfn.CONCAT(DADOS!$A$8,X312:AJ312,"
"))</f>
        <v/>
      </c>
    </row>
    <row r="313" spans="5:37" ht="15" customHeight="1" x14ac:dyDescent="0.25">
      <c r="E313" s="22"/>
      <c r="F313" s="22"/>
      <c r="G313" s="12"/>
      <c r="H313" s="22"/>
      <c r="I313" s="13"/>
      <c r="J313" s="14"/>
      <c r="K313" s="12"/>
      <c r="L313" s="15"/>
      <c r="M313" s="16"/>
      <c r="N313" s="15"/>
      <c r="O313" s="16"/>
      <c r="P313" s="17"/>
      <c r="Q313" s="15"/>
      <c r="R313" s="18"/>
      <c r="S313" s="20">
        <v>299</v>
      </c>
      <c r="V313" s="3">
        <f t="shared" si="56"/>
        <v>0</v>
      </c>
      <c r="X313" s="3" t="str">
        <f t="shared" si="57"/>
        <v/>
      </c>
      <c r="Y313" s="3" t="str">
        <f t="shared" si="58"/>
        <v/>
      </c>
      <c r="Z313" s="3" t="str">
        <f t="shared" si="59"/>
        <v/>
      </c>
      <c r="AA313" s="3" t="str">
        <f t="shared" si="69"/>
        <v/>
      </c>
      <c r="AB313" s="3" t="str">
        <f t="shared" si="60"/>
        <v/>
      </c>
      <c r="AC313" s="3" t="str">
        <f t="shared" si="61"/>
        <v/>
      </c>
      <c r="AD313" s="3" t="str">
        <f t="shared" si="62"/>
        <v/>
      </c>
      <c r="AE313" s="3" t="str">
        <f t="shared" si="63"/>
        <v/>
      </c>
      <c r="AF313" s="3" t="str">
        <f t="shared" si="64"/>
        <v/>
      </c>
      <c r="AG313" s="3" t="str">
        <f t="shared" si="65"/>
        <v/>
      </c>
      <c r="AH313" s="3" t="str">
        <f t="shared" si="66"/>
        <v/>
      </c>
      <c r="AI313" s="3" t="str">
        <f t="shared" si="67"/>
        <v/>
      </c>
      <c r="AJ313" s="3" t="str">
        <f t="shared" si="68"/>
        <v/>
      </c>
      <c r="AK313" s="3" t="str">
        <f>IF(V313=0,"",_xlfn.CONCAT(DADOS!$A$8,X313:AJ313,"
"))</f>
        <v/>
      </c>
    </row>
    <row r="314" spans="5:37" ht="15" customHeight="1" x14ac:dyDescent="0.25">
      <c r="E314" s="22"/>
      <c r="F314" s="22"/>
      <c r="G314" s="12"/>
      <c r="H314" s="22"/>
      <c r="I314" s="13"/>
      <c r="J314" s="14"/>
      <c r="K314" s="12"/>
      <c r="L314" s="15"/>
      <c r="M314" s="16"/>
      <c r="N314" s="15"/>
      <c r="O314" s="16"/>
      <c r="P314" s="17"/>
      <c r="Q314" s="15"/>
      <c r="R314" s="18"/>
      <c r="S314" s="20">
        <v>300</v>
      </c>
      <c r="V314" s="3">
        <f t="shared" si="56"/>
        <v>0</v>
      </c>
      <c r="X314" s="3" t="str">
        <f t="shared" si="57"/>
        <v/>
      </c>
      <c r="Y314" s="3" t="str">
        <f t="shared" si="58"/>
        <v/>
      </c>
      <c r="Z314" s="3" t="str">
        <f t="shared" si="59"/>
        <v/>
      </c>
      <c r="AA314" s="3" t="str">
        <f t="shared" si="69"/>
        <v/>
      </c>
      <c r="AB314" s="3" t="str">
        <f t="shared" si="60"/>
        <v/>
      </c>
      <c r="AC314" s="3" t="str">
        <f t="shared" si="61"/>
        <v/>
      </c>
      <c r="AD314" s="3" t="str">
        <f t="shared" si="62"/>
        <v/>
      </c>
      <c r="AE314" s="3" t="str">
        <f t="shared" si="63"/>
        <v/>
      </c>
      <c r="AF314" s="3" t="str">
        <f t="shared" si="64"/>
        <v/>
      </c>
      <c r="AG314" s="3" t="str">
        <f t="shared" si="65"/>
        <v/>
      </c>
      <c r="AH314" s="3" t="str">
        <f t="shared" si="66"/>
        <v/>
      </c>
      <c r="AI314" s="3" t="str">
        <f t="shared" si="67"/>
        <v/>
      </c>
      <c r="AJ314" s="3" t="str">
        <f t="shared" si="68"/>
        <v/>
      </c>
      <c r="AK314" s="3" t="str">
        <f>IF(V314=0,"",_xlfn.CONCAT(DADOS!$A$8,X314:AJ314,"
"))</f>
        <v/>
      </c>
    </row>
    <row r="315" spans="5:37" ht="15" customHeight="1" x14ac:dyDescent="0.25">
      <c r="E315" s="22"/>
      <c r="F315" s="22"/>
      <c r="G315" s="12"/>
      <c r="H315" s="22"/>
      <c r="I315" s="13"/>
      <c r="J315" s="14"/>
      <c r="K315" s="12"/>
      <c r="L315" s="15"/>
      <c r="M315" s="16"/>
      <c r="N315" s="15"/>
      <c r="O315" s="16"/>
      <c r="P315" s="17"/>
      <c r="Q315" s="15"/>
      <c r="R315" s="18"/>
      <c r="S315" s="20">
        <v>301</v>
      </c>
      <c r="V315" s="3">
        <f t="shared" si="56"/>
        <v>0</v>
      </c>
      <c r="X315" s="3" t="str">
        <f t="shared" si="57"/>
        <v/>
      </c>
      <c r="Y315" s="3" t="str">
        <f t="shared" si="58"/>
        <v/>
      </c>
      <c r="Z315" s="3" t="str">
        <f t="shared" si="59"/>
        <v/>
      </c>
      <c r="AA315" s="3" t="str">
        <f t="shared" si="69"/>
        <v/>
      </c>
      <c r="AB315" s="3" t="str">
        <f t="shared" si="60"/>
        <v/>
      </c>
      <c r="AC315" s="3" t="str">
        <f t="shared" si="61"/>
        <v/>
      </c>
      <c r="AD315" s="3" t="str">
        <f t="shared" si="62"/>
        <v/>
      </c>
      <c r="AE315" s="3" t="str">
        <f t="shared" si="63"/>
        <v/>
      </c>
      <c r="AF315" s="3" t="str">
        <f t="shared" si="64"/>
        <v/>
      </c>
      <c r="AG315" s="3" t="str">
        <f t="shared" si="65"/>
        <v/>
      </c>
      <c r="AH315" s="3" t="str">
        <f t="shared" si="66"/>
        <v/>
      </c>
      <c r="AI315" s="3" t="str">
        <f t="shared" si="67"/>
        <v/>
      </c>
      <c r="AJ315" s="3" t="str">
        <f t="shared" si="68"/>
        <v/>
      </c>
      <c r="AK315" s="3" t="str">
        <f>IF(V315=0,"",_xlfn.CONCAT(DADOS!$A$8,X315:AJ315,"
"))</f>
        <v/>
      </c>
    </row>
    <row r="316" spans="5:37" ht="15" customHeight="1" x14ac:dyDescent="0.25">
      <c r="E316" s="22"/>
      <c r="F316" s="22"/>
      <c r="G316" s="12"/>
      <c r="H316" s="22"/>
      <c r="I316" s="13"/>
      <c r="J316" s="14"/>
      <c r="K316" s="12"/>
      <c r="L316" s="15"/>
      <c r="M316" s="16"/>
      <c r="N316" s="15"/>
      <c r="O316" s="16"/>
      <c r="P316" s="17"/>
      <c r="Q316" s="15"/>
      <c r="R316" s="18"/>
      <c r="S316" s="20">
        <v>302</v>
      </c>
      <c r="V316" s="3">
        <f t="shared" si="56"/>
        <v>0</v>
      </c>
      <c r="X316" s="3" t="str">
        <f t="shared" si="57"/>
        <v/>
      </c>
      <c r="Y316" s="3" t="str">
        <f t="shared" si="58"/>
        <v/>
      </c>
      <c r="Z316" s="3" t="str">
        <f t="shared" si="59"/>
        <v/>
      </c>
      <c r="AA316" s="3" t="str">
        <f t="shared" si="69"/>
        <v/>
      </c>
      <c r="AB316" s="3" t="str">
        <f t="shared" si="60"/>
        <v/>
      </c>
      <c r="AC316" s="3" t="str">
        <f t="shared" si="61"/>
        <v/>
      </c>
      <c r="AD316" s="3" t="str">
        <f t="shared" si="62"/>
        <v/>
      </c>
      <c r="AE316" s="3" t="str">
        <f t="shared" si="63"/>
        <v/>
      </c>
      <c r="AF316" s="3" t="str">
        <f t="shared" si="64"/>
        <v/>
      </c>
      <c r="AG316" s="3" t="str">
        <f t="shared" si="65"/>
        <v/>
      </c>
      <c r="AH316" s="3" t="str">
        <f t="shared" si="66"/>
        <v/>
      </c>
      <c r="AI316" s="3" t="str">
        <f t="shared" si="67"/>
        <v/>
      </c>
      <c r="AJ316" s="3" t="str">
        <f t="shared" si="68"/>
        <v/>
      </c>
      <c r="AK316" s="3" t="str">
        <f>IF(V316=0,"",_xlfn.CONCAT(DADOS!$A$8,X316:AJ316,"
"))</f>
        <v/>
      </c>
    </row>
    <row r="317" spans="5:37" ht="15" customHeight="1" x14ac:dyDescent="0.25">
      <c r="E317" s="22"/>
      <c r="F317" s="22"/>
      <c r="G317" s="12"/>
      <c r="H317" s="22"/>
      <c r="I317" s="13"/>
      <c r="J317" s="14"/>
      <c r="K317" s="12"/>
      <c r="L317" s="15"/>
      <c r="M317" s="16"/>
      <c r="N317" s="15"/>
      <c r="O317" s="16"/>
      <c r="P317" s="17"/>
      <c r="Q317" s="15"/>
      <c r="R317" s="18"/>
      <c r="S317" s="20">
        <v>303</v>
      </c>
      <c r="V317" s="3">
        <f t="shared" si="56"/>
        <v>0</v>
      </c>
      <c r="X317" s="3" t="str">
        <f t="shared" si="57"/>
        <v/>
      </c>
      <c r="Y317" s="3" t="str">
        <f t="shared" si="58"/>
        <v/>
      </c>
      <c r="Z317" s="3" t="str">
        <f t="shared" si="59"/>
        <v/>
      </c>
      <c r="AA317" s="3" t="str">
        <f t="shared" si="69"/>
        <v/>
      </c>
      <c r="AB317" s="3" t="str">
        <f t="shared" si="60"/>
        <v/>
      </c>
      <c r="AC317" s="3" t="str">
        <f t="shared" si="61"/>
        <v/>
      </c>
      <c r="AD317" s="3" t="str">
        <f t="shared" si="62"/>
        <v/>
      </c>
      <c r="AE317" s="3" t="str">
        <f t="shared" si="63"/>
        <v/>
      </c>
      <c r="AF317" s="3" t="str">
        <f t="shared" si="64"/>
        <v/>
      </c>
      <c r="AG317" s="3" t="str">
        <f t="shared" si="65"/>
        <v/>
      </c>
      <c r="AH317" s="3" t="str">
        <f t="shared" si="66"/>
        <v/>
      </c>
      <c r="AI317" s="3" t="str">
        <f t="shared" si="67"/>
        <v/>
      </c>
      <c r="AJ317" s="3" t="str">
        <f t="shared" si="68"/>
        <v/>
      </c>
      <c r="AK317" s="3" t="str">
        <f>IF(V317=0,"",_xlfn.CONCAT(DADOS!$A$8,X317:AJ317,"
"))</f>
        <v/>
      </c>
    </row>
    <row r="318" spans="5:37" ht="15" customHeight="1" x14ac:dyDescent="0.25">
      <c r="E318" s="22"/>
      <c r="F318" s="22"/>
      <c r="G318" s="12"/>
      <c r="H318" s="22"/>
      <c r="I318" s="13"/>
      <c r="J318" s="14"/>
      <c r="K318" s="12"/>
      <c r="L318" s="15"/>
      <c r="M318" s="16"/>
      <c r="N318" s="15"/>
      <c r="O318" s="16"/>
      <c r="P318" s="17"/>
      <c r="Q318" s="15"/>
      <c r="R318" s="18"/>
      <c r="S318" s="20">
        <v>304</v>
      </c>
      <c r="V318" s="3">
        <f t="shared" si="56"/>
        <v>0</v>
      </c>
      <c r="X318" s="3" t="str">
        <f t="shared" si="57"/>
        <v/>
      </c>
      <c r="Y318" s="3" t="str">
        <f t="shared" si="58"/>
        <v/>
      </c>
      <c r="Z318" s="3" t="str">
        <f t="shared" si="59"/>
        <v/>
      </c>
      <c r="AA318" s="3" t="str">
        <f t="shared" si="69"/>
        <v/>
      </c>
      <c r="AB318" s="3" t="str">
        <f t="shared" si="60"/>
        <v/>
      </c>
      <c r="AC318" s="3" t="str">
        <f t="shared" si="61"/>
        <v/>
      </c>
      <c r="AD318" s="3" t="str">
        <f t="shared" si="62"/>
        <v/>
      </c>
      <c r="AE318" s="3" t="str">
        <f t="shared" si="63"/>
        <v/>
      </c>
      <c r="AF318" s="3" t="str">
        <f t="shared" si="64"/>
        <v/>
      </c>
      <c r="AG318" s="3" t="str">
        <f t="shared" si="65"/>
        <v/>
      </c>
      <c r="AH318" s="3" t="str">
        <f t="shared" si="66"/>
        <v/>
      </c>
      <c r="AI318" s="3" t="str">
        <f t="shared" si="67"/>
        <v/>
      </c>
      <c r="AJ318" s="3" t="str">
        <f t="shared" si="68"/>
        <v/>
      </c>
      <c r="AK318" s="3" t="str">
        <f>IF(V318=0,"",_xlfn.CONCAT(DADOS!$A$8,X318:AJ318,"
"))</f>
        <v/>
      </c>
    </row>
    <row r="319" spans="5:37" ht="15" customHeight="1" x14ac:dyDescent="0.25">
      <c r="E319" s="22"/>
      <c r="F319" s="22"/>
      <c r="G319" s="12"/>
      <c r="H319" s="22"/>
      <c r="I319" s="13"/>
      <c r="J319" s="14"/>
      <c r="K319" s="12"/>
      <c r="L319" s="15"/>
      <c r="M319" s="16"/>
      <c r="N319" s="15"/>
      <c r="O319" s="16"/>
      <c r="P319" s="17"/>
      <c r="Q319" s="15"/>
      <c r="R319" s="18"/>
      <c r="S319" s="20">
        <v>305</v>
      </c>
      <c r="V319" s="3">
        <f t="shared" si="56"/>
        <v>0</v>
      </c>
      <c r="X319" s="3" t="str">
        <f t="shared" si="57"/>
        <v/>
      </c>
      <c r="Y319" s="3" t="str">
        <f t="shared" si="58"/>
        <v/>
      </c>
      <c r="Z319" s="3" t="str">
        <f t="shared" si="59"/>
        <v/>
      </c>
      <c r="AA319" s="3" t="str">
        <f t="shared" si="69"/>
        <v/>
      </c>
      <c r="AB319" s="3" t="str">
        <f t="shared" si="60"/>
        <v/>
      </c>
      <c r="AC319" s="3" t="str">
        <f t="shared" si="61"/>
        <v/>
      </c>
      <c r="AD319" s="3" t="str">
        <f t="shared" si="62"/>
        <v/>
      </c>
      <c r="AE319" s="3" t="str">
        <f t="shared" si="63"/>
        <v/>
      </c>
      <c r="AF319" s="3" t="str">
        <f t="shared" si="64"/>
        <v/>
      </c>
      <c r="AG319" s="3" t="str">
        <f t="shared" si="65"/>
        <v/>
      </c>
      <c r="AH319" s="3" t="str">
        <f t="shared" si="66"/>
        <v/>
      </c>
      <c r="AI319" s="3" t="str">
        <f t="shared" si="67"/>
        <v/>
      </c>
      <c r="AJ319" s="3" t="str">
        <f t="shared" si="68"/>
        <v/>
      </c>
      <c r="AK319" s="3" t="str">
        <f>IF(V319=0,"",_xlfn.CONCAT(DADOS!$A$8,X319:AJ319,"
"))</f>
        <v/>
      </c>
    </row>
    <row r="320" spans="5:37" ht="15" customHeight="1" x14ac:dyDescent="0.25">
      <c r="E320" s="22"/>
      <c r="F320" s="22"/>
      <c r="G320" s="12"/>
      <c r="H320" s="22"/>
      <c r="I320" s="13"/>
      <c r="J320" s="14"/>
      <c r="K320" s="12"/>
      <c r="L320" s="15"/>
      <c r="M320" s="16"/>
      <c r="N320" s="15"/>
      <c r="O320" s="16"/>
      <c r="P320" s="17"/>
      <c r="Q320" s="15"/>
      <c r="R320" s="18"/>
      <c r="S320" s="20">
        <v>306</v>
      </c>
      <c r="V320" s="3">
        <f t="shared" si="56"/>
        <v>0</v>
      </c>
      <c r="X320" s="3" t="str">
        <f t="shared" si="57"/>
        <v/>
      </c>
      <c r="Y320" s="3" t="str">
        <f t="shared" si="58"/>
        <v/>
      </c>
      <c r="Z320" s="3" t="str">
        <f t="shared" si="59"/>
        <v/>
      </c>
      <c r="AA320" s="3" t="str">
        <f t="shared" si="69"/>
        <v/>
      </c>
      <c r="AB320" s="3" t="str">
        <f t="shared" si="60"/>
        <v/>
      </c>
      <c r="AC320" s="3" t="str">
        <f t="shared" si="61"/>
        <v/>
      </c>
      <c r="AD320" s="3" t="str">
        <f t="shared" si="62"/>
        <v/>
      </c>
      <c r="AE320" s="3" t="str">
        <f t="shared" si="63"/>
        <v/>
      </c>
      <c r="AF320" s="3" t="str">
        <f t="shared" si="64"/>
        <v/>
      </c>
      <c r="AG320" s="3" t="str">
        <f t="shared" si="65"/>
        <v/>
      </c>
      <c r="AH320" s="3" t="str">
        <f t="shared" si="66"/>
        <v/>
      </c>
      <c r="AI320" s="3" t="str">
        <f t="shared" si="67"/>
        <v/>
      </c>
      <c r="AJ320" s="3" t="str">
        <f t="shared" si="68"/>
        <v/>
      </c>
      <c r="AK320" s="3" t="str">
        <f>IF(V320=0,"",_xlfn.CONCAT(DADOS!$A$8,X320:AJ320,"
"))</f>
        <v/>
      </c>
    </row>
    <row r="321" spans="5:37" ht="15" customHeight="1" x14ac:dyDescent="0.25">
      <c r="E321" s="22"/>
      <c r="F321" s="22"/>
      <c r="G321" s="12"/>
      <c r="H321" s="22"/>
      <c r="I321" s="13"/>
      <c r="J321" s="14"/>
      <c r="K321" s="12"/>
      <c r="L321" s="15"/>
      <c r="M321" s="16"/>
      <c r="N321" s="15"/>
      <c r="O321" s="16"/>
      <c r="P321" s="17"/>
      <c r="Q321" s="15"/>
      <c r="R321" s="18"/>
      <c r="S321" s="20">
        <v>307</v>
      </c>
      <c r="V321" s="3">
        <f t="shared" si="56"/>
        <v>0</v>
      </c>
      <c r="X321" s="3" t="str">
        <f t="shared" si="57"/>
        <v/>
      </c>
      <c r="Y321" s="3" t="str">
        <f t="shared" si="58"/>
        <v/>
      </c>
      <c r="Z321" s="3" t="str">
        <f t="shared" si="59"/>
        <v/>
      </c>
      <c r="AA321" s="3" t="str">
        <f t="shared" si="69"/>
        <v/>
      </c>
      <c r="AB321" s="3" t="str">
        <f t="shared" si="60"/>
        <v/>
      </c>
      <c r="AC321" s="3" t="str">
        <f t="shared" si="61"/>
        <v/>
      </c>
      <c r="AD321" s="3" t="str">
        <f t="shared" si="62"/>
        <v/>
      </c>
      <c r="AE321" s="3" t="str">
        <f t="shared" si="63"/>
        <v/>
      </c>
      <c r="AF321" s="3" t="str">
        <f t="shared" si="64"/>
        <v/>
      </c>
      <c r="AG321" s="3" t="str">
        <f t="shared" si="65"/>
        <v/>
      </c>
      <c r="AH321" s="3" t="str">
        <f t="shared" si="66"/>
        <v/>
      </c>
      <c r="AI321" s="3" t="str">
        <f t="shared" si="67"/>
        <v/>
      </c>
      <c r="AJ321" s="3" t="str">
        <f t="shared" si="68"/>
        <v/>
      </c>
      <c r="AK321" s="3" t="str">
        <f>IF(V321=0,"",_xlfn.CONCAT(DADOS!$A$8,X321:AJ321,"
"))</f>
        <v/>
      </c>
    </row>
    <row r="322" spans="5:37" ht="15" customHeight="1" x14ac:dyDescent="0.25">
      <c r="E322" s="22"/>
      <c r="F322" s="22"/>
      <c r="G322" s="12"/>
      <c r="H322" s="22"/>
      <c r="I322" s="13"/>
      <c r="J322" s="14"/>
      <c r="K322" s="12"/>
      <c r="L322" s="15"/>
      <c r="M322" s="16"/>
      <c r="N322" s="15"/>
      <c r="O322" s="16"/>
      <c r="P322" s="17"/>
      <c r="Q322" s="15"/>
      <c r="R322" s="18"/>
      <c r="S322" s="20">
        <v>308</v>
      </c>
      <c r="V322" s="3">
        <f t="shared" si="56"/>
        <v>0</v>
      </c>
      <c r="X322" s="3" t="str">
        <f t="shared" si="57"/>
        <v/>
      </c>
      <c r="Y322" s="3" t="str">
        <f t="shared" si="58"/>
        <v/>
      </c>
      <c r="Z322" s="3" t="str">
        <f t="shared" si="59"/>
        <v/>
      </c>
      <c r="AA322" s="3" t="str">
        <f t="shared" si="69"/>
        <v/>
      </c>
      <c r="AB322" s="3" t="str">
        <f t="shared" si="60"/>
        <v/>
      </c>
      <c r="AC322" s="3" t="str">
        <f t="shared" si="61"/>
        <v/>
      </c>
      <c r="AD322" s="3" t="str">
        <f t="shared" si="62"/>
        <v/>
      </c>
      <c r="AE322" s="3" t="str">
        <f t="shared" si="63"/>
        <v/>
      </c>
      <c r="AF322" s="3" t="str">
        <f t="shared" si="64"/>
        <v/>
      </c>
      <c r="AG322" s="3" t="str">
        <f t="shared" si="65"/>
        <v/>
      </c>
      <c r="AH322" s="3" t="str">
        <f t="shared" si="66"/>
        <v/>
      </c>
      <c r="AI322" s="3" t="str">
        <f t="shared" si="67"/>
        <v/>
      </c>
      <c r="AJ322" s="3" t="str">
        <f t="shared" si="68"/>
        <v/>
      </c>
      <c r="AK322" s="3" t="str">
        <f>IF(V322=0,"",_xlfn.CONCAT(DADOS!$A$8,X322:AJ322,"
"))</f>
        <v/>
      </c>
    </row>
    <row r="323" spans="5:37" ht="15" customHeight="1" x14ac:dyDescent="0.25">
      <c r="E323" s="22"/>
      <c r="F323" s="22"/>
      <c r="G323" s="12"/>
      <c r="H323" s="22"/>
      <c r="I323" s="13"/>
      <c r="J323" s="14"/>
      <c r="K323" s="12"/>
      <c r="L323" s="15"/>
      <c r="M323" s="16"/>
      <c r="N323" s="15"/>
      <c r="O323" s="16"/>
      <c r="P323" s="17"/>
      <c r="Q323" s="15"/>
      <c r="R323" s="18"/>
      <c r="S323" s="20">
        <v>309</v>
      </c>
      <c r="V323" s="3">
        <f t="shared" si="56"/>
        <v>0</v>
      </c>
      <c r="X323" s="3" t="str">
        <f t="shared" si="57"/>
        <v/>
      </c>
      <c r="Y323" s="3" t="str">
        <f t="shared" si="58"/>
        <v/>
      </c>
      <c r="Z323" s="3" t="str">
        <f t="shared" si="59"/>
        <v/>
      </c>
      <c r="AA323" s="3" t="str">
        <f t="shared" si="69"/>
        <v/>
      </c>
      <c r="AB323" s="3" t="str">
        <f t="shared" si="60"/>
        <v/>
      </c>
      <c r="AC323" s="3" t="str">
        <f t="shared" si="61"/>
        <v/>
      </c>
      <c r="AD323" s="3" t="str">
        <f t="shared" si="62"/>
        <v/>
      </c>
      <c r="AE323" s="3" t="str">
        <f t="shared" si="63"/>
        <v/>
      </c>
      <c r="AF323" s="3" t="str">
        <f t="shared" si="64"/>
        <v/>
      </c>
      <c r="AG323" s="3" t="str">
        <f t="shared" si="65"/>
        <v/>
      </c>
      <c r="AH323" s="3" t="str">
        <f t="shared" si="66"/>
        <v/>
      </c>
      <c r="AI323" s="3" t="str">
        <f t="shared" si="67"/>
        <v/>
      </c>
      <c r="AJ323" s="3" t="str">
        <f t="shared" si="68"/>
        <v/>
      </c>
      <c r="AK323" s="3" t="str">
        <f>IF(V323=0,"",_xlfn.CONCAT(DADOS!$A$8,X323:AJ323,"
"))</f>
        <v/>
      </c>
    </row>
    <row r="324" spans="5:37" ht="15" customHeight="1" x14ac:dyDescent="0.25">
      <c r="E324" s="22"/>
      <c r="F324" s="22"/>
      <c r="G324" s="12"/>
      <c r="H324" s="22"/>
      <c r="I324" s="13"/>
      <c r="J324" s="14"/>
      <c r="K324" s="12"/>
      <c r="L324" s="15"/>
      <c r="M324" s="16"/>
      <c r="N324" s="15"/>
      <c r="O324" s="16"/>
      <c r="P324" s="17"/>
      <c r="Q324" s="15"/>
      <c r="R324" s="18"/>
      <c r="S324" s="20">
        <v>310</v>
      </c>
      <c r="V324" s="3">
        <f t="shared" si="56"/>
        <v>0</v>
      </c>
      <c r="X324" s="3" t="str">
        <f t="shared" si="57"/>
        <v/>
      </c>
      <c r="Y324" s="3" t="str">
        <f t="shared" si="58"/>
        <v/>
      </c>
      <c r="Z324" s="3" t="str">
        <f t="shared" si="59"/>
        <v/>
      </c>
      <c r="AA324" s="3" t="str">
        <f t="shared" si="69"/>
        <v/>
      </c>
      <c r="AB324" s="3" t="str">
        <f t="shared" si="60"/>
        <v/>
      </c>
      <c r="AC324" s="3" t="str">
        <f t="shared" si="61"/>
        <v/>
      </c>
      <c r="AD324" s="3" t="str">
        <f t="shared" si="62"/>
        <v/>
      </c>
      <c r="AE324" s="3" t="str">
        <f t="shared" si="63"/>
        <v/>
      </c>
      <c r="AF324" s="3" t="str">
        <f t="shared" si="64"/>
        <v/>
      </c>
      <c r="AG324" s="3" t="str">
        <f t="shared" si="65"/>
        <v/>
      </c>
      <c r="AH324" s="3" t="str">
        <f t="shared" si="66"/>
        <v/>
      </c>
      <c r="AI324" s="3" t="str">
        <f t="shared" si="67"/>
        <v/>
      </c>
      <c r="AJ324" s="3" t="str">
        <f t="shared" si="68"/>
        <v/>
      </c>
      <c r="AK324" s="3" t="str">
        <f>IF(V324=0,"",_xlfn.CONCAT(DADOS!$A$8,X324:AJ324,"
"))</f>
        <v/>
      </c>
    </row>
    <row r="325" spans="5:37" ht="15" customHeight="1" x14ac:dyDescent="0.25">
      <c r="E325" s="22"/>
      <c r="F325" s="22"/>
      <c r="G325" s="12"/>
      <c r="H325" s="22"/>
      <c r="I325" s="13"/>
      <c r="J325" s="14"/>
      <c r="K325" s="12"/>
      <c r="L325" s="15"/>
      <c r="M325" s="16"/>
      <c r="N325" s="15"/>
      <c r="O325" s="16"/>
      <c r="P325" s="17"/>
      <c r="Q325" s="15"/>
      <c r="R325" s="18"/>
      <c r="S325" s="20">
        <v>311</v>
      </c>
      <c r="V325" s="3">
        <f t="shared" si="56"/>
        <v>0</v>
      </c>
      <c r="X325" s="3" t="str">
        <f t="shared" si="57"/>
        <v/>
      </c>
      <c r="Y325" s="3" t="str">
        <f t="shared" si="58"/>
        <v/>
      </c>
      <c r="Z325" s="3" t="str">
        <f t="shared" si="59"/>
        <v/>
      </c>
      <c r="AA325" s="3" t="str">
        <f t="shared" si="69"/>
        <v/>
      </c>
      <c r="AB325" s="3" t="str">
        <f t="shared" si="60"/>
        <v/>
      </c>
      <c r="AC325" s="3" t="str">
        <f t="shared" si="61"/>
        <v/>
      </c>
      <c r="AD325" s="3" t="str">
        <f t="shared" si="62"/>
        <v/>
      </c>
      <c r="AE325" s="3" t="str">
        <f t="shared" si="63"/>
        <v/>
      </c>
      <c r="AF325" s="3" t="str">
        <f t="shared" si="64"/>
        <v/>
      </c>
      <c r="AG325" s="3" t="str">
        <f t="shared" si="65"/>
        <v/>
      </c>
      <c r="AH325" s="3" t="str">
        <f t="shared" si="66"/>
        <v/>
      </c>
      <c r="AI325" s="3" t="str">
        <f t="shared" si="67"/>
        <v/>
      </c>
      <c r="AJ325" s="3" t="str">
        <f t="shared" si="68"/>
        <v/>
      </c>
      <c r="AK325" s="3" t="str">
        <f>IF(V325=0,"",_xlfn.CONCAT(DADOS!$A$8,X325:AJ325,"
"))</f>
        <v/>
      </c>
    </row>
    <row r="326" spans="5:37" ht="15" customHeight="1" x14ac:dyDescent="0.25">
      <c r="E326" s="22"/>
      <c r="F326" s="22"/>
      <c r="G326" s="12"/>
      <c r="H326" s="22"/>
      <c r="I326" s="13"/>
      <c r="J326" s="14"/>
      <c r="K326" s="12"/>
      <c r="L326" s="15"/>
      <c r="M326" s="16"/>
      <c r="N326" s="15"/>
      <c r="O326" s="16"/>
      <c r="P326" s="17"/>
      <c r="Q326" s="15"/>
      <c r="R326" s="18"/>
      <c r="S326" s="20">
        <v>312</v>
      </c>
      <c r="V326" s="3">
        <f t="shared" si="56"/>
        <v>0</v>
      </c>
      <c r="X326" s="3" t="str">
        <f t="shared" si="57"/>
        <v/>
      </c>
      <c r="Y326" s="3" t="str">
        <f t="shared" si="58"/>
        <v/>
      </c>
      <c r="Z326" s="3" t="str">
        <f t="shared" si="59"/>
        <v/>
      </c>
      <c r="AA326" s="3" t="str">
        <f t="shared" si="69"/>
        <v/>
      </c>
      <c r="AB326" s="3" t="str">
        <f t="shared" si="60"/>
        <v/>
      </c>
      <c r="AC326" s="3" t="str">
        <f t="shared" si="61"/>
        <v/>
      </c>
      <c r="AD326" s="3" t="str">
        <f t="shared" si="62"/>
        <v/>
      </c>
      <c r="AE326" s="3" t="str">
        <f t="shared" si="63"/>
        <v/>
      </c>
      <c r="AF326" s="3" t="str">
        <f t="shared" si="64"/>
        <v/>
      </c>
      <c r="AG326" s="3" t="str">
        <f t="shared" si="65"/>
        <v/>
      </c>
      <c r="AH326" s="3" t="str">
        <f t="shared" si="66"/>
        <v/>
      </c>
      <c r="AI326" s="3" t="str">
        <f t="shared" si="67"/>
        <v/>
      </c>
      <c r="AJ326" s="3" t="str">
        <f t="shared" si="68"/>
        <v/>
      </c>
      <c r="AK326" s="3" t="str">
        <f>IF(V326=0,"",_xlfn.CONCAT(DADOS!$A$8,X326:AJ326,"
"))</f>
        <v/>
      </c>
    </row>
    <row r="327" spans="5:37" ht="15" customHeight="1" x14ac:dyDescent="0.25">
      <c r="E327" s="22"/>
      <c r="F327" s="22"/>
      <c r="G327" s="12"/>
      <c r="H327" s="22"/>
      <c r="I327" s="13"/>
      <c r="J327" s="14"/>
      <c r="K327" s="12"/>
      <c r="L327" s="15"/>
      <c r="M327" s="16"/>
      <c r="N327" s="15"/>
      <c r="O327" s="16"/>
      <c r="P327" s="17"/>
      <c r="Q327" s="15"/>
      <c r="R327" s="18"/>
      <c r="S327" s="20">
        <v>313</v>
      </c>
      <c r="V327" s="3">
        <f t="shared" si="56"/>
        <v>0</v>
      </c>
      <c r="X327" s="3" t="str">
        <f t="shared" si="57"/>
        <v/>
      </c>
      <c r="Y327" s="3" t="str">
        <f t="shared" si="58"/>
        <v/>
      </c>
      <c r="Z327" s="3" t="str">
        <f t="shared" si="59"/>
        <v/>
      </c>
      <c r="AA327" s="3" t="str">
        <f t="shared" si="69"/>
        <v/>
      </c>
      <c r="AB327" s="3" t="str">
        <f t="shared" si="60"/>
        <v/>
      </c>
      <c r="AC327" s="3" t="str">
        <f t="shared" si="61"/>
        <v/>
      </c>
      <c r="AD327" s="3" t="str">
        <f t="shared" si="62"/>
        <v/>
      </c>
      <c r="AE327" s="3" t="str">
        <f t="shared" si="63"/>
        <v/>
      </c>
      <c r="AF327" s="3" t="str">
        <f t="shared" si="64"/>
        <v/>
      </c>
      <c r="AG327" s="3" t="str">
        <f t="shared" si="65"/>
        <v/>
      </c>
      <c r="AH327" s="3" t="str">
        <f t="shared" si="66"/>
        <v/>
      </c>
      <c r="AI327" s="3" t="str">
        <f t="shared" si="67"/>
        <v/>
      </c>
      <c r="AJ327" s="3" t="str">
        <f t="shared" si="68"/>
        <v/>
      </c>
      <c r="AK327" s="3" t="str">
        <f>IF(V327=0,"",_xlfn.CONCAT(DADOS!$A$8,X327:AJ327,"
"))</f>
        <v/>
      </c>
    </row>
    <row r="328" spans="5:37" ht="15" customHeight="1" x14ac:dyDescent="0.25">
      <c r="E328" s="22"/>
      <c r="F328" s="22"/>
      <c r="G328" s="12"/>
      <c r="H328" s="22"/>
      <c r="I328" s="13"/>
      <c r="J328" s="14"/>
      <c r="K328" s="12"/>
      <c r="L328" s="15"/>
      <c r="M328" s="16"/>
      <c r="N328" s="15"/>
      <c r="O328" s="16"/>
      <c r="P328" s="17"/>
      <c r="Q328" s="15"/>
      <c r="R328" s="18"/>
      <c r="S328" s="20">
        <v>314</v>
      </c>
      <c r="V328" s="3">
        <f t="shared" si="56"/>
        <v>0</v>
      </c>
      <c r="X328" s="3" t="str">
        <f t="shared" si="57"/>
        <v/>
      </c>
      <c r="Y328" s="3" t="str">
        <f t="shared" si="58"/>
        <v/>
      </c>
      <c r="Z328" s="3" t="str">
        <f t="shared" si="59"/>
        <v/>
      </c>
      <c r="AA328" s="3" t="str">
        <f t="shared" si="69"/>
        <v/>
      </c>
      <c r="AB328" s="3" t="str">
        <f t="shared" si="60"/>
        <v/>
      </c>
      <c r="AC328" s="3" t="str">
        <f t="shared" si="61"/>
        <v/>
      </c>
      <c r="AD328" s="3" t="str">
        <f t="shared" si="62"/>
        <v/>
      </c>
      <c r="AE328" s="3" t="str">
        <f t="shared" si="63"/>
        <v/>
      </c>
      <c r="AF328" s="3" t="str">
        <f t="shared" si="64"/>
        <v/>
      </c>
      <c r="AG328" s="3" t="str">
        <f t="shared" si="65"/>
        <v/>
      </c>
      <c r="AH328" s="3" t="str">
        <f t="shared" si="66"/>
        <v/>
      </c>
      <c r="AI328" s="3" t="str">
        <f t="shared" si="67"/>
        <v/>
      </c>
      <c r="AJ328" s="3" t="str">
        <f t="shared" si="68"/>
        <v/>
      </c>
      <c r="AK328" s="3" t="str">
        <f>IF(V328=0,"",_xlfn.CONCAT(DADOS!$A$8,X328:AJ328,"
"))</f>
        <v/>
      </c>
    </row>
    <row r="329" spans="5:37" ht="15" customHeight="1" x14ac:dyDescent="0.25">
      <c r="E329" s="22"/>
      <c r="F329" s="22"/>
      <c r="G329" s="12"/>
      <c r="H329" s="22"/>
      <c r="I329" s="13"/>
      <c r="J329" s="14"/>
      <c r="K329" s="12"/>
      <c r="L329" s="15"/>
      <c r="M329" s="16"/>
      <c r="N329" s="15"/>
      <c r="O329" s="16"/>
      <c r="P329" s="17"/>
      <c r="Q329" s="15"/>
      <c r="R329" s="18"/>
      <c r="S329" s="20">
        <v>315</v>
      </c>
      <c r="V329" s="3">
        <f t="shared" si="56"/>
        <v>0</v>
      </c>
      <c r="X329" s="3" t="str">
        <f t="shared" si="57"/>
        <v/>
      </c>
      <c r="Y329" s="3" t="str">
        <f t="shared" si="58"/>
        <v/>
      </c>
      <c r="Z329" s="3" t="str">
        <f t="shared" si="59"/>
        <v/>
      </c>
      <c r="AA329" s="3" t="str">
        <f t="shared" si="69"/>
        <v/>
      </c>
      <c r="AB329" s="3" t="str">
        <f t="shared" si="60"/>
        <v/>
      </c>
      <c r="AC329" s="3" t="str">
        <f t="shared" si="61"/>
        <v/>
      </c>
      <c r="AD329" s="3" t="str">
        <f t="shared" si="62"/>
        <v/>
      </c>
      <c r="AE329" s="3" t="str">
        <f t="shared" si="63"/>
        <v/>
      </c>
      <c r="AF329" s="3" t="str">
        <f t="shared" si="64"/>
        <v/>
      </c>
      <c r="AG329" s="3" t="str">
        <f t="shared" si="65"/>
        <v/>
      </c>
      <c r="AH329" s="3" t="str">
        <f t="shared" si="66"/>
        <v/>
      </c>
      <c r="AI329" s="3" t="str">
        <f t="shared" si="67"/>
        <v/>
      </c>
      <c r="AJ329" s="3" t="str">
        <f t="shared" si="68"/>
        <v/>
      </c>
      <c r="AK329" s="3" t="str">
        <f>IF(V329=0,"",_xlfn.CONCAT(DADOS!$A$8,X329:AJ329,"
"))</f>
        <v/>
      </c>
    </row>
    <row r="330" spans="5:37" ht="15" customHeight="1" x14ac:dyDescent="0.25">
      <c r="E330" s="22"/>
      <c r="F330" s="22"/>
      <c r="G330" s="12"/>
      <c r="H330" s="22"/>
      <c r="I330" s="13"/>
      <c r="J330" s="14"/>
      <c r="K330" s="12"/>
      <c r="L330" s="15"/>
      <c r="M330" s="16"/>
      <c r="N330" s="15"/>
      <c r="O330" s="16"/>
      <c r="P330" s="17"/>
      <c r="Q330" s="15"/>
      <c r="R330" s="18"/>
      <c r="S330" s="20">
        <v>316</v>
      </c>
      <c r="V330" s="3">
        <f t="shared" si="56"/>
        <v>0</v>
      </c>
      <c r="X330" s="3" t="str">
        <f t="shared" si="57"/>
        <v/>
      </c>
      <c r="Y330" s="3" t="str">
        <f t="shared" si="58"/>
        <v/>
      </c>
      <c r="Z330" s="3" t="str">
        <f t="shared" si="59"/>
        <v/>
      </c>
      <c r="AA330" s="3" t="str">
        <f t="shared" si="69"/>
        <v/>
      </c>
      <c r="AB330" s="3" t="str">
        <f t="shared" si="60"/>
        <v/>
      </c>
      <c r="AC330" s="3" t="str">
        <f t="shared" si="61"/>
        <v/>
      </c>
      <c r="AD330" s="3" t="str">
        <f t="shared" si="62"/>
        <v/>
      </c>
      <c r="AE330" s="3" t="str">
        <f t="shared" si="63"/>
        <v/>
      </c>
      <c r="AF330" s="3" t="str">
        <f t="shared" si="64"/>
        <v/>
      </c>
      <c r="AG330" s="3" t="str">
        <f t="shared" si="65"/>
        <v/>
      </c>
      <c r="AH330" s="3" t="str">
        <f t="shared" si="66"/>
        <v/>
      </c>
      <c r="AI330" s="3" t="str">
        <f t="shared" si="67"/>
        <v/>
      </c>
      <c r="AJ330" s="3" t="str">
        <f t="shared" si="68"/>
        <v/>
      </c>
      <c r="AK330" s="3" t="str">
        <f>IF(V330=0,"",_xlfn.CONCAT(DADOS!$A$8,X330:AJ330,"
"))</f>
        <v/>
      </c>
    </row>
    <row r="331" spans="5:37" ht="15" customHeight="1" x14ac:dyDescent="0.25">
      <c r="E331" s="22"/>
      <c r="F331" s="22"/>
      <c r="G331" s="12"/>
      <c r="H331" s="22"/>
      <c r="I331" s="13"/>
      <c r="J331" s="14"/>
      <c r="K331" s="12"/>
      <c r="L331" s="15"/>
      <c r="M331" s="16"/>
      <c r="N331" s="15"/>
      <c r="O331" s="16"/>
      <c r="P331" s="17"/>
      <c r="Q331" s="15"/>
      <c r="R331" s="18"/>
      <c r="S331" s="20">
        <v>317</v>
      </c>
      <c r="V331" s="3">
        <f t="shared" si="56"/>
        <v>0</v>
      </c>
      <c r="X331" s="3" t="str">
        <f t="shared" si="57"/>
        <v/>
      </c>
      <c r="Y331" s="3" t="str">
        <f t="shared" si="58"/>
        <v/>
      </c>
      <c r="Z331" s="3" t="str">
        <f t="shared" si="59"/>
        <v/>
      </c>
      <c r="AA331" s="3" t="str">
        <f t="shared" si="69"/>
        <v/>
      </c>
      <c r="AB331" s="3" t="str">
        <f t="shared" si="60"/>
        <v/>
      </c>
      <c r="AC331" s="3" t="str">
        <f t="shared" si="61"/>
        <v/>
      </c>
      <c r="AD331" s="3" t="str">
        <f t="shared" si="62"/>
        <v/>
      </c>
      <c r="AE331" s="3" t="str">
        <f t="shared" si="63"/>
        <v/>
      </c>
      <c r="AF331" s="3" t="str">
        <f t="shared" si="64"/>
        <v/>
      </c>
      <c r="AG331" s="3" t="str">
        <f t="shared" si="65"/>
        <v/>
      </c>
      <c r="AH331" s="3" t="str">
        <f t="shared" si="66"/>
        <v/>
      </c>
      <c r="AI331" s="3" t="str">
        <f t="shared" si="67"/>
        <v/>
      </c>
      <c r="AJ331" s="3" t="str">
        <f t="shared" si="68"/>
        <v/>
      </c>
      <c r="AK331" s="3" t="str">
        <f>IF(V331=0,"",_xlfn.CONCAT(DADOS!$A$8,X331:AJ331,"
"))</f>
        <v/>
      </c>
    </row>
    <row r="332" spans="5:37" ht="15" customHeight="1" x14ac:dyDescent="0.25">
      <c r="E332" s="22"/>
      <c r="F332" s="22"/>
      <c r="G332" s="12"/>
      <c r="H332" s="22"/>
      <c r="I332" s="13"/>
      <c r="J332" s="14"/>
      <c r="K332" s="12"/>
      <c r="L332" s="15"/>
      <c r="M332" s="16"/>
      <c r="N332" s="15"/>
      <c r="O332" s="16"/>
      <c r="P332" s="17"/>
      <c r="Q332" s="15"/>
      <c r="R332" s="18"/>
      <c r="S332" s="20">
        <v>318</v>
      </c>
      <c r="V332" s="3">
        <f t="shared" si="56"/>
        <v>0</v>
      </c>
      <c r="X332" s="3" t="str">
        <f t="shared" si="57"/>
        <v/>
      </c>
      <c r="Y332" s="3" t="str">
        <f t="shared" si="58"/>
        <v/>
      </c>
      <c r="Z332" s="3" t="str">
        <f t="shared" si="59"/>
        <v/>
      </c>
      <c r="AA332" s="3" t="str">
        <f t="shared" si="69"/>
        <v/>
      </c>
      <c r="AB332" s="3" t="str">
        <f t="shared" si="60"/>
        <v/>
      </c>
      <c r="AC332" s="3" t="str">
        <f t="shared" si="61"/>
        <v/>
      </c>
      <c r="AD332" s="3" t="str">
        <f t="shared" si="62"/>
        <v/>
      </c>
      <c r="AE332" s="3" t="str">
        <f t="shared" si="63"/>
        <v/>
      </c>
      <c r="AF332" s="3" t="str">
        <f t="shared" si="64"/>
        <v/>
      </c>
      <c r="AG332" s="3" t="str">
        <f t="shared" si="65"/>
        <v/>
      </c>
      <c r="AH332" s="3" t="str">
        <f t="shared" si="66"/>
        <v/>
      </c>
      <c r="AI332" s="3" t="str">
        <f t="shared" si="67"/>
        <v/>
      </c>
      <c r="AJ332" s="3" t="str">
        <f t="shared" si="68"/>
        <v/>
      </c>
      <c r="AK332" s="3" t="str">
        <f>IF(V332=0,"",_xlfn.CONCAT(DADOS!$A$8,X332:AJ332,"
"))</f>
        <v/>
      </c>
    </row>
    <row r="333" spans="5:37" ht="15" customHeight="1" x14ac:dyDescent="0.25">
      <c r="E333" s="22"/>
      <c r="F333" s="22"/>
      <c r="G333" s="12"/>
      <c r="H333" s="22"/>
      <c r="I333" s="13"/>
      <c r="J333" s="14"/>
      <c r="K333" s="12"/>
      <c r="L333" s="15"/>
      <c r="M333" s="16"/>
      <c r="N333" s="15"/>
      <c r="O333" s="16"/>
      <c r="P333" s="17"/>
      <c r="Q333" s="15"/>
      <c r="R333" s="18"/>
      <c r="S333" s="20">
        <v>319</v>
      </c>
      <c r="V333" s="3">
        <f t="shared" si="56"/>
        <v>0</v>
      </c>
      <c r="X333" s="3" t="str">
        <f t="shared" si="57"/>
        <v/>
      </c>
      <c r="Y333" s="3" t="str">
        <f t="shared" si="58"/>
        <v/>
      </c>
      <c r="Z333" s="3" t="str">
        <f t="shared" si="59"/>
        <v/>
      </c>
      <c r="AA333" s="3" t="str">
        <f t="shared" si="69"/>
        <v/>
      </c>
      <c r="AB333" s="3" t="str">
        <f t="shared" si="60"/>
        <v/>
      </c>
      <c r="AC333" s="3" t="str">
        <f t="shared" si="61"/>
        <v/>
      </c>
      <c r="AD333" s="3" t="str">
        <f t="shared" si="62"/>
        <v/>
      </c>
      <c r="AE333" s="3" t="str">
        <f t="shared" si="63"/>
        <v/>
      </c>
      <c r="AF333" s="3" t="str">
        <f t="shared" si="64"/>
        <v/>
      </c>
      <c r="AG333" s="3" t="str">
        <f t="shared" si="65"/>
        <v/>
      </c>
      <c r="AH333" s="3" t="str">
        <f t="shared" si="66"/>
        <v/>
      </c>
      <c r="AI333" s="3" t="str">
        <f t="shared" si="67"/>
        <v/>
      </c>
      <c r="AJ333" s="3" t="str">
        <f t="shared" si="68"/>
        <v/>
      </c>
      <c r="AK333" s="3" t="str">
        <f>IF(V333=0,"",_xlfn.CONCAT(DADOS!$A$8,X333:AJ333,"
"))</f>
        <v/>
      </c>
    </row>
    <row r="334" spans="5:37" ht="15" customHeight="1" x14ac:dyDescent="0.25">
      <c r="E334" s="22"/>
      <c r="F334" s="22"/>
      <c r="G334" s="12"/>
      <c r="H334" s="22"/>
      <c r="I334" s="13"/>
      <c r="J334" s="14"/>
      <c r="K334" s="12"/>
      <c r="L334" s="15"/>
      <c r="M334" s="16"/>
      <c r="N334" s="15"/>
      <c r="O334" s="16"/>
      <c r="P334" s="17"/>
      <c r="Q334" s="15"/>
      <c r="R334" s="18"/>
      <c r="S334" s="20">
        <v>320</v>
      </c>
      <c r="V334" s="3">
        <f t="shared" si="56"/>
        <v>0</v>
      </c>
      <c r="X334" s="3" t="str">
        <f t="shared" si="57"/>
        <v/>
      </c>
      <c r="Y334" s="3" t="str">
        <f t="shared" si="58"/>
        <v/>
      </c>
      <c r="Z334" s="3" t="str">
        <f t="shared" si="59"/>
        <v/>
      </c>
      <c r="AA334" s="3" t="str">
        <f t="shared" si="69"/>
        <v/>
      </c>
      <c r="AB334" s="3" t="str">
        <f t="shared" si="60"/>
        <v/>
      </c>
      <c r="AC334" s="3" t="str">
        <f t="shared" si="61"/>
        <v/>
      </c>
      <c r="AD334" s="3" t="str">
        <f t="shared" si="62"/>
        <v/>
      </c>
      <c r="AE334" s="3" t="str">
        <f t="shared" si="63"/>
        <v/>
      </c>
      <c r="AF334" s="3" t="str">
        <f t="shared" si="64"/>
        <v/>
      </c>
      <c r="AG334" s="3" t="str">
        <f t="shared" si="65"/>
        <v/>
      </c>
      <c r="AH334" s="3" t="str">
        <f t="shared" si="66"/>
        <v/>
      </c>
      <c r="AI334" s="3" t="str">
        <f t="shared" si="67"/>
        <v/>
      </c>
      <c r="AJ334" s="3" t="str">
        <f t="shared" si="68"/>
        <v/>
      </c>
      <c r="AK334" s="3" t="str">
        <f>IF(V334=0,"",_xlfn.CONCAT(DADOS!$A$8,X334:AJ334,"
"))</f>
        <v/>
      </c>
    </row>
    <row r="335" spans="5:37" ht="15" customHeight="1" x14ac:dyDescent="0.25">
      <c r="E335" s="22"/>
      <c r="F335" s="22"/>
      <c r="G335" s="12"/>
      <c r="H335" s="22"/>
      <c r="I335" s="13"/>
      <c r="J335" s="14"/>
      <c r="K335" s="12"/>
      <c r="L335" s="15"/>
      <c r="M335" s="16"/>
      <c r="N335" s="15"/>
      <c r="O335" s="16"/>
      <c r="P335" s="17"/>
      <c r="Q335" s="15"/>
      <c r="R335" s="18"/>
      <c r="S335" s="20">
        <v>321</v>
      </c>
      <c r="V335" s="3">
        <f t="shared" ref="V335:V398" si="70">IF(E335="",0,1)</f>
        <v>0</v>
      </c>
      <c r="X335" s="3" t="str">
        <f t="shared" ref="X335:X398" si="71">_xlfn.CONCAT(E335,IF(LEN(E335)=1,"  ",IF(LEN(E335)=2," ","")))</f>
        <v/>
      </c>
      <c r="Y335" s="3" t="str">
        <f t="shared" ref="Y335:Y398" si="72">_xlfn.CONCAT(F335,IF(LEN(F335)=1,"  ",IF(LEN(F335)=2," ","")))</f>
        <v/>
      </c>
      <c r="Z335" s="3" t="str">
        <f t="shared" ref="Z335:Z398" si="73">IF(V335=0,"",G335)</f>
        <v/>
      </c>
      <c r="AA335" s="3" t="str">
        <f t="shared" si="69"/>
        <v/>
      </c>
      <c r="AB335" s="3" t="str">
        <f t="shared" ref="AB335:AB398" si="74">IF(V335=0,"",IF(LEN(I335)=1,_xlfn.CONCAT(0,I335),I335))</f>
        <v/>
      </c>
      <c r="AC335" s="3" t="str">
        <f t="shared" ref="AC335:AC398" si="75">IF(I335=20,"",(IF(I335=8,IF(LEN(J335)=1,_xlfn.CONCAT("00",J335),IF(LEN(J335)=2,_xlfn.CONCAT("0",J335),J335)),"")))</f>
        <v/>
      </c>
      <c r="AD335" s="3" t="str">
        <f t="shared" ref="AD335:AD398" si="76">IF(I335=20,"",IF(I335=8,IF(LEN(K335)=1,_xlfn.CONCAT(0,K335),K335),""))</f>
        <v/>
      </c>
      <c r="AE335" s="3" t="str">
        <f t="shared" ref="AE335:AE398" si="77">IF(I335=8,L335,"")</f>
        <v/>
      </c>
      <c r="AF335" s="3" t="str">
        <f t="shared" ref="AF335:AF398" si="78">IF(V335=0,"",IF($I335=20,"",IF(LEN(M335)=1,_xlfn.CONCAT("00",M335),IF(LEN(M335)=2,_xlfn.CONCAT("0",M335),M335))))</f>
        <v/>
      </c>
      <c r="AG335" s="3" t="str">
        <f t="shared" ref="AG335:AG398" si="79">IF(V335=0,"",IF($I335=20,"",IF(LEN(N335)=1,_xlfn.CONCAT(0,N335),N335)))</f>
        <v/>
      </c>
      <c r="AH335" s="3" t="str">
        <f t="shared" ref="AH335:AH398" si="80">IF(V335=0,"",IF($I335=20,"",IF(LEN(P335)=3,_xlfn.CONCAT("00",P335),_xlfn.CONCAT("0",P335))))</f>
        <v/>
      </c>
      <c r="AI335" s="3" t="str">
        <f t="shared" ref="AI335:AI398" si="81">IF(V335=0,"",IF(I335=20,"",_xlfn.CONCAT(R335,"0",$AJ$14)))</f>
        <v/>
      </c>
      <c r="AJ335" s="3" t="str">
        <f t="shared" ref="AJ335:AJ398" si="82">IF(V335=0,"",IF(LEN(R335)&lt;4,$AJ$14,""))</f>
        <v/>
      </c>
      <c r="AK335" s="3" t="str">
        <f>IF(V335=0,"",_xlfn.CONCAT(DADOS!$A$8,X335:AJ335,"
"))</f>
        <v/>
      </c>
    </row>
    <row r="336" spans="5:37" ht="15" customHeight="1" x14ac:dyDescent="0.25">
      <c r="E336" s="22"/>
      <c r="F336" s="22"/>
      <c r="G336" s="12"/>
      <c r="H336" s="22"/>
      <c r="I336" s="13"/>
      <c r="J336" s="14"/>
      <c r="K336" s="12"/>
      <c r="L336" s="15"/>
      <c r="M336" s="16"/>
      <c r="N336" s="15"/>
      <c r="O336" s="16"/>
      <c r="P336" s="17"/>
      <c r="Q336" s="15"/>
      <c r="R336" s="18"/>
      <c r="S336" s="20">
        <v>322</v>
      </c>
      <c r="V336" s="3">
        <f t="shared" si="70"/>
        <v>0</v>
      </c>
      <c r="X336" s="3" t="str">
        <f t="shared" si="71"/>
        <v/>
      </c>
      <c r="Y336" s="3" t="str">
        <f t="shared" si="72"/>
        <v/>
      </c>
      <c r="Z336" s="3" t="str">
        <f t="shared" si="73"/>
        <v/>
      </c>
      <c r="AA336" s="3" t="str">
        <f t="shared" ref="AA336:AA399" si="83">IF(OR(G336=0,G336=4),"",H336)</f>
        <v/>
      </c>
      <c r="AB336" s="3" t="str">
        <f t="shared" si="74"/>
        <v/>
      </c>
      <c r="AC336" s="3" t="str">
        <f t="shared" si="75"/>
        <v/>
      </c>
      <c r="AD336" s="3" t="str">
        <f t="shared" si="76"/>
        <v/>
      </c>
      <c r="AE336" s="3" t="str">
        <f t="shared" si="77"/>
        <v/>
      </c>
      <c r="AF336" s="3" t="str">
        <f t="shared" si="78"/>
        <v/>
      </c>
      <c r="AG336" s="3" t="str">
        <f t="shared" si="79"/>
        <v/>
      </c>
      <c r="AH336" s="3" t="str">
        <f t="shared" si="80"/>
        <v/>
      </c>
      <c r="AI336" s="3" t="str">
        <f t="shared" si="81"/>
        <v/>
      </c>
      <c r="AJ336" s="3" t="str">
        <f t="shared" si="82"/>
        <v/>
      </c>
      <c r="AK336" s="3" t="str">
        <f>IF(V336=0,"",_xlfn.CONCAT(DADOS!$A$8,X336:AJ336,"
"))</f>
        <v/>
      </c>
    </row>
    <row r="337" spans="5:37" ht="15" customHeight="1" x14ac:dyDescent="0.25">
      <c r="E337" s="22"/>
      <c r="F337" s="22"/>
      <c r="G337" s="12"/>
      <c r="H337" s="22"/>
      <c r="I337" s="13"/>
      <c r="J337" s="14"/>
      <c r="K337" s="12"/>
      <c r="L337" s="15"/>
      <c r="M337" s="16"/>
      <c r="N337" s="15"/>
      <c r="O337" s="16"/>
      <c r="P337" s="17"/>
      <c r="Q337" s="15"/>
      <c r="R337" s="18"/>
      <c r="S337" s="20">
        <v>323</v>
      </c>
      <c r="V337" s="3">
        <f t="shared" si="70"/>
        <v>0</v>
      </c>
      <c r="X337" s="3" t="str">
        <f t="shared" si="71"/>
        <v/>
      </c>
      <c r="Y337" s="3" t="str">
        <f t="shared" si="72"/>
        <v/>
      </c>
      <c r="Z337" s="3" t="str">
        <f t="shared" si="73"/>
        <v/>
      </c>
      <c r="AA337" s="3" t="str">
        <f t="shared" si="83"/>
        <v/>
      </c>
      <c r="AB337" s="3" t="str">
        <f t="shared" si="74"/>
        <v/>
      </c>
      <c r="AC337" s="3" t="str">
        <f t="shared" si="75"/>
        <v/>
      </c>
      <c r="AD337" s="3" t="str">
        <f t="shared" si="76"/>
        <v/>
      </c>
      <c r="AE337" s="3" t="str">
        <f t="shared" si="77"/>
        <v/>
      </c>
      <c r="AF337" s="3" t="str">
        <f t="shared" si="78"/>
        <v/>
      </c>
      <c r="AG337" s="3" t="str">
        <f t="shared" si="79"/>
        <v/>
      </c>
      <c r="AH337" s="3" t="str">
        <f t="shared" si="80"/>
        <v/>
      </c>
      <c r="AI337" s="3" t="str">
        <f t="shared" si="81"/>
        <v/>
      </c>
      <c r="AJ337" s="3" t="str">
        <f t="shared" si="82"/>
        <v/>
      </c>
      <c r="AK337" s="3" t="str">
        <f>IF(V337=0,"",_xlfn.CONCAT(DADOS!$A$8,X337:AJ337,"
"))</f>
        <v/>
      </c>
    </row>
    <row r="338" spans="5:37" ht="15" customHeight="1" x14ac:dyDescent="0.25">
      <c r="E338" s="22"/>
      <c r="F338" s="22"/>
      <c r="G338" s="12"/>
      <c r="H338" s="22"/>
      <c r="I338" s="13"/>
      <c r="J338" s="14"/>
      <c r="K338" s="12"/>
      <c r="L338" s="15"/>
      <c r="M338" s="16"/>
      <c r="N338" s="15"/>
      <c r="O338" s="16"/>
      <c r="P338" s="17"/>
      <c r="Q338" s="15"/>
      <c r="R338" s="18"/>
      <c r="S338" s="20">
        <v>324</v>
      </c>
      <c r="V338" s="3">
        <f t="shared" si="70"/>
        <v>0</v>
      </c>
      <c r="X338" s="3" t="str">
        <f t="shared" si="71"/>
        <v/>
      </c>
      <c r="Y338" s="3" t="str">
        <f t="shared" si="72"/>
        <v/>
      </c>
      <c r="Z338" s="3" t="str">
        <f t="shared" si="73"/>
        <v/>
      </c>
      <c r="AA338" s="3" t="str">
        <f t="shared" si="83"/>
        <v/>
      </c>
      <c r="AB338" s="3" t="str">
        <f t="shared" si="74"/>
        <v/>
      </c>
      <c r="AC338" s="3" t="str">
        <f t="shared" si="75"/>
        <v/>
      </c>
      <c r="AD338" s="3" t="str">
        <f t="shared" si="76"/>
        <v/>
      </c>
      <c r="AE338" s="3" t="str">
        <f t="shared" si="77"/>
        <v/>
      </c>
      <c r="AF338" s="3" t="str">
        <f t="shared" si="78"/>
        <v/>
      </c>
      <c r="AG338" s="3" t="str">
        <f t="shared" si="79"/>
        <v/>
      </c>
      <c r="AH338" s="3" t="str">
        <f t="shared" si="80"/>
        <v/>
      </c>
      <c r="AI338" s="3" t="str">
        <f t="shared" si="81"/>
        <v/>
      </c>
      <c r="AJ338" s="3" t="str">
        <f t="shared" si="82"/>
        <v/>
      </c>
      <c r="AK338" s="3" t="str">
        <f>IF(V338=0,"",_xlfn.CONCAT(DADOS!$A$8,X338:AJ338,"
"))</f>
        <v/>
      </c>
    </row>
    <row r="339" spans="5:37" ht="15" customHeight="1" x14ac:dyDescent="0.25">
      <c r="E339" s="22"/>
      <c r="F339" s="22"/>
      <c r="G339" s="12"/>
      <c r="H339" s="22"/>
      <c r="I339" s="13"/>
      <c r="J339" s="14"/>
      <c r="K339" s="12"/>
      <c r="L339" s="15"/>
      <c r="M339" s="16"/>
      <c r="N339" s="15"/>
      <c r="O339" s="16"/>
      <c r="P339" s="17"/>
      <c r="Q339" s="15"/>
      <c r="R339" s="18"/>
      <c r="S339" s="20">
        <v>325</v>
      </c>
      <c r="V339" s="3">
        <f t="shared" si="70"/>
        <v>0</v>
      </c>
      <c r="X339" s="3" t="str">
        <f t="shared" si="71"/>
        <v/>
      </c>
      <c r="Y339" s="3" t="str">
        <f t="shared" si="72"/>
        <v/>
      </c>
      <c r="Z339" s="3" t="str">
        <f t="shared" si="73"/>
        <v/>
      </c>
      <c r="AA339" s="3" t="str">
        <f t="shared" si="83"/>
        <v/>
      </c>
      <c r="AB339" s="3" t="str">
        <f t="shared" si="74"/>
        <v/>
      </c>
      <c r="AC339" s="3" t="str">
        <f t="shared" si="75"/>
        <v/>
      </c>
      <c r="AD339" s="3" t="str">
        <f t="shared" si="76"/>
        <v/>
      </c>
      <c r="AE339" s="3" t="str">
        <f t="shared" si="77"/>
        <v/>
      </c>
      <c r="AF339" s="3" t="str">
        <f t="shared" si="78"/>
        <v/>
      </c>
      <c r="AG339" s="3" t="str">
        <f t="shared" si="79"/>
        <v/>
      </c>
      <c r="AH339" s="3" t="str">
        <f t="shared" si="80"/>
        <v/>
      </c>
      <c r="AI339" s="3" t="str">
        <f t="shared" si="81"/>
        <v/>
      </c>
      <c r="AJ339" s="3" t="str">
        <f t="shared" si="82"/>
        <v/>
      </c>
      <c r="AK339" s="3" t="str">
        <f>IF(V339=0,"",_xlfn.CONCAT(DADOS!$A$8,X339:AJ339,"
"))</f>
        <v/>
      </c>
    </row>
    <row r="340" spans="5:37" ht="15" customHeight="1" x14ac:dyDescent="0.25">
      <c r="E340" s="22"/>
      <c r="F340" s="22"/>
      <c r="G340" s="12"/>
      <c r="H340" s="22"/>
      <c r="I340" s="13"/>
      <c r="J340" s="14"/>
      <c r="K340" s="12"/>
      <c r="L340" s="15"/>
      <c r="M340" s="16"/>
      <c r="N340" s="15"/>
      <c r="O340" s="16"/>
      <c r="P340" s="17"/>
      <c r="Q340" s="15"/>
      <c r="R340" s="18"/>
      <c r="S340" s="20">
        <v>326</v>
      </c>
      <c r="V340" s="3">
        <f t="shared" si="70"/>
        <v>0</v>
      </c>
      <c r="X340" s="3" t="str">
        <f t="shared" si="71"/>
        <v/>
      </c>
      <c r="Y340" s="3" t="str">
        <f t="shared" si="72"/>
        <v/>
      </c>
      <c r="Z340" s="3" t="str">
        <f t="shared" si="73"/>
        <v/>
      </c>
      <c r="AA340" s="3" t="str">
        <f t="shared" si="83"/>
        <v/>
      </c>
      <c r="AB340" s="3" t="str">
        <f t="shared" si="74"/>
        <v/>
      </c>
      <c r="AC340" s="3" t="str">
        <f t="shared" si="75"/>
        <v/>
      </c>
      <c r="AD340" s="3" t="str">
        <f t="shared" si="76"/>
        <v/>
      </c>
      <c r="AE340" s="3" t="str">
        <f t="shared" si="77"/>
        <v/>
      </c>
      <c r="AF340" s="3" t="str">
        <f t="shared" si="78"/>
        <v/>
      </c>
      <c r="AG340" s="3" t="str">
        <f t="shared" si="79"/>
        <v/>
      </c>
      <c r="AH340" s="3" t="str">
        <f t="shared" si="80"/>
        <v/>
      </c>
      <c r="AI340" s="3" t="str">
        <f t="shared" si="81"/>
        <v/>
      </c>
      <c r="AJ340" s="3" t="str">
        <f t="shared" si="82"/>
        <v/>
      </c>
      <c r="AK340" s="3" t="str">
        <f>IF(V340=0,"",_xlfn.CONCAT(DADOS!$A$8,X340:AJ340,"
"))</f>
        <v/>
      </c>
    </row>
    <row r="341" spans="5:37" ht="15" customHeight="1" x14ac:dyDescent="0.25">
      <c r="E341" s="22"/>
      <c r="F341" s="22"/>
      <c r="G341" s="12"/>
      <c r="H341" s="22"/>
      <c r="I341" s="13"/>
      <c r="J341" s="14"/>
      <c r="K341" s="12"/>
      <c r="L341" s="15"/>
      <c r="M341" s="16"/>
      <c r="N341" s="15"/>
      <c r="O341" s="16"/>
      <c r="P341" s="17"/>
      <c r="Q341" s="15"/>
      <c r="R341" s="18"/>
      <c r="S341" s="20">
        <v>327</v>
      </c>
      <c r="V341" s="3">
        <f t="shared" si="70"/>
        <v>0</v>
      </c>
      <c r="X341" s="3" t="str">
        <f t="shared" si="71"/>
        <v/>
      </c>
      <c r="Y341" s="3" t="str">
        <f t="shared" si="72"/>
        <v/>
      </c>
      <c r="Z341" s="3" t="str">
        <f t="shared" si="73"/>
        <v/>
      </c>
      <c r="AA341" s="3" t="str">
        <f t="shared" si="83"/>
        <v/>
      </c>
      <c r="AB341" s="3" t="str">
        <f t="shared" si="74"/>
        <v/>
      </c>
      <c r="AC341" s="3" t="str">
        <f t="shared" si="75"/>
        <v/>
      </c>
      <c r="AD341" s="3" t="str">
        <f t="shared" si="76"/>
        <v/>
      </c>
      <c r="AE341" s="3" t="str">
        <f t="shared" si="77"/>
        <v/>
      </c>
      <c r="AF341" s="3" t="str">
        <f t="shared" si="78"/>
        <v/>
      </c>
      <c r="AG341" s="3" t="str">
        <f t="shared" si="79"/>
        <v/>
      </c>
      <c r="AH341" s="3" t="str">
        <f t="shared" si="80"/>
        <v/>
      </c>
      <c r="AI341" s="3" t="str">
        <f t="shared" si="81"/>
        <v/>
      </c>
      <c r="AJ341" s="3" t="str">
        <f t="shared" si="82"/>
        <v/>
      </c>
      <c r="AK341" s="3" t="str">
        <f>IF(V341=0,"",_xlfn.CONCAT(DADOS!$A$8,X341:AJ341,"
"))</f>
        <v/>
      </c>
    </row>
    <row r="342" spans="5:37" ht="15" customHeight="1" x14ac:dyDescent="0.25">
      <c r="E342" s="22"/>
      <c r="F342" s="22"/>
      <c r="G342" s="12"/>
      <c r="H342" s="22"/>
      <c r="I342" s="13"/>
      <c r="J342" s="14"/>
      <c r="K342" s="12"/>
      <c r="L342" s="15"/>
      <c r="M342" s="16"/>
      <c r="N342" s="15"/>
      <c r="O342" s="16"/>
      <c r="P342" s="17"/>
      <c r="Q342" s="15"/>
      <c r="R342" s="18"/>
      <c r="S342" s="20">
        <v>328</v>
      </c>
      <c r="V342" s="3">
        <f t="shared" si="70"/>
        <v>0</v>
      </c>
      <c r="X342" s="3" t="str">
        <f t="shared" si="71"/>
        <v/>
      </c>
      <c r="Y342" s="3" t="str">
        <f t="shared" si="72"/>
        <v/>
      </c>
      <c r="Z342" s="3" t="str">
        <f t="shared" si="73"/>
        <v/>
      </c>
      <c r="AA342" s="3" t="str">
        <f t="shared" si="83"/>
        <v/>
      </c>
      <c r="AB342" s="3" t="str">
        <f t="shared" si="74"/>
        <v/>
      </c>
      <c r="AC342" s="3" t="str">
        <f t="shared" si="75"/>
        <v/>
      </c>
      <c r="AD342" s="3" t="str">
        <f t="shared" si="76"/>
        <v/>
      </c>
      <c r="AE342" s="3" t="str">
        <f t="shared" si="77"/>
        <v/>
      </c>
      <c r="AF342" s="3" t="str">
        <f t="shared" si="78"/>
        <v/>
      </c>
      <c r="AG342" s="3" t="str">
        <f t="shared" si="79"/>
        <v/>
      </c>
      <c r="AH342" s="3" t="str">
        <f t="shared" si="80"/>
        <v/>
      </c>
      <c r="AI342" s="3" t="str">
        <f t="shared" si="81"/>
        <v/>
      </c>
      <c r="AJ342" s="3" t="str">
        <f t="shared" si="82"/>
        <v/>
      </c>
      <c r="AK342" s="3" t="str">
        <f>IF(V342=0,"",_xlfn.CONCAT(DADOS!$A$8,X342:AJ342,"
"))</f>
        <v/>
      </c>
    </row>
    <row r="343" spans="5:37" ht="15" customHeight="1" x14ac:dyDescent="0.25">
      <c r="E343" s="22"/>
      <c r="F343" s="22"/>
      <c r="G343" s="12"/>
      <c r="H343" s="22"/>
      <c r="I343" s="13"/>
      <c r="J343" s="14"/>
      <c r="K343" s="12"/>
      <c r="L343" s="15"/>
      <c r="M343" s="16"/>
      <c r="N343" s="15"/>
      <c r="O343" s="16"/>
      <c r="P343" s="17"/>
      <c r="Q343" s="15"/>
      <c r="R343" s="18"/>
      <c r="S343" s="20">
        <v>329</v>
      </c>
      <c r="V343" s="3">
        <f t="shared" si="70"/>
        <v>0</v>
      </c>
      <c r="X343" s="3" t="str">
        <f t="shared" si="71"/>
        <v/>
      </c>
      <c r="Y343" s="3" t="str">
        <f t="shared" si="72"/>
        <v/>
      </c>
      <c r="Z343" s="3" t="str">
        <f t="shared" si="73"/>
        <v/>
      </c>
      <c r="AA343" s="3" t="str">
        <f t="shared" si="83"/>
        <v/>
      </c>
      <c r="AB343" s="3" t="str">
        <f t="shared" si="74"/>
        <v/>
      </c>
      <c r="AC343" s="3" t="str">
        <f t="shared" si="75"/>
        <v/>
      </c>
      <c r="AD343" s="3" t="str">
        <f t="shared" si="76"/>
        <v/>
      </c>
      <c r="AE343" s="3" t="str">
        <f t="shared" si="77"/>
        <v/>
      </c>
      <c r="AF343" s="3" t="str">
        <f t="shared" si="78"/>
        <v/>
      </c>
      <c r="AG343" s="3" t="str">
        <f t="shared" si="79"/>
        <v/>
      </c>
      <c r="AH343" s="3" t="str">
        <f t="shared" si="80"/>
        <v/>
      </c>
      <c r="AI343" s="3" t="str">
        <f t="shared" si="81"/>
        <v/>
      </c>
      <c r="AJ343" s="3" t="str">
        <f t="shared" si="82"/>
        <v/>
      </c>
      <c r="AK343" s="3" t="str">
        <f>IF(V343=0,"",_xlfn.CONCAT(DADOS!$A$8,X343:AJ343,"
"))</f>
        <v/>
      </c>
    </row>
    <row r="344" spans="5:37" ht="15" customHeight="1" x14ac:dyDescent="0.25">
      <c r="E344" s="22"/>
      <c r="F344" s="22"/>
      <c r="G344" s="12"/>
      <c r="H344" s="22"/>
      <c r="I344" s="13"/>
      <c r="J344" s="14"/>
      <c r="K344" s="12"/>
      <c r="L344" s="15"/>
      <c r="M344" s="16"/>
      <c r="N344" s="15"/>
      <c r="O344" s="16"/>
      <c r="P344" s="17"/>
      <c r="Q344" s="15"/>
      <c r="R344" s="18"/>
      <c r="S344" s="20">
        <v>330</v>
      </c>
      <c r="V344" s="3">
        <f t="shared" si="70"/>
        <v>0</v>
      </c>
      <c r="X344" s="3" t="str">
        <f t="shared" si="71"/>
        <v/>
      </c>
      <c r="Y344" s="3" t="str">
        <f t="shared" si="72"/>
        <v/>
      </c>
      <c r="Z344" s="3" t="str">
        <f t="shared" si="73"/>
        <v/>
      </c>
      <c r="AA344" s="3" t="str">
        <f t="shared" si="83"/>
        <v/>
      </c>
      <c r="AB344" s="3" t="str">
        <f t="shared" si="74"/>
        <v/>
      </c>
      <c r="AC344" s="3" t="str">
        <f t="shared" si="75"/>
        <v/>
      </c>
      <c r="AD344" s="3" t="str">
        <f t="shared" si="76"/>
        <v/>
      </c>
      <c r="AE344" s="3" t="str">
        <f t="shared" si="77"/>
        <v/>
      </c>
      <c r="AF344" s="3" t="str">
        <f t="shared" si="78"/>
        <v/>
      </c>
      <c r="AG344" s="3" t="str">
        <f t="shared" si="79"/>
        <v/>
      </c>
      <c r="AH344" s="3" t="str">
        <f t="shared" si="80"/>
        <v/>
      </c>
      <c r="AI344" s="3" t="str">
        <f t="shared" si="81"/>
        <v/>
      </c>
      <c r="AJ344" s="3" t="str">
        <f t="shared" si="82"/>
        <v/>
      </c>
      <c r="AK344" s="3" t="str">
        <f>IF(V344=0,"",_xlfn.CONCAT(DADOS!$A$8,X344:AJ344,"
"))</f>
        <v/>
      </c>
    </row>
    <row r="345" spans="5:37" ht="15" customHeight="1" x14ac:dyDescent="0.25">
      <c r="E345" s="22"/>
      <c r="F345" s="22"/>
      <c r="G345" s="12"/>
      <c r="H345" s="22"/>
      <c r="I345" s="13"/>
      <c r="J345" s="14"/>
      <c r="K345" s="12"/>
      <c r="L345" s="15"/>
      <c r="M345" s="16"/>
      <c r="N345" s="15"/>
      <c r="O345" s="16"/>
      <c r="P345" s="17"/>
      <c r="Q345" s="15"/>
      <c r="R345" s="18"/>
      <c r="S345" s="20">
        <v>331</v>
      </c>
      <c r="V345" s="3">
        <f t="shared" si="70"/>
        <v>0</v>
      </c>
      <c r="X345" s="3" t="str">
        <f t="shared" si="71"/>
        <v/>
      </c>
      <c r="Y345" s="3" t="str">
        <f t="shared" si="72"/>
        <v/>
      </c>
      <c r="Z345" s="3" t="str">
        <f t="shared" si="73"/>
        <v/>
      </c>
      <c r="AA345" s="3" t="str">
        <f t="shared" si="83"/>
        <v/>
      </c>
      <c r="AB345" s="3" t="str">
        <f t="shared" si="74"/>
        <v/>
      </c>
      <c r="AC345" s="3" t="str">
        <f t="shared" si="75"/>
        <v/>
      </c>
      <c r="AD345" s="3" t="str">
        <f t="shared" si="76"/>
        <v/>
      </c>
      <c r="AE345" s="3" t="str">
        <f t="shared" si="77"/>
        <v/>
      </c>
      <c r="AF345" s="3" t="str">
        <f t="shared" si="78"/>
        <v/>
      </c>
      <c r="AG345" s="3" t="str">
        <f t="shared" si="79"/>
        <v/>
      </c>
      <c r="AH345" s="3" t="str">
        <f t="shared" si="80"/>
        <v/>
      </c>
      <c r="AI345" s="3" t="str">
        <f t="shared" si="81"/>
        <v/>
      </c>
      <c r="AJ345" s="3" t="str">
        <f t="shared" si="82"/>
        <v/>
      </c>
      <c r="AK345" s="3" t="str">
        <f>IF(V345=0,"",_xlfn.CONCAT(DADOS!$A$8,X345:AJ345,"
"))</f>
        <v/>
      </c>
    </row>
    <row r="346" spans="5:37" ht="15" customHeight="1" x14ac:dyDescent="0.25">
      <c r="E346" s="22"/>
      <c r="F346" s="22"/>
      <c r="G346" s="12"/>
      <c r="H346" s="22"/>
      <c r="I346" s="13"/>
      <c r="J346" s="14"/>
      <c r="K346" s="12"/>
      <c r="L346" s="15"/>
      <c r="M346" s="16"/>
      <c r="N346" s="15"/>
      <c r="O346" s="16"/>
      <c r="P346" s="17"/>
      <c r="Q346" s="15"/>
      <c r="R346" s="18"/>
      <c r="S346" s="20">
        <v>332</v>
      </c>
      <c r="V346" s="3">
        <f t="shared" si="70"/>
        <v>0</v>
      </c>
      <c r="X346" s="3" t="str">
        <f t="shared" si="71"/>
        <v/>
      </c>
      <c r="Y346" s="3" t="str">
        <f t="shared" si="72"/>
        <v/>
      </c>
      <c r="Z346" s="3" t="str">
        <f t="shared" si="73"/>
        <v/>
      </c>
      <c r="AA346" s="3" t="str">
        <f t="shared" si="83"/>
        <v/>
      </c>
      <c r="AB346" s="3" t="str">
        <f t="shared" si="74"/>
        <v/>
      </c>
      <c r="AC346" s="3" t="str">
        <f t="shared" si="75"/>
        <v/>
      </c>
      <c r="AD346" s="3" t="str">
        <f t="shared" si="76"/>
        <v/>
      </c>
      <c r="AE346" s="3" t="str">
        <f t="shared" si="77"/>
        <v/>
      </c>
      <c r="AF346" s="3" t="str">
        <f t="shared" si="78"/>
        <v/>
      </c>
      <c r="AG346" s="3" t="str">
        <f t="shared" si="79"/>
        <v/>
      </c>
      <c r="AH346" s="3" t="str">
        <f t="shared" si="80"/>
        <v/>
      </c>
      <c r="AI346" s="3" t="str">
        <f t="shared" si="81"/>
        <v/>
      </c>
      <c r="AJ346" s="3" t="str">
        <f t="shared" si="82"/>
        <v/>
      </c>
      <c r="AK346" s="3" t="str">
        <f>IF(V346=0,"",_xlfn.CONCAT(DADOS!$A$8,X346:AJ346,"
"))</f>
        <v/>
      </c>
    </row>
    <row r="347" spans="5:37" ht="15" customHeight="1" x14ac:dyDescent="0.25">
      <c r="E347" s="22"/>
      <c r="F347" s="22"/>
      <c r="G347" s="12"/>
      <c r="H347" s="22"/>
      <c r="I347" s="13"/>
      <c r="J347" s="14"/>
      <c r="K347" s="12"/>
      <c r="L347" s="15"/>
      <c r="M347" s="16"/>
      <c r="N347" s="15"/>
      <c r="O347" s="16"/>
      <c r="P347" s="17"/>
      <c r="Q347" s="15"/>
      <c r="R347" s="18"/>
      <c r="S347" s="20">
        <v>333</v>
      </c>
      <c r="V347" s="3">
        <f t="shared" si="70"/>
        <v>0</v>
      </c>
      <c r="X347" s="3" t="str">
        <f t="shared" si="71"/>
        <v/>
      </c>
      <c r="Y347" s="3" t="str">
        <f t="shared" si="72"/>
        <v/>
      </c>
      <c r="Z347" s="3" t="str">
        <f t="shared" si="73"/>
        <v/>
      </c>
      <c r="AA347" s="3" t="str">
        <f t="shared" si="83"/>
        <v/>
      </c>
      <c r="AB347" s="3" t="str">
        <f t="shared" si="74"/>
        <v/>
      </c>
      <c r="AC347" s="3" t="str">
        <f t="shared" si="75"/>
        <v/>
      </c>
      <c r="AD347" s="3" t="str">
        <f t="shared" si="76"/>
        <v/>
      </c>
      <c r="AE347" s="3" t="str">
        <f t="shared" si="77"/>
        <v/>
      </c>
      <c r="AF347" s="3" t="str">
        <f t="shared" si="78"/>
        <v/>
      </c>
      <c r="AG347" s="3" t="str">
        <f t="shared" si="79"/>
        <v/>
      </c>
      <c r="AH347" s="3" t="str">
        <f t="shared" si="80"/>
        <v/>
      </c>
      <c r="AI347" s="3" t="str">
        <f t="shared" si="81"/>
        <v/>
      </c>
      <c r="AJ347" s="3" t="str">
        <f t="shared" si="82"/>
        <v/>
      </c>
      <c r="AK347" s="3" t="str">
        <f>IF(V347=0,"",_xlfn.CONCAT(DADOS!$A$8,X347:AJ347,"
"))</f>
        <v/>
      </c>
    </row>
    <row r="348" spans="5:37" ht="15" customHeight="1" x14ac:dyDescent="0.25">
      <c r="E348" s="22"/>
      <c r="F348" s="22"/>
      <c r="G348" s="12"/>
      <c r="H348" s="22"/>
      <c r="I348" s="13"/>
      <c r="J348" s="14"/>
      <c r="K348" s="12"/>
      <c r="L348" s="15"/>
      <c r="M348" s="16"/>
      <c r="N348" s="15"/>
      <c r="O348" s="16"/>
      <c r="P348" s="17"/>
      <c r="Q348" s="15"/>
      <c r="R348" s="18"/>
      <c r="S348" s="20">
        <v>334</v>
      </c>
      <c r="V348" s="3">
        <f t="shared" si="70"/>
        <v>0</v>
      </c>
      <c r="X348" s="3" t="str">
        <f t="shared" si="71"/>
        <v/>
      </c>
      <c r="Y348" s="3" t="str">
        <f t="shared" si="72"/>
        <v/>
      </c>
      <c r="Z348" s="3" t="str">
        <f t="shared" si="73"/>
        <v/>
      </c>
      <c r="AA348" s="3" t="str">
        <f t="shared" si="83"/>
        <v/>
      </c>
      <c r="AB348" s="3" t="str">
        <f t="shared" si="74"/>
        <v/>
      </c>
      <c r="AC348" s="3" t="str">
        <f t="shared" si="75"/>
        <v/>
      </c>
      <c r="AD348" s="3" t="str">
        <f t="shared" si="76"/>
        <v/>
      </c>
      <c r="AE348" s="3" t="str">
        <f t="shared" si="77"/>
        <v/>
      </c>
      <c r="AF348" s="3" t="str">
        <f t="shared" si="78"/>
        <v/>
      </c>
      <c r="AG348" s="3" t="str">
        <f t="shared" si="79"/>
        <v/>
      </c>
      <c r="AH348" s="3" t="str">
        <f t="shared" si="80"/>
        <v/>
      </c>
      <c r="AI348" s="3" t="str">
        <f t="shared" si="81"/>
        <v/>
      </c>
      <c r="AJ348" s="3" t="str">
        <f t="shared" si="82"/>
        <v/>
      </c>
      <c r="AK348" s="3" t="str">
        <f>IF(V348=0,"",_xlfn.CONCAT(DADOS!$A$8,X348:AJ348,"
"))</f>
        <v/>
      </c>
    </row>
    <row r="349" spans="5:37" ht="15" customHeight="1" x14ac:dyDescent="0.25">
      <c r="E349" s="22"/>
      <c r="F349" s="22"/>
      <c r="G349" s="12"/>
      <c r="H349" s="22"/>
      <c r="I349" s="13"/>
      <c r="J349" s="14"/>
      <c r="K349" s="12"/>
      <c r="L349" s="15"/>
      <c r="M349" s="16"/>
      <c r="N349" s="15"/>
      <c r="O349" s="16"/>
      <c r="P349" s="17"/>
      <c r="Q349" s="15"/>
      <c r="R349" s="18"/>
      <c r="S349" s="20">
        <v>335</v>
      </c>
      <c r="V349" s="3">
        <f t="shared" si="70"/>
        <v>0</v>
      </c>
      <c r="X349" s="3" t="str">
        <f t="shared" si="71"/>
        <v/>
      </c>
      <c r="Y349" s="3" t="str">
        <f t="shared" si="72"/>
        <v/>
      </c>
      <c r="Z349" s="3" t="str">
        <f t="shared" si="73"/>
        <v/>
      </c>
      <c r="AA349" s="3" t="str">
        <f t="shared" si="83"/>
        <v/>
      </c>
      <c r="AB349" s="3" t="str">
        <f t="shared" si="74"/>
        <v/>
      </c>
      <c r="AC349" s="3" t="str">
        <f t="shared" si="75"/>
        <v/>
      </c>
      <c r="AD349" s="3" t="str">
        <f t="shared" si="76"/>
        <v/>
      </c>
      <c r="AE349" s="3" t="str">
        <f t="shared" si="77"/>
        <v/>
      </c>
      <c r="AF349" s="3" t="str">
        <f t="shared" si="78"/>
        <v/>
      </c>
      <c r="AG349" s="3" t="str">
        <f t="shared" si="79"/>
        <v/>
      </c>
      <c r="AH349" s="3" t="str">
        <f t="shared" si="80"/>
        <v/>
      </c>
      <c r="AI349" s="3" t="str">
        <f t="shared" si="81"/>
        <v/>
      </c>
      <c r="AJ349" s="3" t="str">
        <f t="shared" si="82"/>
        <v/>
      </c>
      <c r="AK349" s="3" t="str">
        <f>IF(V349=0,"",_xlfn.CONCAT(DADOS!$A$8,X349:AJ349,"
"))</f>
        <v/>
      </c>
    </row>
    <row r="350" spans="5:37" ht="15" customHeight="1" x14ac:dyDescent="0.25">
      <c r="E350" s="22"/>
      <c r="F350" s="22"/>
      <c r="G350" s="12"/>
      <c r="H350" s="22"/>
      <c r="I350" s="13"/>
      <c r="J350" s="14"/>
      <c r="K350" s="12"/>
      <c r="L350" s="15"/>
      <c r="M350" s="16"/>
      <c r="N350" s="15"/>
      <c r="O350" s="16"/>
      <c r="P350" s="17"/>
      <c r="Q350" s="15"/>
      <c r="R350" s="18"/>
      <c r="S350" s="20">
        <v>336</v>
      </c>
      <c r="V350" s="3">
        <f t="shared" si="70"/>
        <v>0</v>
      </c>
      <c r="X350" s="3" t="str">
        <f t="shared" si="71"/>
        <v/>
      </c>
      <c r="Y350" s="3" t="str">
        <f t="shared" si="72"/>
        <v/>
      </c>
      <c r="Z350" s="3" t="str">
        <f t="shared" si="73"/>
        <v/>
      </c>
      <c r="AA350" s="3" t="str">
        <f t="shared" si="83"/>
        <v/>
      </c>
      <c r="AB350" s="3" t="str">
        <f t="shared" si="74"/>
        <v/>
      </c>
      <c r="AC350" s="3" t="str">
        <f t="shared" si="75"/>
        <v/>
      </c>
      <c r="AD350" s="3" t="str">
        <f t="shared" si="76"/>
        <v/>
      </c>
      <c r="AE350" s="3" t="str">
        <f t="shared" si="77"/>
        <v/>
      </c>
      <c r="AF350" s="3" t="str">
        <f t="shared" si="78"/>
        <v/>
      </c>
      <c r="AG350" s="3" t="str">
        <f t="shared" si="79"/>
        <v/>
      </c>
      <c r="AH350" s="3" t="str">
        <f t="shared" si="80"/>
        <v/>
      </c>
      <c r="AI350" s="3" t="str">
        <f t="shared" si="81"/>
        <v/>
      </c>
      <c r="AJ350" s="3" t="str">
        <f t="shared" si="82"/>
        <v/>
      </c>
      <c r="AK350" s="3" t="str">
        <f>IF(V350=0,"",_xlfn.CONCAT(DADOS!$A$8,X350:AJ350,"
"))</f>
        <v/>
      </c>
    </row>
    <row r="351" spans="5:37" ht="15" customHeight="1" x14ac:dyDescent="0.25">
      <c r="E351" s="22"/>
      <c r="F351" s="22"/>
      <c r="G351" s="12"/>
      <c r="H351" s="22"/>
      <c r="I351" s="13"/>
      <c r="J351" s="14"/>
      <c r="K351" s="12"/>
      <c r="L351" s="15"/>
      <c r="M351" s="16"/>
      <c r="N351" s="15"/>
      <c r="O351" s="16"/>
      <c r="P351" s="17"/>
      <c r="Q351" s="15"/>
      <c r="R351" s="18"/>
      <c r="S351" s="20">
        <v>337</v>
      </c>
      <c r="V351" s="3">
        <f t="shared" si="70"/>
        <v>0</v>
      </c>
      <c r="X351" s="3" t="str">
        <f t="shared" si="71"/>
        <v/>
      </c>
      <c r="Y351" s="3" t="str">
        <f t="shared" si="72"/>
        <v/>
      </c>
      <c r="Z351" s="3" t="str">
        <f t="shared" si="73"/>
        <v/>
      </c>
      <c r="AA351" s="3" t="str">
        <f t="shared" si="83"/>
        <v/>
      </c>
      <c r="AB351" s="3" t="str">
        <f t="shared" si="74"/>
        <v/>
      </c>
      <c r="AC351" s="3" t="str">
        <f t="shared" si="75"/>
        <v/>
      </c>
      <c r="AD351" s="3" t="str">
        <f t="shared" si="76"/>
        <v/>
      </c>
      <c r="AE351" s="3" t="str">
        <f t="shared" si="77"/>
        <v/>
      </c>
      <c r="AF351" s="3" t="str">
        <f t="shared" si="78"/>
        <v/>
      </c>
      <c r="AG351" s="3" t="str">
        <f t="shared" si="79"/>
        <v/>
      </c>
      <c r="AH351" s="3" t="str">
        <f t="shared" si="80"/>
        <v/>
      </c>
      <c r="AI351" s="3" t="str">
        <f t="shared" si="81"/>
        <v/>
      </c>
      <c r="AJ351" s="3" t="str">
        <f t="shared" si="82"/>
        <v/>
      </c>
      <c r="AK351" s="3" t="str">
        <f>IF(V351=0,"",_xlfn.CONCAT(DADOS!$A$8,X351:AJ351,"
"))</f>
        <v/>
      </c>
    </row>
    <row r="352" spans="5:37" ht="15" customHeight="1" x14ac:dyDescent="0.25">
      <c r="E352" s="22"/>
      <c r="F352" s="22"/>
      <c r="G352" s="12"/>
      <c r="H352" s="22"/>
      <c r="I352" s="13"/>
      <c r="J352" s="14"/>
      <c r="K352" s="12"/>
      <c r="L352" s="15"/>
      <c r="M352" s="16"/>
      <c r="N352" s="15"/>
      <c r="O352" s="16"/>
      <c r="P352" s="17"/>
      <c r="Q352" s="15"/>
      <c r="R352" s="18"/>
      <c r="S352" s="20">
        <v>338</v>
      </c>
      <c r="V352" s="3">
        <f t="shared" si="70"/>
        <v>0</v>
      </c>
      <c r="X352" s="3" t="str">
        <f t="shared" si="71"/>
        <v/>
      </c>
      <c r="Y352" s="3" t="str">
        <f t="shared" si="72"/>
        <v/>
      </c>
      <c r="Z352" s="3" t="str">
        <f t="shared" si="73"/>
        <v/>
      </c>
      <c r="AA352" s="3" t="str">
        <f t="shared" si="83"/>
        <v/>
      </c>
      <c r="AB352" s="3" t="str">
        <f t="shared" si="74"/>
        <v/>
      </c>
      <c r="AC352" s="3" t="str">
        <f t="shared" si="75"/>
        <v/>
      </c>
      <c r="AD352" s="3" t="str">
        <f t="shared" si="76"/>
        <v/>
      </c>
      <c r="AE352" s="3" t="str">
        <f t="shared" si="77"/>
        <v/>
      </c>
      <c r="AF352" s="3" t="str">
        <f t="shared" si="78"/>
        <v/>
      </c>
      <c r="AG352" s="3" t="str">
        <f t="shared" si="79"/>
        <v/>
      </c>
      <c r="AH352" s="3" t="str">
        <f t="shared" si="80"/>
        <v/>
      </c>
      <c r="AI352" s="3" t="str">
        <f t="shared" si="81"/>
        <v/>
      </c>
      <c r="AJ352" s="3" t="str">
        <f t="shared" si="82"/>
        <v/>
      </c>
      <c r="AK352" s="3" t="str">
        <f>IF(V352=0,"",_xlfn.CONCAT(DADOS!$A$8,X352:AJ352,"
"))</f>
        <v/>
      </c>
    </row>
    <row r="353" spans="5:37" ht="15" customHeight="1" x14ac:dyDescent="0.25">
      <c r="E353" s="22"/>
      <c r="F353" s="22"/>
      <c r="G353" s="12"/>
      <c r="H353" s="22"/>
      <c r="I353" s="13"/>
      <c r="J353" s="14"/>
      <c r="K353" s="12"/>
      <c r="L353" s="15"/>
      <c r="M353" s="16"/>
      <c r="N353" s="15"/>
      <c r="O353" s="16"/>
      <c r="P353" s="17"/>
      <c r="Q353" s="15"/>
      <c r="R353" s="18"/>
      <c r="S353" s="20">
        <v>339</v>
      </c>
      <c r="V353" s="3">
        <f t="shared" si="70"/>
        <v>0</v>
      </c>
      <c r="X353" s="3" t="str">
        <f t="shared" si="71"/>
        <v/>
      </c>
      <c r="Y353" s="3" t="str">
        <f t="shared" si="72"/>
        <v/>
      </c>
      <c r="Z353" s="3" t="str">
        <f t="shared" si="73"/>
        <v/>
      </c>
      <c r="AA353" s="3" t="str">
        <f t="shared" si="83"/>
        <v/>
      </c>
      <c r="AB353" s="3" t="str">
        <f t="shared" si="74"/>
        <v/>
      </c>
      <c r="AC353" s="3" t="str">
        <f t="shared" si="75"/>
        <v/>
      </c>
      <c r="AD353" s="3" t="str">
        <f t="shared" si="76"/>
        <v/>
      </c>
      <c r="AE353" s="3" t="str">
        <f t="shared" si="77"/>
        <v/>
      </c>
      <c r="AF353" s="3" t="str">
        <f t="shared" si="78"/>
        <v/>
      </c>
      <c r="AG353" s="3" t="str">
        <f t="shared" si="79"/>
        <v/>
      </c>
      <c r="AH353" s="3" t="str">
        <f t="shared" si="80"/>
        <v/>
      </c>
      <c r="AI353" s="3" t="str">
        <f t="shared" si="81"/>
        <v/>
      </c>
      <c r="AJ353" s="3" t="str">
        <f t="shared" si="82"/>
        <v/>
      </c>
      <c r="AK353" s="3" t="str">
        <f>IF(V353=0,"",_xlfn.CONCAT(DADOS!$A$8,X353:AJ353,"
"))</f>
        <v/>
      </c>
    </row>
    <row r="354" spans="5:37" ht="15" customHeight="1" x14ac:dyDescent="0.25">
      <c r="E354" s="22"/>
      <c r="F354" s="22"/>
      <c r="G354" s="12"/>
      <c r="H354" s="22"/>
      <c r="I354" s="13"/>
      <c r="J354" s="14"/>
      <c r="K354" s="12"/>
      <c r="L354" s="15"/>
      <c r="M354" s="16"/>
      <c r="N354" s="15"/>
      <c r="O354" s="16"/>
      <c r="P354" s="17"/>
      <c r="Q354" s="15"/>
      <c r="R354" s="18"/>
      <c r="S354" s="20">
        <v>340</v>
      </c>
      <c r="V354" s="3">
        <f t="shared" si="70"/>
        <v>0</v>
      </c>
      <c r="X354" s="3" t="str">
        <f t="shared" si="71"/>
        <v/>
      </c>
      <c r="Y354" s="3" t="str">
        <f t="shared" si="72"/>
        <v/>
      </c>
      <c r="Z354" s="3" t="str">
        <f t="shared" si="73"/>
        <v/>
      </c>
      <c r="AA354" s="3" t="str">
        <f t="shared" si="83"/>
        <v/>
      </c>
      <c r="AB354" s="3" t="str">
        <f t="shared" si="74"/>
        <v/>
      </c>
      <c r="AC354" s="3" t="str">
        <f t="shared" si="75"/>
        <v/>
      </c>
      <c r="AD354" s="3" t="str">
        <f t="shared" si="76"/>
        <v/>
      </c>
      <c r="AE354" s="3" t="str">
        <f t="shared" si="77"/>
        <v/>
      </c>
      <c r="AF354" s="3" t="str">
        <f t="shared" si="78"/>
        <v/>
      </c>
      <c r="AG354" s="3" t="str">
        <f t="shared" si="79"/>
        <v/>
      </c>
      <c r="AH354" s="3" t="str">
        <f t="shared" si="80"/>
        <v/>
      </c>
      <c r="AI354" s="3" t="str">
        <f t="shared" si="81"/>
        <v/>
      </c>
      <c r="AJ354" s="3" t="str">
        <f t="shared" si="82"/>
        <v/>
      </c>
      <c r="AK354" s="3" t="str">
        <f>IF(V354=0,"",_xlfn.CONCAT(DADOS!$A$8,X354:AJ354,"
"))</f>
        <v/>
      </c>
    </row>
    <row r="355" spans="5:37" ht="15" customHeight="1" x14ac:dyDescent="0.25">
      <c r="E355" s="22"/>
      <c r="F355" s="22"/>
      <c r="G355" s="12"/>
      <c r="H355" s="22"/>
      <c r="I355" s="13"/>
      <c r="J355" s="14"/>
      <c r="K355" s="12"/>
      <c r="L355" s="15"/>
      <c r="M355" s="16"/>
      <c r="N355" s="15"/>
      <c r="O355" s="16"/>
      <c r="P355" s="17"/>
      <c r="Q355" s="15"/>
      <c r="R355" s="18"/>
      <c r="S355" s="20">
        <v>341</v>
      </c>
      <c r="V355" s="3">
        <f t="shared" si="70"/>
        <v>0</v>
      </c>
      <c r="X355" s="3" t="str">
        <f t="shared" si="71"/>
        <v/>
      </c>
      <c r="Y355" s="3" t="str">
        <f t="shared" si="72"/>
        <v/>
      </c>
      <c r="Z355" s="3" t="str">
        <f t="shared" si="73"/>
        <v/>
      </c>
      <c r="AA355" s="3" t="str">
        <f t="shared" si="83"/>
        <v/>
      </c>
      <c r="AB355" s="3" t="str">
        <f t="shared" si="74"/>
        <v/>
      </c>
      <c r="AC355" s="3" t="str">
        <f t="shared" si="75"/>
        <v/>
      </c>
      <c r="AD355" s="3" t="str">
        <f t="shared" si="76"/>
        <v/>
      </c>
      <c r="AE355" s="3" t="str">
        <f t="shared" si="77"/>
        <v/>
      </c>
      <c r="AF355" s="3" t="str">
        <f t="shared" si="78"/>
        <v/>
      </c>
      <c r="AG355" s="3" t="str">
        <f t="shared" si="79"/>
        <v/>
      </c>
      <c r="AH355" s="3" t="str">
        <f t="shared" si="80"/>
        <v/>
      </c>
      <c r="AI355" s="3" t="str">
        <f t="shared" si="81"/>
        <v/>
      </c>
      <c r="AJ355" s="3" t="str">
        <f t="shared" si="82"/>
        <v/>
      </c>
      <c r="AK355" s="3" t="str">
        <f>IF(V355=0,"",_xlfn.CONCAT(DADOS!$A$8,X355:AJ355,"
"))</f>
        <v/>
      </c>
    </row>
    <row r="356" spans="5:37" ht="15" customHeight="1" x14ac:dyDescent="0.25">
      <c r="E356" s="22"/>
      <c r="F356" s="22"/>
      <c r="G356" s="12"/>
      <c r="H356" s="22"/>
      <c r="I356" s="13"/>
      <c r="J356" s="14"/>
      <c r="K356" s="12"/>
      <c r="L356" s="15"/>
      <c r="M356" s="16"/>
      <c r="N356" s="15"/>
      <c r="O356" s="16"/>
      <c r="P356" s="17"/>
      <c r="Q356" s="15"/>
      <c r="R356" s="18"/>
      <c r="S356" s="20">
        <v>342</v>
      </c>
      <c r="V356" s="3">
        <f t="shared" si="70"/>
        <v>0</v>
      </c>
      <c r="X356" s="3" t="str">
        <f t="shared" si="71"/>
        <v/>
      </c>
      <c r="Y356" s="3" t="str">
        <f t="shared" si="72"/>
        <v/>
      </c>
      <c r="Z356" s="3" t="str">
        <f t="shared" si="73"/>
        <v/>
      </c>
      <c r="AA356" s="3" t="str">
        <f t="shared" si="83"/>
        <v/>
      </c>
      <c r="AB356" s="3" t="str">
        <f t="shared" si="74"/>
        <v/>
      </c>
      <c r="AC356" s="3" t="str">
        <f t="shared" si="75"/>
        <v/>
      </c>
      <c r="AD356" s="3" t="str">
        <f t="shared" si="76"/>
        <v/>
      </c>
      <c r="AE356" s="3" t="str">
        <f t="shared" si="77"/>
        <v/>
      </c>
      <c r="AF356" s="3" t="str">
        <f t="shared" si="78"/>
        <v/>
      </c>
      <c r="AG356" s="3" t="str">
        <f t="shared" si="79"/>
        <v/>
      </c>
      <c r="AH356" s="3" t="str">
        <f t="shared" si="80"/>
        <v/>
      </c>
      <c r="AI356" s="3" t="str">
        <f t="shared" si="81"/>
        <v/>
      </c>
      <c r="AJ356" s="3" t="str">
        <f t="shared" si="82"/>
        <v/>
      </c>
      <c r="AK356" s="3" t="str">
        <f>IF(V356=0,"",_xlfn.CONCAT(DADOS!$A$8,X356:AJ356,"
"))</f>
        <v/>
      </c>
    </row>
    <row r="357" spans="5:37" ht="15" customHeight="1" x14ac:dyDescent="0.25">
      <c r="E357" s="22"/>
      <c r="F357" s="22"/>
      <c r="G357" s="12"/>
      <c r="H357" s="22"/>
      <c r="I357" s="13"/>
      <c r="J357" s="14"/>
      <c r="K357" s="12"/>
      <c r="L357" s="15"/>
      <c r="M357" s="16"/>
      <c r="N357" s="15"/>
      <c r="O357" s="16"/>
      <c r="P357" s="17"/>
      <c r="Q357" s="15"/>
      <c r="R357" s="18"/>
      <c r="S357" s="20">
        <v>343</v>
      </c>
      <c r="V357" s="3">
        <f t="shared" si="70"/>
        <v>0</v>
      </c>
      <c r="X357" s="3" t="str">
        <f t="shared" si="71"/>
        <v/>
      </c>
      <c r="Y357" s="3" t="str">
        <f t="shared" si="72"/>
        <v/>
      </c>
      <c r="Z357" s="3" t="str">
        <f t="shared" si="73"/>
        <v/>
      </c>
      <c r="AA357" s="3" t="str">
        <f t="shared" si="83"/>
        <v/>
      </c>
      <c r="AB357" s="3" t="str">
        <f t="shared" si="74"/>
        <v/>
      </c>
      <c r="AC357" s="3" t="str">
        <f t="shared" si="75"/>
        <v/>
      </c>
      <c r="AD357" s="3" t="str">
        <f t="shared" si="76"/>
        <v/>
      </c>
      <c r="AE357" s="3" t="str">
        <f t="shared" si="77"/>
        <v/>
      </c>
      <c r="AF357" s="3" t="str">
        <f t="shared" si="78"/>
        <v/>
      </c>
      <c r="AG357" s="3" t="str">
        <f t="shared" si="79"/>
        <v/>
      </c>
      <c r="AH357" s="3" t="str">
        <f t="shared" si="80"/>
        <v/>
      </c>
      <c r="AI357" s="3" t="str">
        <f t="shared" si="81"/>
        <v/>
      </c>
      <c r="AJ357" s="3" t="str">
        <f t="shared" si="82"/>
        <v/>
      </c>
      <c r="AK357" s="3" t="str">
        <f>IF(V357=0,"",_xlfn.CONCAT(DADOS!$A$8,X357:AJ357,"
"))</f>
        <v/>
      </c>
    </row>
    <row r="358" spans="5:37" ht="15" customHeight="1" x14ac:dyDescent="0.25">
      <c r="E358" s="22"/>
      <c r="F358" s="22"/>
      <c r="G358" s="12"/>
      <c r="H358" s="22"/>
      <c r="I358" s="13"/>
      <c r="J358" s="14"/>
      <c r="K358" s="12"/>
      <c r="L358" s="15"/>
      <c r="M358" s="16"/>
      <c r="N358" s="15"/>
      <c r="O358" s="16"/>
      <c r="P358" s="17"/>
      <c r="Q358" s="15"/>
      <c r="R358" s="18"/>
      <c r="S358" s="20">
        <v>344</v>
      </c>
      <c r="V358" s="3">
        <f t="shared" si="70"/>
        <v>0</v>
      </c>
      <c r="X358" s="3" t="str">
        <f t="shared" si="71"/>
        <v/>
      </c>
      <c r="Y358" s="3" t="str">
        <f t="shared" si="72"/>
        <v/>
      </c>
      <c r="Z358" s="3" t="str">
        <f t="shared" si="73"/>
        <v/>
      </c>
      <c r="AA358" s="3" t="str">
        <f t="shared" si="83"/>
        <v/>
      </c>
      <c r="AB358" s="3" t="str">
        <f t="shared" si="74"/>
        <v/>
      </c>
      <c r="AC358" s="3" t="str">
        <f t="shared" si="75"/>
        <v/>
      </c>
      <c r="AD358" s="3" t="str">
        <f t="shared" si="76"/>
        <v/>
      </c>
      <c r="AE358" s="3" t="str">
        <f t="shared" si="77"/>
        <v/>
      </c>
      <c r="AF358" s="3" t="str">
        <f t="shared" si="78"/>
        <v/>
      </c>
      <c r="AG358" s="3" t="str">
        <f t="shared" si="79"/>
        <v/>
      </c>
      <c r="AH358" s="3" t="str">
        <f t="shared" si="80"/>
        <v/>
      </c>
      <c r="AI358" s="3" t="str">
        <f t="shared" si="81"/>
        <v/>
      </c>
      <c r="AJ358" s="3" t="str">
        <f t="shared" si="82"/>
        <v/>
      </c>
      <c r="AK358" s="3" t="str">
        <f>IF(V358=0,"",_xlfn.CONCAT(DADOS!$A$8,X358:AJ358,"
"))</f>
        <v/>
      </c>
    </row>
    <row r="359" spans="5:37" ht="15" customHeight="1" x14ac:dyDescent="0.25">
      <c r="E359" s="22"/>
      <c r="F359" s="22"/>
      <c r="G359" s="12"/>
      <c r="H359" s="22"/>
      <c r="I359" s="13"/>
      <c r="J359" s="14"/>
      <c r="K359" s="12"/>
      <c r="L359" s="15"/>
      <c r="M359" s="16"/>
      <c r="N359" s="15"/>
      <c r="O359" s="16"/>
      <c r="P359" s="17"/>
      <c r="Q359" s="15"/>
      <c r="R359" s="18"/>
      <c r="S359" s="20">
        <v>345</v>
      </c>
      <c r="V359" s="3">
        <f t="shared" si="70"/>
        <v>0</v>
      </c>
      <c r="X359" s="3" t="str">
        <f t="shared" si="71"/>
        <v/>
      </c>
      <c r="Y359" s="3" t="str">
        <f t="shared" si="72"/>
        <v/>
      </c>
      <c r="Z359" s="3" t="str">
        <f t="shared" si="73"/>
        <v/>
      </c>
      <c r="AA359" s="3" t="str">
        <f t="shared" si="83"/>
        <v/>
      </c>
      <c r="AB359" s="3" t="str">
        <f t="shared" si="74"/>
        <v/>
      </c>
      <c r="AC359" s="3" t="str">
        <f t="shared" si="75"/>
        <v/>
      </c>
      <c r="AD359" s="3" t="str">
        <f t="shared" si="76"/>
        <v/>
      </c>
      <c r="AE359" s="3" t="str">
        <f t="shared" si="77"/>
        <v/>
      </c>
      <c r="AF359" s="3" t="str">
        <f t="shared" si="78"/>
        <v/>
      </c>
      <c r="AG359" s="3" t="str">
        <f t="shared" si="79"/>
        <v/>
      </c>
      <c r="AH359" s="3" t="str">
        <f t="shared" si="80"/>
        <v/>
      </c>
      <c r="AI359" s="3" t="str">
        <f t="shared" si="81"/>
        <v/>
      </c>
      <c r="AJ359" s="3" t="str">
        <f t="shared" si="82"/>
        <v/>
      </c>
      <c r="AK359" s="3" t="str">
        <f>IF(V359=0,"",_xlfn.CONCAT(DADOS!$A$8,X359:AJ359,"
"))</f>
        <v/>
      </c>
    </row>
    <row r="360" spans="5:37" ht="15" customHeight="1" x14ac:dyDescent="0.25">
      <c r="E360" s="22"/>
      <c r="F360" s="22"/>
      <c r="G360" s="12"/>
      <c r="H360" s="22"/>
      <c r="I360" s="13"/>
      <c r="J360" s="14"/>
      <c r="K360" s="12"/>
      <c r="L360" s="15"/>
      <c r="M360" s="16"/>
      <c r="N360" s="15"/>
      <c r="O360" s="16"/>
      <c r="P360" s="17"/>
      <c r="Q360" s="15"/>
      <c r="R360" s="18"/>
      <c r="S360" s="20">
        <v>346</v>
      </c>
      <c r="V360" s="3">
        <f t="shared" si="70"/>
        <v>0</v>
      </c>
      <c r="X360" s="3" t="str">
        <f t="shared" si="71"/>
        <v/>
      </c>
      <c r="Y360" s="3" t="str">
        <f t="shared" si="72"/>
        <v/>
      </c>
      <c r="Z360" s="3" t="str">
        <f t="shared" si="73"/>
        <v/>
      </c>
      <c r="AA360" s="3" t="str">
        <f t="shared" si="83"/>
        <v/>
      </c>
      <c r="AB360" s="3" t="str">
        <f t="shared" si="74"/>
        <v/>
      </c>
      <c r="AC360" s="3" t="str">
        <f t="shared" si="75"/>
        <v/>
      </c>
      <c r="AD360" s="3" t="str">
        <f t="shared" si="76"/>
        <v/>
      </c>
      <c r="AE360" s="3" t="str">
        <f t="shared" si="77"/>
        <v/>
      </c>
      <c r="AF360" s="3" t="str">
        <f t="shared" si="78"/>
        <v/>
      </c>
      <c r="AG360" s="3" t="str">
        <f t="shared" si="79"/>
        <v/>
      </c>
      <c r="AH360" s="3" t="str">
        <f t="shared" si="80"/>
        <v/>
      </c>
      <c r="AI360" s="3" t="str">
        <f t="shared" si="81"/>
        <v/>
      </c>
      <c r="AJ360" s="3" t="str">
        <f t="shared" si="82"/>
        <v/>
      </c>
      <c r="AK360" s="3" t="str">
        <f>IF(V360=0,"",_xlfn.CONCAT(DADOS!$A$8,X360:AJ360,"
"))</f>
        <v/>
      </c>
    </row>
    <row r="361" spans="5:37" ht="15" customHeight="1" x14ac:dyDescent="0.25">
      <c r="E361" s="22"/>
      <c r="F361" s="22"/>
      <c r="G361" s="12"/>
      <c r="H361" s="22"/>
      <c r="I361" s="13"/>
      <c r="J361" s="14"/>
      <c r="K361" s="12"/>
      <c r="L361" s="15"/>
      <c r="M361" s="16"/>
      <c r="N361" s="15"/>
      <c r="O361" s="16"/>
      <c r="P361" s="17"/>
      <c r="Q361" s="15"/>
      <c r="R361" s="18"/>
      <c r="S361" s="20">
        <v>347</v>
      </c>
      <c r="V361" s="3">
        <f t="shared" si="70"/>
        <v>0</v>
      </c>
      <c r="X361" s="3" t="str">
        <f t="shared" si="71"/>
        <v/>
      </c>
      <c r="Y361" s="3" t="str">
        <f t="shared" si="72"/>
        <v/>
      </c>
      <c r="Z361" s="3" t="str">
        <f t="shared" si="73"/>
        <v/>
      </c>
      <c r="AA361" s="3" t="str">
        <f t="shared" si="83"/>
        <v/>
      </c>
      <c r="AB361" s="3" t="str">
        <f t="shared" si="74"/>
        <v/>
      </c>
      <c r="AC361" s="3" t="str">
        <f t="shared" si="75"/>
        <v/>
      </c>
      <c r="AD361" s="3" t="str">
        <f t="shared" si="76"/>
        <v/>
      </c>
      <c r="AE361" s="3" t="str">
        <f t="shared" si="77"/>
        <v/>
      </c>
      <c r="AF361" s="3" t="str">
        <f t="shared" si="78"/>
        <v/>
      </c>
      <c r="AG361" s="3" t="str">
        <f t="shared" si="79"/>
        <v/>
      </c>
      <c r="AH361" s="3" t="str">
        <f t="shared" si="80"/>
        <v/>
      </c>
      <c r="AI361" s="3" t="str">
        <f t="shared" si="81"/>
        <v/>
      </c>
      <c r="AJ361" s="3" t="str">
        <f t="shared" si="82"/>
        <v/>
      </c>
      <c r="AK361" s="3" t="str">
        <f>IF(V361=0,"",_xlfn.CONCAT(DADOS!$A$8,X361:AJ361,"
"))</f>
        <v/>
      </c>
    </row>
    <row r="362" spans="5:37" ht="15" customHeight="1" x14ac:dyDescent="0.25">
      <c r="E362" s="22"/>
      <c r="F362" s="22"/>
      <c r="G362" s="12"/>
      <c r="H362" s="22"/>
      <c r="I362" s="13"/>
      <c r="J362" s="14"/>
      <c r="K362" s="12"/>
      <c r="L362" s="15"/>
      <c r="M362" s="16"/>
      <c r="N362" s="15"/>
      <c r="O362" s="16"/>
      <c r="P362" s="17"/>
      <c r="Q362" s="15"/>
      <c r="R362" s="18"/>
      <c r="S362" s="20">
        <v>348</v>
      </c>
      <c r="V362" s="3">
        <f t="shared" si="70"/>
        <v>0</v>
      </c>
      <c r="X362" s="3" t="str">
        <f t="shared" si="71"/>
        <v/>
      </c>
      <c r="Y362" s="3" t="str">
        <f t="shared" si="72"/>
        <v/>
      </c>
      <c r="Z362" s="3" t="str">
        <f t="shared" si="73"/>
        <v/>
      </c>
      <c r="AA362" s="3" t="str">
        <f t="shared" si="83"/>
        <v/>
      </c>
      <c r="AB362" s="3" t="str">
        <f t="shared" si="74"/>
        <v/>
      </c>
      <c r="AC362" s="3" t="str">
        <f t="shared" si="75"/>
        <v/>
      </c>
      <c r="AD362" s="3" t="str">
        <f t="shared" si="76"/>
        <v/>
      </c>
      <c r="AE362" s="3" t="str">
        <f t="shared" si="77"/>
        <v/>
      </c>
      <c r="AF362" s="3" t="str">
        <f t="shared" si="78"/>
        <v/>
      </c>
      <c r="AG362" s="3" t="str">
        <f t="shared" si="79"/>
        <v/>
      </c>
      <c r="AH362" s="3" t="str">
        <f t="shared" si="80"/>
        <v/>
      </c>
      <c r="AI362" s="3" t="str">
        <f t="shared" si="81"/>
        <v/>
      </c>
      <c r="AJ362" s="3" t="str">
        <f t="shared" si="82"/>
        <v/>
      </c>
      <c r="AK362" s="3" t="str">
        <f>IF(V362=0,"",_xlfn.CONCAT(DADOS!$A$8,X362:AJ362,"
"))</f>
        <v/>
      </c>
    </row>
    <row r="363" spans="5:37" ht="15" customHeight="1" x14ac:dyDescent="0.25">
      <c r="E363" s="22"/>
      <c r="F363" s="22"/>
      <c r="G363" s="12"/>
      <c r="H363" s="22"/>
      <c r="I363" s="13"/>
      <c r="J363" s="14"/>
      <c r="K363" s="12"/>
      <c r="L363" s="15"/>
      <c r="M363" s="16"/>
      <c r="N363" s="15"/>
      <c r="O363" s="16"/>
      <c r="P363" s="17"/>
      <c r="Q363" s="15"/>
      <c r="R363" s="18"/>
      <c r="S363" s="20">
        <v>349</v>
      </c>
      <c r="V363" s="3">
        <f t="shared" si="70"/>
        <v>0</v>
      </c>
      <c r="X363" s="3" t="str">
        <f t="shared" si="71"/>
        <v/>
      </c>
      <c r="Y363" s="3" t="str">
        <f t="shared" si="72"/>
        <v/>
      </c>
      <c r="Z363" s="3" t="str">
        <f t="shared" si="73"/>
        <v/>
      </c>
      <c r="AA363" s="3" t="str">
        <f t="shared" si="83"/>
        <v/>
      </c>
      <c r="AB363" s="3" t="str">
        <f t="shared" si="74"/>
        <v/>
      </c>
      <c r="AC363" s="3" t="str">
        <f t="shared" si="75"/>
        <v/>
      </c>
      <c r="AD363" s="3" t="str">
        <f t="shared" si="76"/>
        <v/>
      </c>
      <c r="AE363" s="3" t="str">
        <f t="shared" si="77"/>
        <v/>
      </c>
      <c r="AF363" s="3" t="str">
        <f t="shared" si="78"/>
        <v/>
      </c>
      <c r="AG363" s="3" t="str">
        <f t="shared" si="79"/>
        <v/>
      </c>
      <c r="AH363" s="3" t="str">
        <f t="shared" si="80"/>
        <v/>
      </c>
      <c r="AI363" s="3" t="str">
        <f t="shared" si="81"/>
        <v/>
      </c>
      <c r="AJ363" s="3" t="str">
        <f t="shared" si="82"/>
        <v/>
      </c>
      <c r="AK363" s="3" t="str">
        <f>IF(V363=0,"",_xlfn.CONCAT(DADOS!$A$8,X363:AJ363,"
"))</f>
        <v/>
      </c>
    </row>
    <row r="364" spans="5:37" ht="15" customHeight="1" x14ac:dyDescent="0.25">
      <c r="E364" s="22"/>
      <c r="F364" s="22"/>
      <c r="G364" s="12"/>
      <c r="H364" s="22"/>
      <c r="I364" s="13"/>
      <c r="J364" s="14"/>
      <c r="K364" s="12"/>
      <c r="L364" s="15"/>
      <c r="M364" s="16"/>
      <c r="N364" s="15"/>
      <c r="O364" s="16"/>
      <c r="P364" s="17"/>
      <c r="Q364" s="15"/>
      <c r="R364" s="18"/>
      <c r="S364" s="20">
        <v>350</v>
      </c>
      <c r="V364" s="3">
        <f t="shared" si="70"/>
        <v>0</v>
      </c>
      <c r="X364" s="3" t="str">
        <f t="shared" si="71"/>
        <v/>
      </c>
      <c r="Y364" s="3" t="str">
        <f t="shared" si="72"/>
        <v/>
      </c>
      <c r="Z364" s="3" t="str">
        <f t="shared" si="73"/>
        <v/>
      </c>
      <c r="AA364" s="3" t="str">
        <f t="shared" si="83"/>
        <v/>
      </c>
      <c r="AB364" s="3" t="str">
        <f t="shared" si="74"/>
        <v/>
      </c>
      <c r="AC364" s="3" t="str">
        <f t="shared" si="75"/>
        <v/>
      </c>
      <c r="AD364" s="3" t="str">
        <f t="shared" si="76"/>
        <v/>
      </c>
      <c r="AE364" s="3" t="str">
        <f t="shared" si="77"/>
        <v/>
      </c>
      <c r="AF364" s="3" t="str">
        <f t="shared" si="78"/>
        <v/>
      </c>
      <c r="AG364" s="3" t="str">
        <f t="shared" si="79"/>
        <v/>
      </c>
      <c r="AH364" s="3" t="str">
        <f t="shared" si="80"/>
        <v/>
      </c>
      <c r="AI364" s="3" t="str">
        <f t="shared" si="81"/>
        <v/>
      </c>
      <c r="AJ364" s="3" t="str">
        <f t="shared" si="82"/>
        <v/>
      </c>
      <c r="AK364" s="3" t="str">
        <f>IF(V364=0,"",_xlfn.CONCAT(DADOS!$A$8,X364:AJ364,"
"))</f>
        <v/>
      </c>
    </row>
    <row r="365" spans="5:37" ht="15" customHeight="1" x14ac:dyDescent="0.25">
      <c r="E365" s="22"/>
      <c r="F365" s="22"/>
      <c r="G365" s="12"/>
      <c r="H365" s="22"/>
      <c r="I365" s="13"/>
      <c r="J365" s="14"/>
      <c r="K365" s="12"/>
      <c r="L365" s="15"/>
      <c r="M365" s="16"/>
      <c r="N365" s="15"/>
      <c r="O365" s="16"/>
      <c r="P365" s="17"/>
      <c r="Q365" s="15"/>
      <c r="R365" s="18"/>
      <c r="S365" s="20">
        <v>351</v>
      </c>
      <c r="V365" s="3">
        <f t="shared" si="70"/>
        <v>0</v>
      </c>
      <c r="X365" s="3" t="str">
        <f t="shared" si="71"/>
        <v/>
      </c>
      <c r="Y365" s="3" t="str">
        <f t="shared" si="72"/>
        <v/>
      </c>
      <c r="Z365" s="3" t="str">
        <f t="shared" si="73"/>
        <v/>
      </c>
      <c r="AA365" s="3" t="str">
        <f t="shared" si="83"/>
        <v/>
      </c>
      <c r="AB365" s="3" t="str">
        <f t="shared" si="74"/>
        <v/>
      </c>
      <c r="AC365" s="3" t="str">
        <f t="shared" si="75"/>
        <v/>
      </c>
      <c r="AD365" s="3" t="str">
        <f t="shared" si="76"/>
        <v/>
      </c>
      <c r="AE365" s="3" t="str">
        <f t="shared" si="77"/>
        <v/>
      </c>
      <c r="AF365" s="3" t="str">
        <f t="shared" si="78"/>
        <v/>
      </c>
      <c r="AG365" s="3" t="str">
        <f t="shared" si="79"/>
        <v/>
      </c>
      <c r="AH365" s="3" t="str">
        <f t="shared" si="80"/>
        <v/>
      </c>
      <c r="AI365" s="3" t="str">
        <f t="shared" si="81"/>
        <v/>
      </c>
      <c r="AJ365" s="3" t="str">
        <f t="shared" si="82"/>
        <v/>
      </c>
      <c r="AK365" s="3" t="str">
        <f>IF(V365=0,"",_xlfn.CONCAT(DADOS!$A$8,X365:AJ365,"
"))</f>
        <v/>
      </c>
    </row>
    <row r="366" spans="5:37" ht="15" customHeight="1" x14ac:dyDescent="0.25">
      <c r="E366" s="22"/>
      <c r="F366" s="22"/>
      <c r="G366" s="12"/>
      <c r="H366" s="22"/>
      <c r="I366" s="13"/>
      <c r="J366" s="14"/>
      <c r="K366" s="12"/>
      <c r="L366" s="15"/>
      <c r="M366" s="16"/>
      <c r="N366" s="15"/>
      <c r="O366" s="16"/>
      <c r="P366" s="17"/>
      <c r="Q366" s="15"/>
      <c r="R366" s="18"/>
      <c r="S366" s="20">
        <v>352</v>
      </c>
      <c r="V366" s="3">
        <f t="shared" si="70"/>
        <v>0</v>
      </c>
      <c r="X366" s="3" t="str">
        <f t="shared" si="71"/>
        <v/>
      </c>
      <c r="Y366" s="3" t="str">
        <f t="shared" si="72"/>
        <v/>
      </c>
      <c r="Z366" s="3" t="str">
        <f t="shared" si="73"/>
        <v/>
      </c>
      <c r="AA366" s="3" t="str">
        <f t="shared" si="83"/>
        <v/>
      </c>
      <c r="AB366" s="3" t="str">
        <f t="shared" si="74"/>
        <v/>
      </c>
      <c r="AC366" s="3" t="str">
        <f t="shared" si="75"/>
        <v/>
      </c>
      <c r="AD366" s="3" t="str">
        <f t="shared" si="76"/>
        <v/>
      </c>
      <c r="AE366" s="3" t="str">
        <f t="shared" si="77"/>
        <v/>
      </c>
      <c r="AF366" s="3" t="str">
        <f t="shared" si="78"/>
        <v/>
      </c>
      <c r="AG366" s="3" t="str">
        <f t="shared" si="79"/>
        <v/>
      </c>
      <c r="AH366" s="3" t="str">
        <f t="shared" si="80"/>
        <v/>
      </c>
      <c r="AI366" s="3" t="str">
        <f t="shared" si="81"/>
        <v/>
      </c>
      <c r="AJ366" s="3" t="str">
        <f t="shared" si="82"/>
        <v/>
      </c>
      <c r="AK366" s="3" t="str">
        <f>IF(V366=0,"",_xlfn.CONCAT(DADOS!$A$8,X366:AJ366,"
"))</f>
        <v/>
      </c>
    </row>
    <row r="367" spans="5:37" ht="15" customHeight="1" x14ac:dyDescent="0.25">
      <c r="E367" s="22"/>
      <c r="F367" s="22"/>
      <c r="G367" s="12"/>
      <c r="H367" s="22"/>
      <c r="I367" s="13"/>
      <c r="J367" s="14"/>
      <c r="K367" s="12"/>
      <c r="L367" s="15"/>
      <c r="M367" s="16"/>
      <c r="N367" s="15"/>
      <c r="O367" s="16"/>
      <c r="P367" s="17"/>
      <c r="Q367" s="15"/>
      <c r="R367" s="18"/>
      <c r="S367" s="20">
        <v>353</v>
      </c>
      <c r="V367" s="3">
        <f t="shared" si="70"/>
        <v>0</v>
      </c>
      <c r="X367" s="3" t="str">
        <f t="shared" si="71"/>
        <v/>
      </c>
      <c r="Y367" s="3" t="str">
        <f t="shared" si="72"/>
        <v/>
      </c>
      <c r="Z367" s="3" t="str">
        <f t="shared" si="73"/>
        <v/>
      </c>
      <c r="AA367" s="3" t="str">
        <f t="shared" si="83"/>
        <v/>
      </c>
      <c r="AB367" s="3" t="str">
        <f t="shared" si="74"/>
        <v/>
      </c>
      <c r="AC367" s="3" t="str">
        <f t="shared" si="75"/>
        <v/>
      </c>
      <c r="AD367" s="3" t="str">
        <f t="shared" si="76"/>
        <v/>
      </c>
      <c r="AE367" s="3" t="str">
        <f t="shared" si="77"/>
        <v/>
      </c>
      <c r="AF367" s="3" t="str">
        <f t="shared" si="78"/>
        <v/>
      </c>
      <c r="AG367" s="3" t="str">
        <f t="shared" si="79"/>
        <v/>
      </c>
      <c r="AH367" s="3" t="str">
        <f t="shared" si="80"/>
        <v/>
      </c>
      <c r="AI367" s="3" t="str">
        <f t="shared" si="81"/>
        <v/>
      </c>
      <c r="AJ367" s="3" t="str">
        <f t="shared" si="82"/>
        <v/>
      </c>
      <c r="AK367" s="3" t="str">
        <f>IF(V367=0,"",_xlfn.CONCAT(DADOS!$A$8,X367:AJ367,"
"))</f>
        <v/>
      </c>
    </row>
    <row r="368" spans="5:37" ht="15" customHeight="1" x14ac:dyDescent="0.25">
      <c r="E368" s="22"/>
      <c r="F368" s="22"/>
      <c r="G368" s="12"/>
      <c r="H368" s="22"/>
      <c r="I368" s="13"/>
      <c r="J368" s="14"/>
      <c r="K368" s="12"/>
      <c r="L368" s="15"/>
      <c r="M368" s="16"/>
      <c r="N368" s="15"/>
      <c r="O368" s="16"/>
      <c r="P368" s="17"/>
      <c r="Q368" s="15"/>
      <c r="R368" s="18"/>
      <c r="S368" s="20">
        <v>354</v>
      </c>
      <c r="V368" s="3">
        <f t="shared" si="70"/>
        <v>0</v>
      </c>
      <c r="X368" s="3" t="str">
        <f t="shared" si="71"/>
        <v/>
      </c>
      <c r="Y368" s="3" t="str">
        <f t="shared" si="72"/>
        <v/>
      </c>
      <c r="Z368" s="3" t="str">
        <f t="shared" si="73"/>
        <v/>
      </c>
      <c r="AA368" s="3" t="str">
        <f t="shared" si="83"/>
        <v/>
      </c>
      <c r="AB368" s="3" t="str">
        <f t="shared" si="74"/>
        <v/>
      </c>
      <c r="AC368" s="3" t="str">
        <f t="shared" si="75"/>
        <v/>
      </c>
      <c r="AD368" s="3" t="str">
        <f t="shared" si="76"/>
        <v/>
      </c>
      <c r="AE368" s="3" t="str">
        <f t="shared" si="77"/>
        <v/>
      </c>
      <c r="AF368" s="3" t="str">
        <f t="shared" si="78"/>
        <v/>
      </c>
      <c r="AG368" s="3" t="str">
        <f t="shared" si="79"/>
        <v/>
      </c>
      <c r="AH368" s="3" t="str">
        <f t="shared" si="80"/>
        <v/>
      </c>
      <c r="AI368" s="3" t="str">
        <f t="shared" si="81"/>
        <v/>
      </c>
      <c r="AJ368" s="3" t="str">
        <f t="shared" si="82"/>
        <v/>
      </c>
      <c r="AK368" s="3" t="str">
        <f>IF(V368=0,"",_xlfn.CONCAT(DADOS!$A$8,X368:AJ368,"
"))</f>
        <v/>
      </c>
    </row>
    <row r="369" spans="5:37" ht="15" customHeight="1" x14ac:dyDescent="0.25">
      <c r="E369" s="22"/>
      <c r="F369" s="22"/>
      <c r="G369" s="12"/>
      <c r="H369" s="22"/>
      <c r="I369" s="13"/>
      <c r="J369" s="14"/>
      <c r="K369" s="12"/>
      <c r="L369" s="15"/>
      <c r="M369" s="16"/>
      <c r="N369" s="15"/>
      <c r="O369" s="16"/>
      <c r="P369" s="17"/>
      <c r="Q369" s="15"/>
      <c r="R369" s="18"/>
      <c r="S369" s="20">
        <v>355</v>
      </c>
      <c r="V369" s="3">
        <f t="shared" si="70"/>
        <v>0</v>
      </c>
      <c r="X369" s="3" t="str">
        <f t="shared" si="71"/>
        <v/>
      </c>
      <c r="Y369" s="3" t="str">
        <f t="shared" si="72"/>
        <v/>
      </c>
      <c r="Z369" s="3" t="str">
        <f t="shared" si="73"/>
        <v/>
      </c>
      <c r="AA369" s="3" t="str">
        <f t="shared" si="83"/>
        <v/>
      </c>
      <c r="AB369" s="3" t="str">
        <f t="shared" si="74"/>
        <v/>
      </c>
      <c r="AC369" s="3" t="str">
        <f t="shared" si="75"/>
        <v/>
      </c>
      <c r="AD369" s="3" t="str">
        <f t="shared" si="76"/>
        <v/>
      </c>
      <c r="AE369" s="3" t="str">
        <f t="shared" si="77"/>
        <v/>
      </c>
      <c r="AF369" s="3" t="str">
        <f t="shared" si="78"/>
        <v/>
      </c>
      <c r="AG369" s="3" t="str">
        <f t="shared" si="79"/>
        <v/>
      </c>
      <c r="AH369" s="3" t="str">
        <f t="shared" si="80"/>
        <v/>
      </c>
      <c r="AI369" s="3" t="str">
        <f t="shared" si="81"/>
        <v/>
      </c>
      <c r="AJ369" s="3" t="str">
        <f t="shared" si="82"/>
        <v/>
      </c>
      <c r="AK369" s="3" t="str">
        <f>IF(V369=0,"",_xlfn.CONCAT(DADOS!$A$8,X369:AJ369,"
"))</f>
        <v/>
      </c>
    </row>
    <row r="370" spans="5:37" ht="15" customHeight="1" x14ac:dyDescent="0.25">
      <c r="E370" s="22"/>
      <c r="F370" s="22"/>
      <c r="G370" s="12"/>
      <c r="H370" s="22"/>
      <c r="I370" s="13"/>
      <c r="J370" s="14"/>
      <c r="K370" s="12"/>
      <c r="L370" s="15"/>
      <c r="M370" s="16"/>
      <c r="N370" s="15"/>
      <c r="O370" s="16"/>
      <c r="P370" s="17"/>
      <c r="Q370" s="15"/>
      <c r="R370" s="18"/>
      <c r="S370" s="20">
        <v>356</v>
      </c>
      <c r="V370" s="3">
        <f t="shared" si="70"/>
        <v>0</v>
      </c>
      <c r="X370" s="3" t="str">
        <f t="shared" si="71"/>
        <v/>
      </c>
      <c r="Y370" s="3" t="str">
        <f t="shared" si="72"/>
        <v/>
      </c>
      <c r="Z370" s="3" t="str">
        <f t="shared" si="73"/>
        <v/>
      </c>
      <c r="AA370" s="3" t="str">
        <f t="shared" si="83"/>
        <v/>
      </c>
      <c r="AB370" s="3" t="str">
        <f t="shared" si="74"/>
        <v/>
      </c>
      <c r="AC370" s="3" t="str">
        <f t="shared" si="75"/>
        <v/>
      </c>
      <c r="AD370" s="3" t="str">
        <f t="shared" si="76"/>
        <v/>
      </c>
      <c r="AE370" s="3" t="str">
        <f t="shared" si="77"/>
        <v/>
      </c>
      <c r="AF370" s="3" t="str">
        <f t="shared" si="78"/>
        <v/>
      </c>
      <c r="AG370" s="3" t="str">
        <f t="shared" si="79"/>
        <v/>
      </c>
      <c r="AH370" s="3" t="str">
        <f t="shared" si="80"/>
        <v/>
      </c>
      <c r="AI370" s="3" t="str">
        <f t="shared" si="81"/>
        <v/>
      </c>
      <c r="AJ370" s="3" t="str">
        <f t="shared" si="82"/>
        <v/>
      </c>
      <c r="AK370" s="3" t="str">
        <f>IF(V370=0,"",_xlfn.CONCAT(DADOS!$A$8,X370:AJ370,"
"))</f>
        <v/>
      </c>
    </row>
    <row r="371" spans="5:37" ht="15" customHeight="1" x14ac:dyDescent="0.25">
      <c r="E371" s="22"/>
      <c r="F371" s="22"/>
      <c r="G371" s="12"/>
      <c r="H371" s="22"/>
      <c r="I371" s="13"/>
      <c r="J371" s="14"/>
      <c r="K371" s="12"/>
      <c r="L371" s="15"/>
      <c r="M371" s="16"/>
      <c r="N371" s="15"/>
      <c r="O371" s="16"/>
      <c r="P371" s="17"/>
      <c r="Q371" s="15"/>
      <c r="R371" s="18"/>
      <c r="S371" s="20">
        <v>357</v>
      </c>
      <c r="V371" s="3">
        <f t="shared" si="70"/>
        <v>0</v>
      </c>
      <c r="X371" s="3" t="str">
        <f t="shared" si="71"/>
        <v/>
      </c>
      <c r="Y371" s="3" t="str">
        <f t="shared" si="72"/>
        <v/>
      </c>
      <c r="Z371" s="3" t="str">
        <f t="shared" si="73"/>
        <v/>
      </c>
      <c r="AA371" s="3" t="str">
        <f t="shared" si="83"/>
        <v/>
      </c>
      <c r="AB371" s="3" t="str">
        <f t="shared" si="74"/>
        <v/>
      </c>
      <c r="AC371" s="3" t="str">
        <f t="shared" si="75"/>
        <v/>
      </c>
      <c r="AD371" s="3" t="str">
        <f t="shared" si="76"/>
        <v/>
      </c>
      <c r="AE371" s="3" t="str">
        <f t="shared" si="77"/>
        <v/>
      </c>
      <c r="AF371" s="3" t="str">
        <f t="shared" si="78"/>
        <v/>
      </c>
      <c r="AG371" s="3" t="str">
        <f t="shared" si="79"/>
        <v/>
      </c>
      <c r="AH371" s="3" t="str">
        <f t="shared" si="80"/>
        <v/>
      </c>
      <c r="AI371" s="3" t="str">
        <f t="shared" si="81"/>
        <v/>
      </c>
      <c r="AJ371" s="3" t="str">
        <f t="shared" si="82"/>
        <v/>
      </c>
      <c r="AK371" s="3" t="str">
        <f>IF(V371=0,"",_xlfn.CONCAT(DADOS!$A$8,X371:AJ371,"
"))</f>
        <v/>
      </c>
    </row>
    <row r="372" spans="5:37" ht="15" customHeight="1" x14ac:dyDescent="0.25">
      <c r="E372" s="22"/>
      <c r="F372" s="22"/>
      <c r="G372" s="12"/>
      <c r="H372" s="22"/>
      <c r="I372" s="13"/>
      <c r="J372" s="14"/>
      <c r="K372" s="12"/>
      <c r="L372" s="15"/>
      <c r="M372" s="16"/>
      <c r="N372" s="15"/>
      <c r="O372" s="16"/>
      <c r="P372" s="17"/>
      <c r="Q372" s="15"/>
      <c r="R372" s="18"/>
      <c r="S372" s="20">
        <v>358</v>
      </c>
      <c r="V372" s="3">
        <f t="shared" si="70"/>
        <v>0</v>
      </c>
      <c r="X372" s="3" t="str">
        <f t="shared" si="71"/>
        <v/>
      </c>
      <c r="Y372" s="3" t="str">
        <f t="shared" si="72"/>
        <v/>
      </c>
      <c r="Z372" s="3" t="str">
        <f t="shared" si="73"/>
        <v/>
      </c>
      <c r="AA372" s="3" t="str">
        <f t="shared" si="83"/>
        <v/>
      </c>
      <c r="AB372" s="3" t="str">
        <f t="shared" si="74"/>
        <v/>
      </c>
      <c r="AC372" s="3" t="str">
        <f t="shared" si="75"/>
        <v/>
      </c>
      <c r="AD372" s="3" t="str">
        <f t="shared" si="76"/>
        <v/>
      </c>
      <c r="AE372" s="3" t="str">
        <f t="shared" si="77"/>
        <v/>
      </c>
      <c r="AF372" s="3" t="str">
        <f t="shared" si="78"/>
        <v/>
      </c>
      <c r="AG372" s="3" t="str">
        <f t="shared" si="79"/>
        <v/>
      </c>
      <c r="AH372" s="3" t="str">
        <f t="shared" si="80"/>
        <v/>
      </c>
      <c r="AI372" s="3" t="str">
        <f t="shared" si="81"/>
        <v/>
      </c>
      <c r="AJ372" s="3" t="str">
        <f t="shared" si="82"/>
        <v/>
      </c>
      <c r="AK372" s="3" t="str">
        <f>IF(V372=0,"",_xlfn.CONCAT(DADOS!$A$8,X372:AJ372,"
"))</f>
        <v/>
      </c>
    </row>
    <row r="373" spans="5:37" ht="15" customHeight="1" x14ac:dyDescent="0.25">
      <c r="E373" s="22"/>
      <c r="F373" s="22"/>
      <c r="G373" s="12"/>
      <c r="H373" s="22"/>
      <c r="I373" s="13"/>
      <c r="J373" s="14"/>
      <c r="K373" s="12"/>
      <c r="L373" s="15"/>
      <c r="M373" s="16"/>
      <c r="N373" s="15"/>
      <c r="O373" s="16"/>
      <c r="P373" s="17"/>
      <c r="Q373" s="15"/>
      <c r="R373" s="18"/>
      <c r="S373" s="20">
        <v>359</v>
      </c>
      <c r="V373" s="3">
        <f t="shared" si="70"/>
        <v>0</v>
      </c>
      <c r="X373" s="3" t="str">
        <f t="shared" si="71"/>
        <v/>
      </c>
      <c r="Y373" s="3" t="str">
        <f t="shared" si="72"/>
        <v/>
      </c>
      <c r="Z373" s="3" t="str">
        <f t="shared" si="73"/>
        <v/>
      </c>
      <c r="AA373" s="3" t="str">
        <f t="shared" si="83"/>
        <v/>
      </c>
      <c r="AB373" s="3" t="str">
        <f t="shared" si="74"/>
        <v/>
      </c>
      <c r="AC373" s="3" t="str">
        <f t="shared" si="75"/>
        <v/>
      </c>
      <c r="AD373" s="3" t="str">
        <f t="shared" si="76"/>
        <v/>
      </c>
      <c r="AE373" s="3" t="str">
        <f t="shared" si="77"/>
        <v/>
      </c>
      <c r="AF373" s="3" t="str">
        <f t="shared" si="78"/>
        <v/>
      </c>
      <c r="AG373" s="3" t="str">
        <f t="shared" si="79"/>
        <v/>
      </c>
      <c r="AH373" s="3" t="str">
        <f t="shared" si="80"/>
        <v/>
      </c>
      <c r="AI373" s="3" t="str">
        <f t="shared" si="81"/>
        <v/>
      </c>
      <c r="AJ373" s="3" t="str">
        <f t="shared" si="82"/>
        <v/>
      </c>
      <c r="AK373" s="3" t="str">
        <f>IF(V373=0,"",_xlfn.CONCAT(DADOS!$A$8,X373:AJ373,"
"))</f>
        <v/>
      </c>
    </row>
    <row r="374" spans="5:37" ht="15" customHeight="1" x14ac:dyDescent="0.25">
      <c r="E374" s="22"/>
      <c r="F374" s="22"/>
      <c r="G374" s="12"/>
      <c r="H374" s="22"/>
      <c r="I374" s="13"/>
      <c r="J374" s="14"/>
      <c r="K374" s="12"/>
      <c r="L374" s="15"/>
      <c r="M374" s="16"/>
      <c r="N374" s="15"/>
      <c r="O374" s="16"/>
      <c r="P374" s="17"/>
      <c r="Q374" s="15"/>
      <c r="R374" s="18"/>
      <c r="S374" s="20">
        <v>360</v>
      </c>
      <c r="V374" s="3">
        <f t="shared" si="70"/>
        <v>0</v>
      </c>
      <c r="X374" s="3" t="str">
        <f t="shared" si="71"/>
        <v/>
      </c>
      <c r="Y374" s="3" t="str">
        <f t="shared" si="72"/>
        <v/>
      </c>
      <c r="Z374" s="3" t="str">
        <f t="shared" si="73"/>
        <v/>
      </c>
      <c r="AA374" s="3" t="str">
        <f t="shared" si="83"/>
        <v/>
      </c>
      <c r="AB374" s="3" t="str">
        <f t="shared" si="74"/>
        <v/>
      </c>
      <c r="AC374" s="3" t="str">
        <f t="shared" si="75"/>
        <v/>
      </c>
      <c r="AD374" s="3" t="str">
        <f t="shared" si="76"/>
        <v/>
      </c>
      <c r="AE374" s="3" t="str">
        <f t="shared" si="77"/>
        <v/>
      </c>
      <c r="AF374" s="3" t="str">
        <f t="shared" si="78"/>
        <v/>
      </c>
      <c r="AG374" s="3" t="str">
        <f t="shared" si="79"/>
        <v/>
      </c>
      <c r="AH374" s="3" t="str">
        <f t="shared" si="80"/>
        <v/>
      </c>
      <c r="AI374" s="3" t="str">
        <f t="shared" si="81"/>
        <v/>
      </c>
      <c r="AJ374" s="3" t="str">
        <f t="shared" si="82"/>
        <v/>
      </c>
      <c r="AK374" s="3" t="str">
        <f>IF(V374=0,"",_xlfn.CONCAT(DADOS!$A$8,X374:AJ374,"
"))</f>
        <v/>
      </c>
    </row>
    <row r="375" spans="5:37" ht="15" customHeight="1" x14ac:dyDescent="0.25">
      <c r="E375" s="22"/>
      <c r="F375" s="22"/>
      <c r="G375" s="12"/>
      <c r="H375" s="22"/>
      <c r="I375" s="13"/>
      <c r="J375" s="14"/>
      <c r="K375" s="12"/>
      <c r="L375" s="15"/>
      <c r="M375" s="16"/>
      <c r="N375" s="15"/>
      <c r="O375" s="16"/>
      <c r="P375" s="17"/>
      <c r="Q375" s="15"/>
      <c r="R375" s="18"/>
      <c r="S375" s="20">
        <v>361</v>
      </c>
      <c r="V375" s="3">
        <f t="shared" si="70"/>
        <v>0</v>
      </c>
      <c r="X375" s="3" t="str">
        <f t="shared" si="71"/>
        <v/>
      </c>
      <c r="Y375" s="3" t="str">
        <f t="shared" si="72"/>
        <v/>
      </c>
      <c r="Z375" s="3" t="str">
        <f t="shared" si="73"/>
        <v/>
      </c>
      <c r="AA375" s="3" t="str">
        <f t="shared" si="83"/>
        <v/>
      </c>
      <c r="AB375" s="3" t="str">
        <f t="shared" si="74"/>
        <v/>
      </c>
      <c r="AC375" s="3" t="str">
        <f t="shared" si="75"/>
        <v/>
      </c>
      <c r="AD375" s="3" t="str">
        <f t="shared" si="76"/>
        <v/>
      </c>
      <c r="AE375" s="3" t="str">
        <f t="shared" si="77"/>
        <v/>
      </c>
      <c r="AF375" s="3" t="str">
        <f t="shared" si="78"/>
        <v/>
      </c>
      <c r="AG375" s="3" t="str">
        <f t="shared" si="79"/>
        <v/>
      </c>
      <c r="AH375" s="3" t="str">
        <f t="shared" si="80"/>
        <v/>
      </c>
      <c r="AI375" s="3" t="str">
        <f t="shared" si="81"/>
        <v/>
      </c>
      <c r="AJ375" s="3" t="str">
        <f t="shared" si="82"/>
        <v/>
      </c>
      <c r="AK375" s="3" t="str">
        <f>IF(V375=0,"",_xlfn.CONCAT(DADOS!$A$8,X375:AJ375,"
"))</f>
        <v/>
      </c>
    </row>
    <row r="376" spans="5:37" ht="15" customHeight="1" x14ac:dyDescent="0.25">
      <c r="E376" s="22"/>
      <c r="F376" s="22"/>
      <c r="G376" s="12"/>
      <c r="H376" s="22"/>
      <c r="I376" s="13"/>
      <c r="J376" s="14"/>
      <c r="K376" s="12"/>
      <c r="L376" s="15"/>
      <c r="M376" s="16"/>
      <c r="N376" s="15"/>
      <c r="O376" s="16"/>
      <c r="P376" s="17"/>
      <c r="Q376" s="15"/>
      <c r="R376" s="18"/>
      <c r="S376" s="20">
        <v>362</v>
      </c>
      <c r="V376" s="3">
        <f t="shared" si="70"/>
        <v>0</v>
      </c>
      <c r="X376" s="3" t="str">
        <f t="shared" si="71"/>
        <v/>
      </c>
      <c r="Y376" s="3" t="str">
        <f t="shared" si="72"/>
        <v/>
      </c>
      <c r="Z376" s="3" t="str">
        <f t="shared" si="73"/>
        <v/>
      </c>
      <c r="AA376" s="3" t="str">
        <f t="shared" si="83"/>
        <v/>
      </c>
      <c r="AB376" s="3" t="str">
        <f t="shared" si="74"/>
        <v/>
      </c>
      <c r="AC376" s="3" t="str">
        <f t="shared" si="75"/>
        <v/>
      </c>
      <c r="AD376" s="3" t="str">
        <f t="shared" si="76"/>
        <v/>
      </c>
      <c r="AE376" s="3" t="str">
        <f t="shared" si="77"/>
        <v/>
      </c>
      <c r="AF376" s="3" t="str">
        <f t="shared" si="78"/>
        <v/>
      </c>
      <c r="AG376" s="3" t="str">
        <f t="shared" si="79"/>
        <v/>
      </c>
      <c r="AH376" s="3" t="str">
        <f t="shared" si="80"/>
        <v/>
      </c>
      <c r="AI376" s="3" t="str">
        <f t="shared" si="81"/>
        <v/>
      </c>
      <c r="AJ376" s="3" t="str">
        <f t="shared" si="82"/>
        <v/>
      </c>
      <c r="AK376" s="3" t="str">
        <f>IF(V376=0,"",_xlfn.CONCAT(DADOS!$A$8,X376:AJ376,"
"))</f>
        <v/>
      </c>
    </row>
    <row r="377" spans="5:37" ht="15" customHeight="1" x14ac:dyDescent="0.25">
      <c r="E377" s="22"/>
      <c r="F377" s="22"/>
      <c r="G377" s="12"/>
      <c r="H377" s="22"/>
      <c r="I377" s="13"/>
      <c r="J377" s="14"/>
      <c r="K377" s="12"/>
      <c r="L377" s="15"/>
      <c r="M377" s="16"/>
      <c r="N377" s="15"/>
      <c r="O377" s="16"/>
      <c r="P377" s="17"/>
      <c r="Q377" s="15"/>
      <c r="R377" s="18"/>
      <c r="S377" s="20">
        <v>363</v>
      </c>
      <c r="V377" s="3">
        <f t="shared" si="70"/>
        <v>0</v>
      </c>
      <c r="X377" s="3" t="str">
        <f t="shared" si="71"/>
        <v/>
      </c>
      <c r="Y377" s="3" t="str">
        <f t="shared" si="72"/>
        <v/>
      </c>
      <c r="Z377" s="3" t="str">
        <f t="shared" si="73"/>
        <v/>
      </c>
      <c r="AA377" s="3" t="str">
        <f t="shared" si="83"/>
        <v/>
      </c>
      <c r="AB377" s="3" t="str">
        <f t="shared" si="74"/>
        <v/>
      </c>
      <c r="AC377" s="3" t="str">
        <f t="shared" si="75"/>
        <v/>
      </c>
      <c r="AD377" s="3" t="str">
        <f t="shared" si="76"/>
        <v/>
      </c>
      <c r="AE377" s="3" t="str">
        <f t="shared" si="77"/>
        <v/>
      </c>
      <c r="AF377" s="3" t="str">
        <f t="shared" si="78"/>
        <v/>
      </c>
      <c r="AG377" s="3" t="str">
        <f t="shared" si="79"/>
        <v/>
      </c>
      <c r="AH377" s="3" t="str">
        <f t="shared" si="80"/>
        <v/>
      </c>
      <c r="AI377" s="3" t="str">
        <f t="shared" si="81"/>
        <v/>
      </c>
      <c r="AJ377" s="3" t="str">
        <f t="shared" si="82"/>
        <v/>
      </c>
      <c r="AK377" s="3" t="str">
        <f>IF(V377=0,"",_xlfn.CONCAT(DADOS!$A$8,X377:AJ377,"
"))</f>
        <v/>
      </c>
    </row>
    <row r="378" spans="5:37" ht="15" customHeight="1" x14ac:dyDescent="0.25">
      <c r="E378" s="22"/>
      <c r="F378" s="22"/>
      <c r="G378" s="12"/>
      <c r="H378" s="22"/>
      <c r="I378" s="13"/>
      <c r="J378" s="14"/>
      <c r="K378" s="12"/>
      <c r="L378" s="15"/>
      <c r="M378" s="16"/>
      <c r="N378" s="15"/>
      <c r="O378" s="16"/>
      <c r="P378" s="17"/>
      <c r="Q378" s="15"/>
      <c r="R378" s="18"/>
      <c r="S378" s="20">
        <v>364</v>
      </c>
      <c r="V378" s="3">
        <f t="shared" si="70"/>
        <v>0</v>
      </c>
      <c r="X378" s="3" t="str">
        <f t="shared" si="71"/>
        <v/>
      </c>
      <c r="Y378" s="3" t="str">
        <f t="shared" si="72"/>
        <v/>
      </c>
      <c r="Z378" s="3" t="str">
        <f t="shared" si="73"/>
        <v/>
      </c>
      <c r="AA378" s="3" t="str">
        <f t="shared" si="83"/>
        <v/>
      </c>
      <c r="AB378" s="3" t="str">
        <f t="shared" si="74"/>
        <v/>
      </c>
      <c r="AC378" s="3" t="str">
        <f t="shared" si="75"/>
        <v/>
      </c>
      <c r="AD378" s="3" t="str">
        <f t="shared" si="76"/>
        <v/>
      </c>
      <c r="AE378" s="3" t="str">
        <f t="shared" si="77"/>
        <v/>
      </c>
      <c r="AF378" s="3" t="str">
        <f t="shared" si="78"/>
        <v/>
      </c>
      <c r="AG378" s="3" t="str">
        <f t="shared" si="79"/>
        <v/>
      </c>
      <c r="AH378" s="3" t="str">
        <f t="shared" si="80"/>
        <v/>
      </c>
      <c r="AI378" s="3" t="str">
        <f t="shared" si="81"/>
        <v/>
      </c>
      <c r="AJ378" s="3" t="str">
        <f t="shared" si="82"/>
        <v/>
      </c>
      <c r="AK378" s="3" t="str">
        <f>IF(V378=0,"",_xlfn.CONCAT(DADOS!$A$8,X378:AJ378,"
"))</f>
        <v/>
      </c>
    </row>
    <row r="379" spans="5:37" ht="15" customHeight="1" x14ac:dyDescent="0.25">
      <c r="E379" s="22"/>
      <c r="F379" s="22"/>
      <c r="G379" s="12"/>
      <c r="H379" s="22"/>
      <c r="I379" s="13"/>
      <c r="J379" s="14"/>
      <c r="K379" s="12"/>
      <c r="L379" s="15"/>
      <c r="M379" s="16"/>
      <c r="N379" s="15"/>
      <c r="O379" s="16"/>
      <c r="P379" s="17"/>
      <c r="Q379" s="15"/>
      <c r="R379" s="18"/>
      <c r="S379" s="20">
        <v>365</v>
      </c>
      <c r="V379" s="3">
        <f t="shared" si="70"/>
        <v>0</v>
      </c>
      <c r="X379" s="3" t="str">
        <f t="shared" si="71"/>
        <v/>
      </c>
      <c r="Y379" s="3" t="str">
        <f t="shared" si="72"/>
        <v/>
      </c>
      <c r="Z379" s="3" t="str">
        <f t="shared" si="73"/>
        <v/>
      </c>
      <c r="AA379" s="3" t="str">
        <f t="shared" si="83"/>
        <v/>
      </c>
      <c r="AB379" s="3" t="str">
        <f t="shared" si="74"/>
        <v/>
      </c>
      <c r="AC379" s="3" t="str">
        <f t="shared" si="75"/>
        <v/>
      </c>
      <c r="AD379" s="3" t="str">
        <f t="shared" si="76"/>
        <v/>
      </c>
      <c r="AE379" s="3" t="str">
        <f t="shared" si="77"/>
        <v/>
      </c>
      <c r="AF379" s="3" t="str">
        <f t="shared" si="78"/>
        <v/>
      </c>
      <c r="AG379" s="3" t="str">
        <f t="shared" si="79"/>
        <v/>
      </c>
      <c r="AH379" s="3" t="str">
        <f t="shared" si="80"/>
        <v/>
      </c>
      <c r="AI379" s="3" t="str">
        <f t="shared" si="81"/>
        <v/>
      </c>
      <c r="AJ379" s="3" t="str">
        <f t="shared" si="82"/>
        <v/>
      </c>
      <c r="AK379" s="3" t="str">
        <f>IF(V379=0,"",_xlfn.CONCAT(DADOS!$A$8,X379:AJ379,"
"))</f>
        <v/>
      </c>
    </row>
    <row r="380" spans="5:37" ht="15" customHeight="1" x14ac:dyDescent="0.25">
      <c r="E380" s="22"/>
      <c r="F380" s="22"/>
      <c r="G380" s="12"/>
      <c r="H380" s="22"/>
      <c r="I380" s="13"/>
      <c r="J380" s="14"/>
      <c r="K380" s="12"/>
      <c r="L380" s="15"/>
      <c r="M380" s="16"/>
      <c r="N380" s="15"/>
      <c r="O380" s="16"/>
      <c r="P380" s="17"/>
      <c r="Q380" s="15"/>
      <c r="R380" s="18"/>
      <c r="S380" s="20">
        <v>366</v>
      </c>
      <c r="V380" s="3">
        <f t="shared" si="70"/>
        <v>0</v>
      </c>
      <c r="X380" s="3" t="str">
        <f t="shared" si="71"/>
        <v/>
      </c>
      <c r="Y380" s="3" t="str">
        <f t="shared" si="72"/>
        <v/>
      </c>
      <c r="Z380" s="3" t="str">
        <f t="shared" si="73"/>
        <v/>
      </c>
      <c r="AA380" s="3" t="str">
        <f t="shared" si="83"/>
        <v/>
      </c>
      <c r="AB380" s="3" t="str">
        <f t="shared" si="74"/>
        <v/>
      </c>
      <c r="AC380" s="3" t="str">
        <f t="shared" si="75"/>
        <v/>
      </c>
      <c r="AD380" s="3" t="str">
        <f t="shared" si="76"/>
        <v/>
      </c>
      <c r="AE380" s="3" t="str">
        <f t="shared" si="77"/>
        <v/>
      </c>
      <c r="AF380" s="3" t="str">
        <f t="shared" si="78"/>
        <v/>
      </c>
      <c r="AG380" s="3" t="str">
        <f t="shared" si="79"/>
        <v/>
      </c>
      <c r="AH380" s="3" t="str">
        <f t="shared" si="80"/>
        <v/>
      </c>
      <c r="AI380" s="3" t="str">
        <f t="shared" si="81"/>
        <v/>
      </c>
      <c r="AJ380" s="3" t="str">
        <f t="shared" si="82"/>
        <v/>
      </c>
      <c r="AK380" s="3" t="str">
        <f>IF(V380=0,"",_xlfn.CONCAT(DADOS!$A$8,X380:AJ380,"
"))</f>
        <v/>
      </c>
    </row>
    <row r="381" spans="5:37" ht="15" customHeight="1" x14ac:dyDescent="0.25">
      <c r="E381" s="22"/>
      <c r="F381" s="22"/>
      <c r="G381" s="12"/>
      <c r="H381" s="22"/>
      <c r="I381" s="13"/>
      <c r="J381" s="14"/>
      <c r="K381" s="12"/>
      <c r="L381" s="15"/>
      <c r="M381" s="16"/>
      <c r="N381" s="15"/>
      <c r="O381" s="16"/>
      <c r="P381" s="17"/>
      <c r="Q381" s="15"/>
      <c r="R381" s="18"/>
      <c r="S381" s="20">
        <v>367</v>
      </c>
      <c r="V381" s="3">
        <f t="shared" si="70"/>
        <v>0</v>
      </c>
      <c r="X381" s="3" t="str">
        <f t="shared" si="71"/>
        <v/>
      </c>
      <c r="Y381" s="3" t="str">
        <f t="shared" si="72"/>
        <v/>
      </c>
      <c r="Z381" s="3" t="str">
        <f t="shared" si="73"/>
        <v/>
      </c>
      <c r="AA381" s="3" t="str">
        <f t="shared" si="83"/>
        <v/>
      </c>
      <c r="AB381" s="3" t="str">
        <f t="shared" si="74"/>
        <v/>
      </c>
      <c r="AC381" s="3" t="str">
        <f t="shared" si="75"/>
        <v/>
      </c>
      <c r="AD381" s="3" t="str">
        <f t="shared" si="76"/>
        <v/>
      </c>
      <c r="AE381" s="3" t="str">
        <f t="shared" si="77"/>
        <v/>
      </c>
      <c r="AF381" s="3" t="str">
        <f t="shared" si="78"/>
        <v/>
      </c>
      <c r="AG381" s="3" t="str">
        <f t="shared" si="79"/>
        <v/>
      </c>
      <c r="AH381" s="3" t="str">
        <f t="shared" si="80"/>
        <v/>
      </c>
      <c r="AI381" s="3" t="str">
        <f t="shared" si="81"/>
        <v/>
      </c>
      <c r="AJ381" s="3" t="str">
        <f t="shared" si="82"/>
        <v/>
      </c>
      <c r="AK381" s="3" t="str">
        <f>IF(V381=0,"",_xlfn.CONCAT(DADOS!$A$8,X381:AJ381,"
"))</f>
        <v/>
      </c>
    </row>
    <row r="382" spans="5:37" ht="15" customHeight="1" x14ac:dyDescent="0.25">
      <c r="E382" s="22"/>
      <c r="F382" s="22"/>
      <c r="G382" s="12"/>
      <c r="H382" s="22"/>
      <c r="I382" s="13"/>
      <c r="J382" s="14"/>
      <c r="K382" s="12"/>
      <c r="L382" s="15"/>
      <c r="M382" s="16"/>
      <c r="N382" s="15"/>
      <c r="O382" s="16"/>
      <c r="P382" s="17"/>
      <c r="Q382" s="15"/>
      <c r="R382" s="18"/>
      <c r="S382" s="20">
        <v>368</v>
      </c>
      <c r="V382" s="3">
        <f t="shared" si="70"/>
        <v>0</v>
      </c>
      <c r="X382" s="3" t="str">
        <f t="shared" si="71"/>
        <v/>
      </c>
      <c r="Y382" s="3" t="str">
        <f t="shared" si="72"/>
        <v/>
      </c>
      <c r="Z382" s="3" t="str">
        <f t="shared" si="73"/>
        <v/>
      </c>
      <c r="AA382" s="3" t="str">
        <f t="shared" si="83"/>
        <v/>
      </c>
      <c r="AB382" s="3" t="str">
        <f t="shared" si="74"/>
        <v/>
      </c>
      <c r="AC382" s="3" t="str">
        <f t="shared" si="75"/>
        <v/>
      </c>
      <c r="AD382" s="3" t="str">
        <f t="shared" si="76"/>
        <v/>
      </c>
      <c r="AE382" s="3" t="str">
        <f t="shared" si="77"/>
        <v/>
      </c>
      <c r="AF382" s="3" t="str">
        <f t="shared" si="78"/>
        <v/>
      </c>
      <c r="AG382" s="3" t="str">
        <f t="shared" si="79"/>
        <v/>
      </c>
      <c r="AH382" s="3" t="str">
        <f t="shared" si="80"/>
        <v/>
      </c>
      <c r="AI382" s="3" t="str">
        <f t="shared" si="81"/>
        <v/>
      </c>
      <c r="AJ382" s="3" t="str">
        <f t="shared" si="82"/>
        <v/>
      </c>
      <c r="AK382" s="3" t="str">
        <f>IF(V382=0,"",_xlfn.CONCAT(DADOS!$A$8,X382:AJ382,"
"))</f>
        <v/>
      </c>
    </row>
    <row r="383" spans="5:37" ht="15" customHeight="1" x14ac:dyDescent="0.25">
      <c r="E383" s="22"/>
      <c r="F383" s="22"/>
      <c r="G383" s="12"/>
      <c r="H383" s="22"/>
      <c r="I383" s="13"/>
      <c r="J383" s="14"/>
      <c r="K383" s="12"/>
      <c r="L383" s="15"/>
      <c r="M383" s="16"/>
      <c r="N383" s="15"/>
      <c r="O383" s="16"/>
      <c r="P383" s="17"/>
      <c r="Q383" s="15"/>
      <c r="R383" s="18"/>
      <c r="S383" s="20">
        <v>369</v>
      </c>
      <c r="V383" s="3">
        <f t="shared" si="70"/>
        <v>0</v>
      </c>
      <c r="X383" s="3" t="str">
        <f t="shared" si="71"/>
        <v/>
      </c>
      <c r="Y383" s="3" t="str">
        <f t="shared" si="72"/>
        <v/>
      </c>
      <c r="Z383" s="3" t="str">
        <f t="shared" si="73"/>
        <v/>
      </c>
      <c r="AA383" s="3" t="str">
        <f t="shared" si="83"/>
        <v/>
      </c>
      <c r="AB383" s="3" t="str">
        <f t="shared" si="74"/>
        <v/>
      </c>
      <c r="AC383" s="3" t="str">
        <f t="shared" si="75"/>
        <v/>
      </c>
      <c r="AD383" s="3" t="str">
        <f t="shared" si="76"/>
        <v/>
      </c>
      <c r="AE383" s="3" t="str">
        <f t="shared" si="77"/>
        <v/>
      </c>
      <c r="AF383" s="3" t="str">
        <f t="shared" si="78"/>
        <v/>
      </c>
      <c r="AG383" s="3" t="str">
        <f t="shared" si="79"/>
        <v/>
      </c>
      <c r="AH383" s="3" t="str">
        <f t="shared" si="80"/>
        <v/>
      </c>
      <c r="AI383" s="3" t="str">
        <f t="shared" si="81"/>
        <v/>
      </c>
      <c r="AJ383" s="3" t="str">
        <f t="shared" si="82"/>
        <v/>
      </c>
      <c r="AK383" s="3" t="str">
        <f>IF(V383=0,"",_xlfn.CONCAT(DADOS!$A$8,X383:AJ383,"
"))</f>
        <v/>
      </c>
    </row>
    <row r="384" spans="5:37" ht="15" customHeight="1" x14ac:dyDescent="0.25">
      <c r="E384" s="22"/>
      <c r="F384" s="22"/>
      <c r="G384" s="12"/>
      <c r="H384" s="22"/>
      <c r="I384" s="13"/>
      <c r="J384" s="14"/>
      <c r="K384" s="12"/>
      <c r="L384" s="15"/>
      <c r="M384" s="16"/>
      <c r="N384" s="15"/>
      <c r="O384" s="16"/>
      <c r="P384" s="17"/>
      <c r="Q384" s="15"/>
      <c r="R384" s="18"/>
      <c r="S384" s="20">
        <v>370</v>
      </c>
      <c r="V384" s="3">
        <f t="shared" si="70"/>
        <v>0</v>
      </c>
      <c r="X384" s="3" t="str">
        <f t="shared" si="71"/>
        <v/>
      </c>
      <c r="Y384" s="3" t="str">
        <f t="shared" si="72"/>
        <v/>
      </c>
      <c r="Z384" s="3" t="str">
        <f t="shared" si="73"/>
        <v/>
      </c>
      <c r="AA384" s="3" t="str">
        <f t="shared" si="83"/>
        <v/>
      </c>
      <c r="AB384" s="3" t="str">
        <f t="shared" si="74"/>
        <v/>
      </c>
      <c r="AC384" s="3" t="str">
        <f t="shared" si="75"/>
        <v/>
      </c>
      <c r="AD384" s="3" t="str">
        <f t="shared" si="76"/>
        <v/>
      </c>
      <c r="AE384" s="3" t="str">
        <f t="shared" si="77"/>
        <v/>
      </c>
      <c r="AF384" s="3" t="str">
        <f t="shared" si="78"/>
        <v/>
      </c>
      <c r="AG384" s="3" t="str">
        <f t="shared" si="79"/>
        <v/>
      </c>
      <c r="AH384" s="3" t="str">
        <f t="shared" si="80"/>
        <v/>
      </c>
      <c r="AI384" s="3" t="str">
        <f t="shared" si="81"/>
        <v/>
      </c>
      <c r="AJ384" s="3" t="str">
        <f t="shared" si="82"/>
        <v/>
      </c>
      <c r="AK384" s="3" t="str">
        <f>IF(V384=0,"",_xlfn.CONCAT(DADOS!$A$8,X384:AJ384,"
"))</f>
        <v/>
      </c>
    </row>
    <row r="385" spans="5:37" ht="15" customHeight="1" x14ac:dyDescent="0.25">
      <c r="E385" s="22"/>
      <c r="F385" s="22"/>
      <c r="G385" s="12"/>
      <c r="H385" s="22"/>
      <c r="I385" s="13"/>
      <c r="J385" s="14"/>
      <c r="K385" s="12"/>
      <c r="L385" s="15"/>
      <c r="M385" s="16"/>
      <c r="N385" s="15"/>
      <c r="O385" s="16"/>
      <c r="P385" s="17"/>
      <c r="Q385" s="15"/>
      <c r="R385" s="18"/>
      <c r="S385" s="20">
        <v>371</v>
      </c>
      <c r="V385" s="3">
        <f t="shared" si="70"/>
        <v>0</v>
      </c>
      <c r="X385" s="3" t="str">
        <f t="shared" si="71"/>
        <v/>
      </c>
      <c r="Y385" s="3" t="str">
        <f t="shared" si="72"/>
        <v/>
      </c>
      <c r="Z385" s="3" t="str">
        <f t="shared" si="73"/>
        <v/>
      </c>
      <c r="AA385" s="3" t="str">
        <f t="shared" si="83"/>
        <v/>
      </c>
      <c r="AB385" s="3" t="str">
        <f t="shared" si="74"/>
        <v/>
      </c>
      <c r="AC385" s="3" t="str">
        <f t="shared" si="75"/>
        <v/>
      </c>
      <c r="AD385" s="3" t="str">
        <f t="shared" si="76"/>
        <v/>
      </c>
      <c r="AE385" s="3" t="str">
        <f t="shared" si="77"/>
        <v/>
      </c>
      <c r="AF385" s="3" t="str">
        <f t="shared" si="78"/>
        <v/>
      </c>
      <c r="AG385" s="3" t="str">
        <f t="shared" si="79"/>
        <v/>
      </c>
      <c r="AH385" s="3" t="str">
        <f t="shared" si="80"/>
        <v/>
      </c>
      <c r="AI385" s="3" t="str">
        <f t="shared" si="81"/>
        <v/>
      </c>
      <c r="AJ385" s="3" t="str">
        <f t="shared" si="82"/>
        <v/>
      </c>
      <c r="AK385" s="3" t="str">
        <f>IF(V385=0,"",_xlfn.CONCAT(DADOS!$A$8,X385:AJ385,"
"))</f>
        <v/>
      </c>
    </row>
    <row r="386" spans="5:37" ht="15" customHeight="1" x14ac:dyDescent="0.25">
      <c r="E386" s="22"/>
      <c r="F386" s="22"/>
      <c r="G386" s="12"/>
      <c r="H386" s="22"/>
      <c r="I386" s="13"/>
      <c r="J386" s="14"/>
      <c r="K386" s="12"/>
      <c r="L386" s="15"/>
      <c r="M386" s="16"/>
      <c r="N386" s="15"/>
      <c r="O386" s="16"/>
      <c r="P386" s="17"/>
      <c r="Q386" s="15"/>
      <c r="R386" s="18"/>
      <c r="S386" s="20">
        <v>372</v>
      </c>
      <c r="V386" s="3">
        <f t="shared" si="70"/>
        <v>0</v>
      </c>
      <c r="X386" s="3" t="str">
        <f t="shared" si="71"/>
        <v/>
      </c>
      <c r="Y386" s="3" t="str">
        <f t="shared" si="72"/>
        <v/>
      </c>
      <c r="Z386" s="3" t="str">
        <f t="shared" si="73"/>
        <v/>
      </c>
      <c r="AA386" s="3" t="str">
        <f t="shared" si="83"/>
        <v/>
      </c>
      <c r="AB386" s="3" t="str">
        <f t="shared" si="74"/>
        <v/>
      </c>
      <c r="AC386" s="3" t="str">
        <f t="shared" si="75"/>
        <v/>
      </c>
      <c r="AD386" s="3" t="str">
        <f t="shared" si="76"/>
        <v/>
      </c>
      <c r="AE386" s="3" t="str">
        <f t="shared" si="77"/>
        <v/>
      </c>
      <c r="AF386" s="3" t="str">
        <f t="shared" si="78"/>
        <v/>
      </c>
      <c r="AG386" s="3" t="str">
        <f t="shared" si="79"/>
        <v/>
      </c>
      <c r="AH386" s="3" t="str">
        <f t="shared" si="80"/>
        <v/>
      </c>
      <c r="AI386" s="3" t="str">
        <f t="shared" si="81"/>
        <v/>
      </c>
      <c r="AJ386" s="3" t="str">
        <f t="shared" si="82"/>
        <v/>
      </c>
      <c r="AK386" s="3" t="str">
        <f>IF(V386=0,"",_xlfn.CONCAT(DADOS!$A$8,X386:AJ386,"
"))</f>
        <v/>
      </c>
    </row>
    <row r="387" spans="5:37" ht="15" customHeight="1" x14ac:dyDescent="0.25">
      <c r="E387" s="22"/>
      <c r="F387" s="22"/>
      <c r="G387" s="12"/>
      <c r="H387" s="22"/>
      <c r="I387" s="13"/>
      <c r="J387" s="14"/>
      <c r="K387" s="12"/>
      <c r="L387" s="15"/>
      <c r="M387" s="16"/>
      <c r="N387" s="15"/>
      <c r="O387" s="16"/>
      <c r="P387" s="17"/>
      <c r="Q387" s="15"/>
      <c r="R387" s="18"/>
      <c r="S387" s="20">
        <v>373</v>
      </c>
      <c r="V387" s="3">
        <f t="shared" si="70"/>
        <v>0</v>
      </c>
      <c r="X387" s="3" t="str">
        <f t="shared" si="71"/>
        <v/>
      </c>
      <c r="Y387" s="3" t="str">
        <f t="shared" si="72"/>
        <v/>
      </c>
      <c r="Z387" s="3" t="str">
        <f t="shared" si="73"/>
        <v/>
      </c>
      <c r="AA387" s="3" t="str">
        <f t="shared" si="83"/>
        <v/>
      </c>
      <c r="AB387" s="3" t="str">
        <f t="shared" si="74"/>
        <v/>
      </c>
      <c r="AC387" s="3" t="str">
        <f t="shared" si="75"/>
        <v/>
      </c>
      <c r="AD387" s="3" t="str">
        <f t="shared" si="76"/>
        <v/>
      </c>
      <c r="AE387" s="3" t="str">
        <f t="shared" si="77"/>
        <v/>
      </c>
      <c r="AF387" s="3" t="str">
        <f t="shared" si="78"/>
        <v/>
      </c>
      <c r="AG387" s="3" t="str">
        <f t="shared" si="79"/>
        <v/>
      </c>
      <c r="AH387" s="3" t="str">
        <f t="shared" si="80"/>
        <v/>
      </c>
      <c r="AI387" s="3" t="str">
        <f t="shared" si="81"/>
        <v/>
      </c>
      <c r="AJ387" s="3" t="str">
        <f t="shared" si="82"/>
        <v/>
      </c>
      <c r="AK387" s="3" t="str">
        <f>IF(V387=0,"",_xlfn.CONCAT(DADOS!$A$8,X387:AJ387,"
"))</f>
        <v/>
      </c>
    </row>
    <row r="388" spans="5:37" ht="15" customHeight="1" x14ac:dyDescent="0.25">
      <c r="E388" s="22"/>
      <c r="F388" s="22"/>
      <c r="G388" s="12"/>
      <c r="H388" s="22"/>
      <c r="I388" s="13"/>
      <c r="J388" s="14"/>
      <c r="K388" s="12"/>
      <c r="L388" s="15"/>
      <c r="M388" s="16"/>
      <c r="N388" s="15"/>
      <c r="O388" s="16"/>
      <c r="P388" s="17"/>
      <c r="Q388" s="15"/>
      <c r="R388" s="18"/>
      <c r="S388" s="20">
        <v>374</v>
      </c>
      <c r="V388" s="3">
        <f t="shared" si="70"/>
        <v>0</v>
      </c>
      <c r="X388" s="3" t="str">
        <f t="shared" si="71"/>
        <v/>
      </c>
      <c r="Y388" s="3" t="str">
        <f t="shared" si="72"/>
        <v/>
      </c>
      <c r="Z388" s="3" t="str">
        <f t="shared" si="73"/>
        <v/>
      </c>
      <c r="AA388" s="3" t="str">
        <f t="shared" si="83"/>
        <v/>
      </c>
      <c r="AB388" s="3" t="str">
        <f t="shared" si="74"/>
        <v/>
      </c>
      <c r="AC388" s="3" t="str">
        <f t="shared" si="75"/>
        <v/>
      </c>
      <c r="AD388" s="3" t="str">
        <f t="shared" si="76"/>
        <v/>
      </c>
      <c r="AE388" s="3" t="str">
        <f t="shared" si="77"/>
        <v/>
      </c>
      <c r="AF388" s="3" t="str">
        <f t="shared" si="78"/>
        <v/>
      </c>
      <c r="AG388" s="3" t="str">
        <f t="shared" si="79"/>
        <v/>
      </c>
      <c r="AH388" s="3" t="str">
        <f t="shared" si="80"/>
        <v/>
      </c>
      <c r="AI388" s="3" t="str">
        <f t="shared" si="81"/>
        <v/>
      </c>
      <c r="AJ388" s="3" t="str">
        <f t="shared" si="82"/>
        <v/>
      </c>
      <c r="AK388" s="3" t="str">
        <f>IF(V388=0,"",_xlfn.CONCAT(DADOS!$A$8,X388:AJ388,"
"))</f>
        <v/>
      </c>
    </row>
    <row r="389" spans="5:37" ht="15" customHeight="1" x14ac:dyDescent="0.25">
      <c r="E389" s="22"/>
      <c r="F389" s="22"/>
      <c r="G389" s="12"/>
      <c r="H389" s="22"/>
      <c r="I389" s="13"/>
      <c r="J389" s="14"/>
      <c r="K389" s="12"/>
      <c r="L389" s="15"/>
      <c r="M389" s="16"/>
      <c r="N389" s="15"/>
      <c r="O389" s="16"/>
      <c r="P389" s="17"/>
      <c r="Q389" s="15"/>
      <c r="R389" s="18"/>
      <c r="S389" s="20">
        <v>375</v>
      </c>
      <c r="V389" s="3">
        <f t="shared" si="70"/>
        <v>0</v>
      </c>
      <c r="X389" s="3" t="str">
        <f t="shared" si="71"/>
        <v/>
      </c>
      <c r="Y389" s="3" t="str">
        <f t="shared" si="72"/>
        <v/>
      </c>
      <c r="Z389" s="3" t="str">
        <f t="shared" si="73"/>
        <v/>
      </c>
      <c r="AA389" s="3" t="str">
        <f t="shared" si="83"/>
        <v/>
      </c>
      <c r="AB389" s="3" t="str">
        <f t="shared" si="74"/>
        <v/>
      </c>
      <c r="AC389" s="3" t="str">
        <f t="shared" si="75"/>
        <v/>
      </c>
      <c r="AD389" s="3" t="str">
        <f t="shared" si="76"/>
        <v/>
      </c>
      <c r="AE389" s="3" t="str">
        <f t="shared" si="77"/>
        <v/>
      </c>
      <c r="AF389" s="3" t="str">
        <f t="shared" si="78"/>
        <v/>
      </c>
      <c r="AG389" s="3" t="str">
        <f t="shared" si="79"/>
        <v/>
      </c>
      <c r="AH389" s="3" t="str">
        <f t="shared" si="80"/>
        <v/>
      </c>
      <c r="AI389" s="3" t="str">
        <f t="shared" si="81"/>
        <v/>
      </c>
      <c r="AJ389" s="3" t="str">
        <f t="shared" si="82"/>
        <v/>
      </c>
      <c r="AK389" s="3" t="str">
        <f>IF(V389=0,"",_xlfn.CONCAT(DADOS!$A$8,X389:AJ389,"
"))</f>
        <v/>
      </c>
    </row>
    <row r="390" spans="5:37" ht="15" customHeight="1" x14ac:dyDescent="0.25">
      <c r="E390" s="22"/>
      <c r="F390" s="22"/>
      <c r="G390" s="12"/>
      <c r="H390" s="22"/>
      <c r="I390" s="13"/>
      <c r="J390" s="14"/>
      <c r="K390" s="12"/>
      <c r="L390" s="15"/>
      <c r="M390" s="16"/>
      <c r="N390" s="15"/>
      <c r="O390" s="16"/>
      <c r="P390" s="17"/>
      <c r="Q390" s="15"/>
      <c r="R390" s="18"/>
      <c r="S390" s="20">
        <v>376</v>
      </c>
      <c r="V390" s="3">
        <f t="shared" si="70"/>
        <v>0</v>
      </c>
      <c r="X390" s="3" t="str">
        <f t="shared" si="71"/>
        <v/>
      </c>
      <c r="Y390" s="3" t="str">
        <f t="shared" si="72"/>
        <v/>
      </c>
      <c r="Z390" s="3" t="str">
        <f t="shared" si="73"/>
        <v/>
      </c>
      <c r="AA390" s="3" t="str">
        <f t="shared" si="83"/>
        <v/>
      </c>
      <c r="AB390" s="3" t="str">
        <f t="shared" si="74"/>
        <v/>
      </c>
      <c r="AC390" s="3" t="str">
        <f t="shared" si="75"/>
        <v/>
      </c>
      <c r="AD390" s="3" t="str">
        <f t="shared" si="76"/>
        <v/>
      </c>
      <c r="AE390" s="3" t="str">
        <f t="shared" si="77"/>
        <v/>
      </c>
      <c r="AF390" s="3" t="str">
        <f t="shared" si="78"/>
        <v/>
      </c>
      <c r="AG390" s="3" t="str">
        <f t="shared" si="79"/>
        <v/>
      </c>
      <c r="AH390" s="3" t="str">
        <f t="shared" si="80"/>
        <v/>
      </c>
      <c r="AI390" s="3" t="str">
        <f t="shared" si="81"/>
        <v/>
      </c>
      <c r="AJ390" s="3" t="str">
        <f t="shared" si="82"/>
        <v/>
      </c>
      <c r="AK390" s="3" t="str">
        <f>IF(V390=0,"",_xlfn.CONCAT(DADOS!$A$8,X390:AJ390,"
"))</f>
        <v/>
      </c>
    </row>
    <row r="391" spans="5:37" ht="15" customHeight="1" x14ac:dyDescent="0.25">
      <c r="E391" s="22"/>
      <c r="F391" s="22"/>
      <c r="G391" s="12"/>
      <c r="H391" s="22"/>
      <c r="I391" s="13"/>
      <c r="J391" s="14"/>
      <c r="K391" s="12"/>
      <c r="L391" s="15"/>
      <c r="M391" s="16"/>
      <c r="N391" s="15"/>
      <c r="O391" s="16"/>
      <c r="P391" s="17"/>
      <c r="Q391" s="15"/>
      <c r="R391" s="18"/>
      <c r="S391" s="20">
        <v>377</v>
      </c>
      <c r="V391" s="3">
        <f t="shared" si="70"/>
        <v>0</v>
      </c>
      <c r="X391" s="3" t="str">
        <f t="shared" si="71"/>
        <v/>
      </c>
      <c r="Y391" s="3" t="str">
        <f t="shared" si="72"/>
        <v/>
      </c>
      <c r="Z391" s="3" t="str">
        <f t="shared" si="73"/>
        <v/>
      </c>
      <c r="AA391" s="3" t="str">
        <f t="shared" si="83"/>
        <v/>
      </c>
      <c r="AB391" s="3" t="str">
        <f t="shared" si="74"/>
        <v/>
      </c>
      <c r="AC391" s="3" t="str">
        <f t="shared" si="75"/>
        <v/>
      </c>
      <c r="AD391" s="3" t="str">
        <f t="shared" si="76"/>
        <v/>
      </c>
      <c r="AE391" s="3" t="str">
        <f t="shared" si="77"/>
        <v/>
      </c>
      <c r="AF391" s="3" t="str">
        <f t="shared" si="78"/>
        <v/>
      </c>
      <c r="AG391" s="3" t="str">
        <f t="shared" si="79"/>
        <v/>
      </c>
      <c r="AH391" s="3" t="str">
        <f t="shared" si="80"/>
        <v/>
      </c>
      <c r="AI391" s="3" t="str">
        <f t="shared" si="81"/>
        <v/>
      </c>
      <c r="AJ391" s="3" t="str">
        <f t="shared" si="82"/>
        <v/>
      </c>
      <c r="AK391" s="3" t="str">
        <f>IF(V391=0,"",_xlfn.CONCAT(DADOS!$A$8,X391:AJ391,"
"))</f>
        <v/>
      </c>
    </row>
    <row r="392" spans="5:37" ht="15" customHeight="1" x14ac:dyDescent="0.25">
      <c r="E392" s="22"/>
      <c r="F392" s="22"/>
      <c r="G392" s="12"/>
      <c r="H392" s="22"/>
      <c r="I392" s="13"/>
      <c r="J392" s="14"/>
      <c r="K392" s="12"/>
      <c r="L392" s="15"/>
      <c r="M392" s="16"/>
      <c r="N392" s="15"/>
      <c r="O392" s="16"/>
      <c r="P392" s="17"/>
      <c r="Q392" s="15"/>
      <c r="R392" s="18"/>
      <c r="S392" s="20">
        <v>378</v>
      </c>
      <c r="V392" s="3">
        <f t="shared" si="70"/>
        <v>0</v>
      </c>
      <c r="X392" s="3" t="str">
        <f t="shared" si="71"/>
        <v/>
      </c>
      <c r="Y392" s="3" t="str">
        <f t="shared" si="72"/>
        <v/>
      </c>
      <c r="Z392" s="3" t="str">
        <f t="shared" si="73"/>
        <v/>
      </c>
      <c r="AA392" s="3" t="str">
        <f t="shared" si="83"/>
        <v/>
      </c>
      <c r="AB392" s="3" t="str">
        <f t="shared" si="74"/>
        <v/>
      </c>
      <c r="AC392" s="3" t="str">
        <f t="shared" si="75"/>
        <v/>
      </c>
      <c r="AD392" s="3" t="str">
        <f t="shared" si="76"/>
        <v/>
      </c>
      <c r="AE392" s="3" t="str">
        <f t="shared" si="77"/>
        <v/>
      </c>
      <c r="AF392" s="3" t="str">
        <f t="shared" si="78"/>
        <v/>
      </c>
      <c r="AG392" s="3" t="str">
        <f t="shared" si="79"/>
        <v/>
      </c>
      <c r="AH392" s="3" t="str">
        <f t="shared" si="80"/>
        <v/>
      </c>
      <c r="AI392" s="3" t="str">
        <f t="shared" si="81"/>
        <v/>
      </c>
      <c r="AJ392" s="3" t="str">
        <f t="shared" si="82"/>
        <v/>
      </c>
      <c r="AK392" s="3" t="str">
        <f>IF(V392=0,"",_xlfn.CONCAT(DADOS!$A$8,X392:AJ392,"
"))</f>
        <v/>
      </c>
    </row>
    <row r="393" spans="5:37" ht="15" customHeight="1" x14ac:dyDescent="0.25">
      <c r="E393" s="22"/>
      <c r="F393" s="22"/>
      <c r="G393" s="12"/>
      <c r="H393" s="22"/>
      <c r="I393" s="13"/>
      <c r="J393" s="14"/>
      <c r="K393" s="12"/>
      <c r="L393" s="15"/>
      <c r="M393" s="16"/>
      <c r="N393" s="15"/>
      <c r="O393" s="16"/>
      <c r="P393" s="17"/>
      <c r="Q393" s="15"/>
      <c r="R393" s="18"/>
      <c r="S393" s="20">
        <v>379</v>
      </c>
      <c r="V393" s="3">
        <f t="shared" si="70"/>
        <v>0</v>
      </c>
      <c r="X393" s="3" t="str">
        <f t="shared" si="71"/>
        <v/>
      </c>
      <c r="Y393" s="3" t="str">
        <f t="shared" si="72"/>
        <v/>
      </c>
      <c r="Z393" s="3" t="str">
        <f t="shared" si="73"/>
        <v/>
      </c>
      <c r="AA393" s="3" t="str">
        <f t="shared" si="83"/>
        <v/>
      </c>
      <c r="AB393" s="3" t="str">
        <f t="shared" si="74"/>
        <v/>
      </c>
      <c r="AC393" s="3" t="str">
        <f t="shared" si="75"/>
        <v/>
      </c>
      <c r="AD393" s="3" t="str">
        <f t="shared" si="76"/>
        <v/>
      </c>
      <c r="AE393" s="3" t="str">
        <f t="shared" si="77"/>
        <v/>
      </c>
      <c r="AF393" s="3" t="str">
        <f t="shared" si="78"/>
        <v/>
      </c>
      <c r="AG393" s="3" t="str">
        <f t="shared" si="79"/>
        <v/>
      </c>
      <c r="AH393" s="3" t="str">
        <f t="shared" si="80"/>
        <v/>
      </c>
      <c r="AI393" s="3" t="str">
        <f t="shared" si="81"/>
        <v/>
      </c>
      <c r="AJ393" s="3" t="str">
        <f t="shared" si="82"/>
        <v/>
      </c>
      <c r="AK393" s="3" t="str">
        <f>IF(V393=0,"",_xlfn.CONCAT(DADOS!$A$8,X393:AJ393,"
"))</f>
        <v/>
      </c>
    </row>
    <row r="394" spans="5:37" ht="15" customHeight="1" x14ac:dyDescent="0.25">
      <c r="E394" s="22"/>
      <c r="F394" s="22"/>
      <c r="G394" s="12"/>
      <c r="H394" s="22"/>
      <c r="I394" s="13"/>
      <c r="J394" s="14"/>
      <c r="K394" s="12"/>
      <c r="L394" s="15"/>
      <c r="M394" s="16"/>
      <c r="N394" s="15"/>
      <c r="O394" s="16"/>
      <c r="P394" s="17"/>
      <c r="Q394" s="15"/>
      <c r="R394" s="18"/>
      <c r="S394" s="20">
        <v>380</v>
      </c>
      <c r="V394" s="3">
        <f t="shared" si="70"/>
        <v>0</v>
      </c>
      <c r="X394" s="3" t="str">
        <f t="shared" si="71"/>
        <v/>
      </c>
      <c r="Y394" s="3" t="str">
        <f t="shared" si="72"/>
        <v/>
      </c>
      <c r="Z394" s="3" t="str">
        <f t="shared" si="73"/>
        <v/>
      </c>
      <c r="AA394" s="3" t="str">
        <f t="shared" si="83"/>
        <v/>
      </c>
      <c r="AB394" s="3" t="str">
        <f t="shared" si="74"/>
        <v/>
      </c>
      <c r="AC394" s="3" t="str">
        <f t="shared" si="75"/>
        <v/>
      </c>
      <c r="AD394" s="3" t="str">
        <f t="shared" si="76"/>
        <v/>
      </c>
      <c r="AE394" s="3" t="str">
        <f t="shared" si="77"/>
        <v/>
      </c>
      <c r="AF394" s="3" t="str">
        <f t="shared" si="78"/>
        <v/>
      </c>
      <c r="AG394" s="3" t="str">
        <f t="shared" si="79"/>
        <v/>
      </c>
      <c r="AH394" s="3" t="str">
        <f t="shared" si="80"/>
        <v/>
      </c>
      <c r="AI394" s="3" t="str">
        <f t="shared" si="81"/>
        <v/>
      </c>
      <c r="AJ394" s="3" t="str">
        <f t="shared" si="82"/>
        <v/>
      </c>
      <c r="AK394" s="3" t="str">
        <f>IF(V394=0,"",_xlfn.CONCAT(DADOS!$A$8,X394:AJ394,"
"))</f>
        <v/>
      </c>
    </row>
    <row r="395" spans="5:37" ht="15" customHeight="1" x14ac:dyDescent="0.25">
      <c r="E395" s="22"/>
      <c r="F395" s="22"/>
      <c r="G395" s="12"/>
      <c r="H395" s="22"/>
      <c r="I395" s="13"/>
      <c r="J395" s="14"/>
      <c r="K395" s="12"/>
      <c r="L395" s="15"/>
      <c r="M395" s="16"/>
      <c r="N395" s="15"/>
      <c r="O395" s="16"/>
      <c r="P395" s="17"/>
      <c r="Q395" s="15"/>
      <c r="R395" s="18"/>
      <c r="S395" s="20">
        <v>381</v>
      </c>
      <c r="V395" s="3">
        <f t="shared" si="70"/>
        <v>0</v>
      </c>
      <c r="X395" s="3" t="str">
        <f t="shared" si="71"/>
        <v/>
      </c>
      <c r="Y395" s="3" t="str">
        <f t="shared" si="72"/>
        <v/>
      </c>
      <c r="Z395" s="3" t="str">
        <f t="shared" si="73"/>
        <v/>
      </c>
      <c r="AA395" s="3" t="str">
        <f t="shared" si="83"/>
        <v/>
      </c>
      <c r="AB395" s="3" t="str">
        <f t="shared" si="74"/>
        <v/>
      </c>
      <c r="AC395" s="3" t="str">
        <f t="shared" si="75"/>
        <v/>
      </c>
      <c r="AD395" s="3" t="str">
        <f t="shared" si="76"/>
        <v/>
      </c>
      <c r="AE395" s="3" t="str">
        <f t="shared" si="77"/>
        <v/>
      </c>
      <c r="AF395" s="3" t="str">
        <f t="shared" si="78"/>
        <v/>
      </c>
      <c r="AG395" s="3" t="str">
        <f t="shared" si="79"/>
        <v/>
      </c>
      <c r="AH395" s="3" t="str">
        <f t="shared" si="80"/>
        <v/>
      </c>
      <c r="AI395" s="3" t="str">
        <f t="shared" si="81"/>
        <v/>
      </c>
      <c r="AJ395" s="3" t="str">
        <f t="shared" si="82"/>
        <v/>
      </c>
      <c r="AK395" s="3" t="str">
        <f>IF(V395=0,"",_xlfn.CONCAT(DADOS!$A$8,X395:AJ395,"
"))</f>
        <v/>
      </c>
    </row>
    <row r="396" spans="5:37" ht="15" customHeight="1" x14ac:dyDescent="0.25">
      <c r="E396" s="22"/>
      <c r="F396" s="22"/>
      <c r="G396" s="12"/>
      <c r="H396" s="22"/>
      <c r="I396" s="13"/>
      <c r="J396" s="14"/>
      <c r="K396" s="12"/>
      <c r="L396" s="15"/>
      <c r="M396" s="16"/>
      <c r="N396" s="15"/>
      <c r="O396" s="16"/>
      <c r="P396" s="17"/>
      <c r="Q396" s="15"/>
      <c r="R396" s="18"/>
      <c r="S396" s="20">
        <v>382</v>
      </c>
      <c r="V396" s="3">
        <f t="shared" si="70"/>
        <v>0</v>
      </c>
      <c r="X396" s="3" t="str">
        <f t="shared" si="71"/>
        <v/>
      </c>
      <c r="Y396" s="3" t="str">
        <f t="shared" si="72"/>
        <v/>
      </c>
      <c r="Z396" s="3" t="str">
        <f t="shared" si="73"/>
        <v/>
      </c>
      <c r="AA396" s="3" t="str">
        <f t="shared" si="83"/>
        <v/>
      </c>
      <c r="AB396" s="3" t="str">
        <f t="shared" si="74"/>
        <v/>
      </c>
      <c r="AC396" s="3" t="str">
        <f t="shared" si="75"/>
        <v/>
      </c>
      <c r="AD396" s="3" t="str">
        <f t="shared" si="76"/>
        <v/>
      </c>
      <c r="AE396" s="3" t="str">
        <f t="shared" si="77"/>
        <v/>
      </c>
      <c r="AF396" s="3" t="str">
        <f t="shared" si="78"/>
        <v/>
      </c>
      <c r="AG396" s="3" t="str">
        <f t="shared" si="79"/>
        <v/>
      </c>
      <c r="AH396" s="3" t="str">
        <f t="shared" si="80"/>
        <v/>
      </c>
      <c r="AI396" s="3" t="str">
        <f t="shared" si="81"/>
        <v/>
      </c>
      <c r="AJ396" s="3" t="str">
        <f t="shared" si="82"/>
        <v/>
      </c>
      <c r="AK396" s="3" t="str">
        <f>IF(V396=0,"",_xlfn.CONCAT(DADOS!$A$8,X396:AJ396,"
"))</f>
        <v/>
      </c>
    </row>
    <row r="397" spans="5:37" ht="15" customHeight="1" x14ac:dyDescent="0.25">
      <c r="E397" s="22"/>
      <c r="F397" s="22"/>
      <c r="G397" s="12"/>
      <c r="H397" s="22"/>
      <c r="I397" s="13"/>
      <c r="J397" s="14"/>
      <c r="K397" s="12"/>
      <c r="L397" s="15"/>
      <c r="M397" s="16"/>
      <c r="N397" s="15"/>
      <c r="O397" s="16"/>
      <c r="P397" s="17"/>
      <c r="Q397" s="15"/>
      <c r="R397" s="18"/>
      <c r="S397" s="20">
        <v>383</v>
      </c>
      <c r="V397" s="3">
        <f t="shared" si="70"/>
        <v>0</v>
      </c>
      <c r="X397" s="3" t="str">
        <f t="shared" si="71"/>
        <v/>
      </c>
      <c r="Y397" s="3" t="str">
        <f t="shared" si="72"/>
        <v/>
      </c>
      <c r="Z397" s="3" t="str">
        <f t="shared" si="73"/>
        <v/>
      </c>
      <c r="AA397" s="3" t="str">
        <f t="shared" si="83"/>
        <v/>
      </c>
      <c r="AB397" s="3" t="str">
        <f t="shared" si="74"/>
        <v/>
      </c>
      <c r="AC397" s="3" t="str">
        <f t="shared" si="75"/>
        <v/>
      </c>
      <c r="AD397" s="3" t="str">
        <f t="shared" si="76"/>
        <v/>
      </c>
      <c r="AE397" s="3" t="str">
        <f t="shared" si="77"/>
        <v/>
      </c>
      <c r="AF397" s="3" t="str">
        <f t="shared" si="78"/>
        <v/>
      </c>
      <c r="AG397" s="3" t="str">
        <f t="shared" si="79"/>
        <v/>
      </c>
      <c r="AH397" s="3" t="str">
        <f t="shared" si="80"/>
        <v/>
      </c>
      <c r="AI397" s="3" t="str">
        <f t="shared" si="81"/>
        <v/>
      </c>
      <c r="AJ397" s="3" t="str">
        <f t="shared" si="82"/>
        <v/>
      </c>
      <c r="AK397" s="3" t="str">
        <f>IF(V397=0,"",_xlfn.CONCAT(DADOS!$A$8,X397:AJ397,"
"))</f>
        <v/>
      </c>
    </row>
    <row r="398" spans="5:37" ht="15" customHeight="1" x14ac:dyDescent="0.25">
      <c r="E398" s="22"/>
      <c r="F398" s="22"/>
      <c r="G398" s="12"/>
      <c r="H398" s="22"/>
      <c r="I398" s="13"/>
      <c r="J398" s="14"/>
      <c r="K398" s="12"/>
      <c r="L398" s="15"/>
      <c r="M398" s="16"/>
      <c r="N398" s="15"/>
      <c r="O398" s="16"/>
      <c r="P398" s="17"/>
      <c r="Q398" s="15"/>
      <c r="R398" s="18"/>
      <c r="S398" s="20">
        <v>384</v>
      </c>
      <c r="V398" s="3">
        <f t="shared" si="70"/>
        <v>0</v>
      </c>
      <c r="X398" s="3" t="str">
        <f t="shared" si="71"/>
        <v/>
      </c>
      <c r="Y398" s="3" t="str">
        <f t="shared" si="72"/>
        <v/>
      </c>
      <c r="Z398" s="3" t="str">
        <f t="shared" si="73"/>
        <v/>
      </c>
      <c r="AA398" s="3" t="str">
        <f t="shared" si="83"/>
        <v/>
      </c>
      <c r="AB398" s="3" t="str">
        <f t="shared" si="74"/>
        <v/>
      </c>
      <c r="AC398" s="3" t="str">
        <f t="shared" si="75"/>
        <v/>
      </c>
      <c r="AD398" s="3" t="str">
        <f t="shared" si="76"/>
        <v/>
      </c>
      <c r="AE398" s="3" t="str">
        <f t="shared" si="77"/>
        <v/>
      </c>
      <c r="AF398" s="3" t="str">
        <f t="shared" si="78"/>
        <v/>
      </c>
      <c r="AG398" s="3" t="str">
        <f t="shared" si="79"/>
        <v/>
      </c>
      <c r="AH398" s="3" t="str">
        <f t="shared" si="80"/>
        <v/>
      </c>
      <c r="AI398" s="3" t="str">
        <f t="shared" si="81"/>
        <v/>
      </c>
      <c r="AJ398" s="3" t="str">
        <f t="shared" si="82"/>
        <v/>
      </c>
      <c r="AK398" s="3" t="str">
        <f>IF(V398=0,"",_xlfn.CONCAT(DADOS!$A$8,X398:AJ398,"
"))</f>
        <v/>
      </c>
    </row>
    <row r="399" spans="5:37" ht="15" customHeight="1" x14ac:dyDescent="0.25">
      <c r="E399" s="22"/>
      <c r="F399" s="22"/>
      <c r="G399" s="12"/>
      <c r="H399" s="22"/>
      <c r="I399" s="13"/>
      <c r="J399" s="14"/>
      <c r="K399" s="12"/>
      <c r="L399" s="15"/>
      <c r="M399" s="16"/>
      <c r="N399" s="15"/>
      <c r="O399" s="16"/>
      <c r="P399" s="17"/>
      <c r="Q399" s="15"/>
      <c r="R399" s="18"/>
      <c r="S399" s="20">
        <v>385</v>
      </c>
      <c r="V399" s="3">
        <f t="shared" ref="V399:V462" si="84">IF(E399="",0,1)</f>
        <v>0</v>
      </c>
      <c r="X399" s="3" t="str">
        <f t="shared" ref="X399:X462" si="85">_xlfn.CONCAT(E399,IF(LEN(E399)=1,"  ",IF(LEN(E399)=2," ","")))</f>
        <v/>
      </c>
      <c r="Y399" s="3" t="str">
        <f t="shared" ref="Y399:Y462" si="86">_xlfn.CONCAT(F399,IF(LEN(F399)=1,"  ",IF(LEN(F399)=2," ","")))</f>
        <v/>
      </c>
      <c r="Z399" s="3" t="str">
        <f t="shared" ref="Z399:Z462" si="87">IF(V399=0,"",G399)</f>
        <v/>
      </c>
      <c r="AA399" s="3" t="str">
        <f t="shared" si="83"/>
        <v/>
      </c>
      <c r="AB399" s="3" t="str">
        <f t="shared" ref="AB399:AB462" si="88">IF(V399=0,"",IF(LEN(I399)=1,_xlfn.CONCAT(0,I399),I399))</f>
        <v/>
      </c>
      <c r="AC399" s="3" t="str">
        <f t="shared" ref="AC399:AC462" si="89">IF(I399=20,"",(IF(I399=8,IF(LEN(J399)=1,_xlfn.CONCAT("00",J399),IF(LEN(J399)=2,_xlfn.CONCAT("0",J399),J399)),"")))</f>
        <v/>
      </c>
      <c r="AD399" s="3" t="str">
        <f t="shared" ref="AD399:AD462" si="90">IF(I399=20,"",IF(I399=8,IF(LEN(K399)=1,_xlfn.CONCAT(0,K399),K399),""))</f>
        <v/>
      </c>
      <c r="AE399" s="3" t="str">
        <f t="shared" ref="AE399:AE462" si="91">IF(I399=8,L399,"")</f>
        <v/>
      </c>
      <c r="AF399" s="3" t="str">
        <f t="shared" ref="AF399:AF462" si="92">IF(V399=0,"",IF($I399=20,"",IF(LEN(M399)=1,_xlfn.CONCAT("00",M399),IF(LEN(M399)=2,_xlfn.CONCAT("0",M399),M399))))</f>
        <v/>
      </c>
      <c r="AG399" s="3" t="str">
        <f t="shared" ref="AG399:AG462" si="93">IF(V399=0,"",IF($I399=20,"",IF(LEN(N399)=1,_xlfn.CONCAT(0,N399),N399)))</f>
        <v/>
      </c>
      <c r="AH399" s="3" t="str">
        <f t="shared" ref="AH399:AH462" si="94">IF(V399=0,"",IF($I399=20,"",IF(LEN(P399)=3,_xlfn.CONCAT("00",P399),_xlfn.CONCAT("0",P399))))</f>
        <v/>
      </c>
      <c r="AI399" s="3" t="str">
        <f t="shared" ref="AI399:AI462" si="95">IF(V399=0,"",IF(I399=20,"",_xlfn.CONCAT(R399,"0",$AJ$14)))</f>
        <v/>
      </c>
      <c r="AJ399" s="3" t="str">
        <f t="shared" ref="AJ399:AJ462" si="96">IF(V399=0,"",IF(LEN(R399)&lt;4,$AJ$14,""))</f>
        <v/>
      </c>
      <c r="AK399" s="3" t="str">
        <f>IF(V399=0,"",_xlfn.CONCAT(DADOS!$A$8,X399:AJ399,"
"))</f>
        <v/>
      </c>
    </row>
    <row r="400" spans="5:37" ht="15" customHeight="1" x14ac:dyDescent="0.25">
      <c r="E400" s="22"/>
      <c r="F400" s="22"/>
      <c r="G400" s="12"/>
      <c r="H400" s="22"/>
      <c r="I400" s="13"/>
      <c r="J400" s="14"/>
      <c r="K400" s="12"/>
      <c r="L400" s="15"/>
      <c r="M400" s="16"/>
      <c r="N400" s="15"/>
      <c r="O400" s="16"/>
      <c r="P400" s="17"/>
      <c r="Q400" s="15"/>
      <c r="R400" s="18"/>
      <c r="S400" s="20">
        <v>386</v>
      </c>
      <c r="V400" s="3">
        <f t="shared" si="84"/>
        <v>0</v>
      </c>
      <c r="X400" s="3" t="str">
        <f t="shared" si="85"/>
        <v/>
      </c>
      <c r="Y400" s="3" t="str">
        <f t="shared" si="86"/>
        <v/>
      </c>
      <c r="Z400" s="3" t="str">
        <f t="shared" si="87"/>
        <v/>
      </c>
      <c r="AA400" s="3" t="str">
        <f t="shared" ref="AA400:AA463" si="97">IF(OR(G400=0,G400=4),"",H400)</f>
        <v/>
      </c>
      <c r="AB400" s="3" t="str">
        <f t="shared" si="88"/>
        <v/>
      </c>
      <c r="AC400" s="3" t="str">
        <f t="shared" si="89"/>
        <v/>
      </c>
      <c r="AD400" s="3" t="str">
        <f t="shared" si="90"/>
        <v/>
      </c>
      <c r="AE400" s="3" t="str">
        <f t="shared" si="91"/>
        <v/>
      </c>
      <c r="AF400" s="3" t="str">
        <f t="shared" si="92"/>
        <v/>
      </c>
      <c r="AG400" s="3" t="str">
        <f t="shared" si="93"/>
        <v/>
      </c>
      <c r="AH400" s="3" t="str">
        <f t="shared" si="94"/>
        <v/>
      </c>
      <c r="AI400" s="3" t="str">
        <f t="shared" si="95"/>
        <v/>
      </c>
      <c r="AJ400" s="3" t="str">
        <f t="shared" si="96"/>
        <v/>
      </c>
      <c r="AK400" s="3" t="str">
        <f>IF(V400=0,"",_xlfn.CONCAT(DADOS!$A$8,X400:AJ400,"
"))</f>
        <v/>
      </c>
    </row>
    <row r="401" spans="5:37" ht="15" customHeight="1" x14ac:dyDescent="0.25">
      <c r="E401" s="22"/>
      <c r="F401" s="22"/>
      <c r="G401" s="12"/>
      <c r="H401" s="22"/>
      <c r="I401" s="13"/>
      <c r="J401" s="14"/>
      <c r="K401" s="12"/>
      <c r="L401" s="15"/>
      <c r="M401" s="16"/>
      <c r="N401" s="15"/>
      <c r="O401" s="16"/>
      <c r="P401" s="17"/>
      <c r="Q401" s="15"/>
      <c r="R401" s="18"/>
      <c r="S401" s="20">
        <v>387</v>
      </c>
      <c r="V401" s="3">
        <f t="shared" si="84"/>
        <v>0</v>
      </c>
      <c r="X401" s="3" t="str">
        <f t="shared" si="85"/>
        <v/>
      </c>
      <c r="Y401" s="3" t="str">
        <f t="shared" si="86"/>
        <v/>
      </c>
      <c r="Z401" s="3" t="str">
        <f t="shared" si="87"/>
        <v/>
      </c>
      <c r="AA401" s="3" t="str">
        <f t="shared" si="97"/>
        <v/>
      </c>
      <c r="AB401" s="3" t="str">
        <f t="shared" si="88"/>
        <v/>
      </c>
      <c r="AC401" s="3" t="str">
        <f t="shared" si="89"/>
        <v/>
      </c>
      <c r="AD401" s="3" t="str">
        <f t="shared" si="90"/>
        <v/>
      </c>
      <c r="AE401" s="3" t="str">
        <f t="shared" si="91"/>
        <v/>
      </c>
      <c r="AF401" s="3" t="str">
        <f t="shared" si="92"/>
        <v/>
      </c>
      <c r="AG401" s="3" t="str">
        <f t="shared" si="93"/>
        <v/>
      </c>
      <c r="AH401" s="3" t="str">
        <f t="shared" si="94"/>
        <v/>
      </c>
      <c r="AI401" s="3" t="str">
        <f t="shared" si="95"/>
        <v/>
      </c>
      <c r="AJ401" s="3" t="str">
        <f t="shared" si="96"/>
        <v/>
      </c>
      <c r="AK401" s="3" t="str">
        <f>IF(V401=0,"",_xlfn.CONCAT(DADOS!$A$8,X401:AJ401,"
"))</f>
        <v/>
      </c>
    </row>
    <row r="402" spans="5:37" ht="15" customHeight="1" x14ac:dyDescent="0.25">
      <c r="E402" s="22"/>
      <c r="F402" s="22"/>
      <c r="G402" s="12"/>
      <c r="H402" s="22"/>
      <c r="I402" s="13"/>
      <c r="J402" s="14"/>
      <c r="K402" s="12"/>
      <c r="L402" s="15"/>
      <c r="M402" s="16"/>
      <c r="N402" s="15"/>
      <c r="O402" s="16"/>
      <c r="P402" s="17"/>
      <c r="Q402" s="15"/>
      <c r="R402" s="18"/>
      <c r="S402" s="20">
        <v>388</v>
      </c>
      <c r="V402" s="3">
        <f t="shared" si="84"/>
        <v>0</v>
      </c>
      <c r="X402" s="3" t="str">
        <f t="shared" si="85"/>
        <v/>
      </c>
      <c r="Y402" s="3" t="str">
        <f t="shared" si="86"/>
        <v/>
      </c>
      <c r="Z402" s="3" t="str">
        <f t="shared" si="87"/>
        <v/>
      </c>
      <c r="AA402" s="3" t="str">
        <f t="shared" si="97"/>
        <v/>
      </c>
      <c r="AB402" s="3" t="str">
        <f t="shared" si="88"/>
        <v/>
      </c>
      <c r="AC402" s="3" t="str">
        <f t="shared" si="89"/>
        <v/>
      </c>
      <c r="AD402" s="3" t="str">
        <f t="shared" si="90"/>
        <v/>
      </c>
      <c r="AE402" s="3" t="str">
        <f t="shared" si="91"/>
        <v/>
      </c>
      <c r="AF402" s="3" t="str">
        <f t="shared" si="92"/>
        <v/>
      </c>
      <c r="AG402" s="3" t="str">
        <f t="shared" si="93"/>
        <v/>
      </c>
      <c r="AH402" s="3" t="str">
        <f t="shared" si="94"/>
        <v/>
      </c>
      <c r="AI402" s="3" t="str">
        <f t="shared" si="95"/>
        <v/>
      </c>
      <c r="AJ402" s="3" t="str">
        <f t="shared" si="96"/>
        <v/>
      </c>
      <c r="AK402" s="3" t="str">
        <f>IF(V402=0,"",_xlfn.CONCAT(DADOS!$A$8,X402:AJ402,"
"))</f>
        <v/>
      </c>
    </row>
    <row r="403" spans="5:37" ht="15" customHeight="1" x14ac:dyDescent="0.25">
      <c r="E403" s="22"/>
      <c r="F403" s="22"/>
      <c r="G403" s="12"/>
      <c r="H403" s="22"/>
      <c r="I403" s="13"/>
      <c r="J403" s="14"/>
      <c r="K403" s="12"/>
      <c r="L403" s="15"/>
      <c r="M403" s="16"/>
      <c r="N403" s="15"/>
      <c r="O403" s="16"/>
      <c r="P403" s="17"/>
      <c r="Q403" s="15"/>
      <c r="R403" s="18"/>
      <c r="S403" s="20">
        <v>389</v>
      </c>
      <c r="V403" s="3">
        <f t="shared" si="84"/>
        <v>0</v>
      </c>
      <c r="X403" s="3" t="str">
        <f t="shared" si="85"/>
        <v/>
      </c>
      <c r="Y403" s="3" t="str">
        <f t="shared" si="86"/>
        <v/>
      </c>
      <c r="Z403" s="3" t="str">
        <f t="shared" si="87"/>
        <v/>
      </c>
      <c r="AA403" s="3" t="str">
        <f t="shared" si="97"/>
        <v/>
      </c>
      <c r="AB403" s="3" t="str">
        <f t="shared" si="88"/>
        <v/>
      </c>
      <c r="AC403" s="3" t="str">
        <f t="shared" si="89"/>
        <v/>
      </c>
      <c r="AD403" s="3" t="str">
        <f t="shared" si="90"/>
        <v/>
      </c>
      <c r="AE403" s="3" t="str">
        <f t="shared" si="91"/>
        <v/>
      </c>
      <c r="AF403" s="3" t="str">
        <f t="shared" si="92"/>
        <v/>
      </c>
      <c r="AG403" s="3" t="str">
        <f t="shared" si="93"/>
        <v/>
      </c>
      <c r="AH403" s="3" t="str">
        <f t="shared" si="94"/>
        <v/>
      </c>
      <c r="AI403" s="3" t="str">
        <f t="shared" si="95"/>
        <v/>
      </c>
      <c r="AJ403" s="3" t="str">
        <f t="shared" si="96"/>
        <v/>
      </c>
      <c r="AK403" s="3" t="str">
        <f>IF(V403=0,"",_xlfn.CONCAT(DADOS!$A$8,X403:AJ403,"
"))</f>
        <v/>
      </c>
    </row>
    <row r="404" spans="5:37" ht="15" customHeight="1" x14ac:dyDescent="0.25">
      <c r="E404" s="22"/>
      <c r="F404" s="22"/>
      <c r="G404" s="12"/>
      <c r="H404" s="22"/>
      <c r="I404" s="13"/>
      <c r="J404" s="14"/>
      <c r="K404" s="12"/>
      <c r="L404" s="15"/>
      <c r="M404" s="16"/>
      <c r="N404" s="15"/>
      <c r="O404" s="16"/>
      <c r="P404" s="17"/>
      <c r="Q404" s="15"/>
      <c r="R404" s="18"/>
      <c r="S404" s="20">
        <v>390</v>
      </c>
      <c r="V404" s="3">
        <f t="shared" si="84"/>
        <v>0</v>
      </c>
      <c r="X404" s="3" t="str">
        <f t="shared" si="85"/>
        <v/>
      </c>
      <c r="Y404" s="3" t="str">
        <f t="shared" si="86"/>
        <v/>
      </c>
      <c r="Z404" s="3" t="str">
        <f t="shared" si="87"/>
        <v/>
      </c>
      <c r="AA404" s="3" t="str">
        <f t="shared" si="97"/>
        <v/>
      </c>
      <c r="AB404" s="3" t="str">
        <f t="shared" si="88"/>
        <v/>
      </c>
      <c r="AC404" s="3" t="str">
        <f t="shared" si="89"/>
        <v/>
      </c>
      <c r="AD404" s="3" t="str">
        <f t="shared" si="90"/>
        <v/>
      </c>
      <c r="AE404" s="3" t="str">
        <f t="shared" si="91"/>
        <v/>
      </c>
      <c r="AF404" s="3" t="str">
        <f t="shared" si="92"/>
        <v/>
      </c>
      <c r="AG404" s="3" t="str">
        <f t="shared" si="93"/>
        <v/>
      </c>
      <c r="AH404" s="3" t="str">
        <f t="shared" si="94"/>
        <v/>
      </c>
      <c r="AI404" s="3" t="str">
        <f t="shared" si="95"/>
        <v/>
      </c>
      <c r="AJ404" s="3" t="str">
        <f t="shared" si="96"/>
        <v/>
      </c>
      <c r="AK404" s="3" t="str">
        <f>IF(V404=0,"",_xlfn.CONCAT(DADOS!$A$8,X404:AJ404,"
"))</f>
        <v/>
      </c>
    </row>
    <row r="405" spans="5:37" ht="15" customHeight="1" x14ac:dyDescent="0.25">
      <c r="E405" s="22"/>
      <c r="F405" s="22"/>
      <c r="G405" s="12"/>
      <c r="H405" s="22"/>
      <c r="I405" s="13"/>
      <c r="J405" s="14"/>
      <c r="K405" s="12"/>
      <c r="L405" s="15"/>
      <c r="M405" s="16"/>
      <c r="N405" s="15"/>
      <c r="O405" s="16"/>
      <c r="P405" s="17"/>
      <c r="Q405" s="15"/>
      <c r="R405" s="18"/>
      <c r="S405" s="20">
        <v>391</v>
      </c>
      <c r="V405" s="3">
        <f t="shared" si="84"/>
        <v>0</v>
      </c>
      <c r="X405" s="3" t="str">
        <f t="shared" si="85"/>
        <v/>
      </c>
      <c r="Y405" s="3" t="str">
        <f t="shared" si="86"/>
        <v/>
      </c>
      <c r="Z405" s="3" t="str">
        <f t="shared" si="87"/>
        <v/>
      </c>
      <c r="AA405" s="3" t="str">
        <f t="shared" si="97"/>
        <v/>
      </c>
      <c r="AB405" s="3" t="str">
        <f t="shared" si="88"/>
        <v/>
      </c>
      <c r="AC405" s="3" t="str">
        <f t="shared" si="89"/>
        <v/>
      </c>
      <c r="AD405" s="3" t="str">
        <f t="shared" si="90"/>
        <v/>
      </c>
      <c r="AE405" s="3" t="str">
        <f t="shared" si="91"/>
        <v/>
      </c>
      <c r="AF405" s="3" t="str">
        <f t="shared" si="92"/>
        <v/>
      </c>
      <c r="AG405" s="3" t="str">
        <f t="shared" si="93"/>
        <v/>
      </c>
      <c r="AH405" s="3" t="str">
        <f t="shared" si="94"/>
        <v/>
      </c>
      <c r="AI405" s="3" t="str">
        <f t="shared" si="95"/>
        <v/>
      </c>
      <c r="AJ405" s="3" t="str">
        <f t="shared" si="96"/>
        <v/>
      </c>
      <c r="AK405" s="3" t="str">
        <f>IF(V405=0,"",_xlfn.CONCAT(DADOS!$A$8,X405:AJ405,"
"))</f>
        <v/>
      </c>
    </row>
    <row r="406" spans="5:37" ht="15" customHeight="1" x14ac:dyDescent="0.25">
      <c r="E406" s="22"/>
      <c r="F406" s="22"/>
      <c r="G406" s="12"/>
      <c r="H406" s="22"/>
      <c r="I406" s="13"/>
      <c r="J406" s="14"/>
      <c r="K406" s="12"/>
      <c r="L406" s="15"/>
      <c r="M406" s="16"/>
      <c r="N406" s="15"/>
      <c r="O406" s="16"/>
      <c r="P406" s="17"/>
      <c r="Q406" s="15"/>
      <c r="R406" s="18"/>
      <c r="S406" s="20">
        <v>392</v>
      </c>
      <c r="V406" s="3">
        <f t="shared" si="84"/>
        <v>0</v>
      </c>
      <c r="X406" s="3" t="str">
        <f t="shared" si="85"/>
        <v/>
      </c>
      <c r="Y406" s="3" t="str">
        <f t="shared" si="86"/>
        <v/>
      </c>
      <c r="Z406" s="3" t="str">
        <f t="shared" si="87"/>
        <v/>
      </c>
      <c r="AA406" s="3" t="str">
        <f t="shared" si="97"/>
        <v/>
      </c>
      <c r="AB406" s="3" t="str">
        <f t="shared" si="88"/>
        <v/>
      </c>
      <c r="AC406" s="3" t="str">
        <f t="shared" si="89"/>
        <v/>
      </c>
      <c r="AD406" s="3" t="str">
        <f t="shared" si="90"/>
        <v/>
      </c>
      <c r="AE406" s="3" t="str">
        <f t="shared" si="91"/>
        <v/>
      </c>
      <c r="AF406" s="3" t="str">
        <f t="shared" si="92"/>
        <v/>
      </c>
      <c r="AG406" s="3" t="str">
        <f t="shared" si="93"/>
        <v/>
      </c>
      <c r="AH406" s="3" t="str">
        <f t="shared" si="94"/>
        <v/>
      </c>
      <c r="AI406" s="3" t="str">
        <f t="shared" si="95"/>
        <v/>
      </c>
      <c r="AJ406" s="3" t="str">
        <f t="shared" si="96"/>
        <v/>
      </c>
      <c r="AK406" s="3" t="str">
        <f>IF(V406=0,"",_xlfn.CONCAT(DADOS!$A$8,X406:AJ406,"
"))</f>
        <v/>
      </c>
    </row>
    <row r="407" spans="5:37" ht="15" customHeight="1" x14ac:dyDescent="0.25">
      <c r="E407" s="22"/>
      <c r="F407" s="22"/>
      <c r="G407" s="12"/>
      <c r="H407" s="22"/>
      <c r="I407" s="13"/>
      <c r="J407" s="14"/>
      <c r="K407" s="12"/>
      <c r="L407" s="15"/>
      <c r="M407" s="16"/>
      <c r="N407" s="15"/>
      <c r="O407" s="16"/>
      <c r="P407" s="17"/>
      <c r="Q407" s="15"/>
      <c r="R407" s="18"/>
      <c r="S407" s="20">
        <v>393</v>
      </c>
      <c r="V407" s="3">
        <f t="shared" si="84"/>
        <v>0</v>
      </c>
      <c r="X407" s="3" t="str">
        <f t="shared" si="85"/>
        <v/>
      </c>
      <c r="Y407" s="3" t="str">
        <f t="shared" si="86"/>
        <v/>
      </c>
      <c r="Z407" s="3" t="str">
        <f t="shared" si="87"/>
        <v/>
      </c>
      <c r="AA407" s="3" t="str">
        <f t="shared" si="97"/>
        <v/>
      </c>
      <c r="AB407" s="3" t="str">
        <f t="shared" si="88"/>
        <v/>
      </c>
      <c r="AC407" s="3" t="str">
        <f t="shared" si="89"/>
        <v/>
      </c>
      <c r="AD407" s="3" t="str">
        <f t="shared" si="90"/>
        <v/>
      </c>
      <c r="AE407" s="3" t="str">
        <f t="shared" si="91"/>
        <v/>
      </c>
      <c r="AF407" s="3" t="str">
        <f t="shared" si="92"/>
        <v/>
      </c>
      <c r="AG407" s="3" t="str">
        <f t="shared" si="93"/>
        <v/>
      </c>
      <c r="AH407" s="3" t="str">
        <f t="shared" si="94"/>
        <v/>
      </c>
      <c r="AI407" s="3" t="str">
        <f t="shared" si="95"/>
        <v/>
      </c>
      <c r="AJ407" s="3" t="str">
        <f t="shared" si="96"/>
        <v/>
      </c>
      <c r="AK407" s="3" t="str">
        <f>IF(V407=0,"",_xlfn.CONCAT(DADOS!$A$8,X407:AJ407,"
"))</f>
        <v/>
      </c>
    </row>
    <row r="408" spans="5:37" ht="15" customHeight="1" x14ac:dyDescent="0.25">
      <c r="E408" s="22"/>
      <c r="F408" s="22"/>
      <c r="G408" s="12"/>
      <c r="H408" s="22"/>
      <c r="I408" s="13"/>
      <c r="J408" s="14"/>
      <c r="K408" s="12"/>
      <c r="L408" s="15"/>
      <c r="M408" s="16"/>
      <c r="N408" s="15"/>
      <c r="O408" s="16"/>
      <c r="P408" s="17"/>
      <c r="Q408" s="15"/>
      <c r="R408" s="18"/>
      <c r="S408" s="20">
        <v>394</v>
      </c>
      <c r="V408" s="3">
        <f t="shared" si="84"/>
        <v>0</v>
      </c>
      <c r="X408" s="3" t="str">
        <f t="shared" si="85"/>
        <v/>
      </c>
      <c r="Y408" s="3" t="str">
        <f t="shared" si="86"/>
        <v/>
      </c>
      <c r="Z408" s="3" t="str">
        <f t="shared" si="87"/>
        <v/>
      </c>
      <c r="AA408" s="3" t="str">
        <f t="shared" si="97"/>
        <v/>
      </c>
      <c r="AB408" s="3" t="str">
        <f t="shared" si="88"/>
        <v/>
      </c>
      <c r="AC408" s="3" t="str">
        <f t="shared" si="89"/>
        <v/>
      </c>
      <c r="AD408" s="3" t="str">
        <f t="shared" si="90"/>
        <v/>
      </c>
      <c r="AE408" s="3" t="str">
        <f t="shared" si="91"/>
        <v/>
      </c>
      <c r="AF408" s="3" t="str">
        <f t="shared" si="92"/>
        <v/>
      </c>
      <c r="AG408" s="3" t="str">
        <f t="shared" si="93"/>
        <v/>
      </c>
      <c r="AH408" s="3" t="str">
        <f t="shared" si="94"/>
        <v/>
      </c>
      <c r="AI408" s="3" t="str">
        <f t="shared" si="95"/>
        <v/>
      </c>
      <c r="AJ408" s="3" t="str">
        <f t="shared" si="96"/>
        <v/>
      </c>
      <c r="AK408" s="3" t="str">
        <f>IF(V408=0,"",_xlfn.CONCAT(DADOS!$A$8,X408:AJ408,"
"))</f>
        <v/>
      </c>
    </row>
    <row r="409" spans="5:37" ht="15" customHeight="1" x14ac:dyDescent="0.25">
      <c r="E409" s="22"/>
      <c r="F409" s="22"/>
      <c r="G409" s="12"/>
      <c r="H409" s="22"/>
      <c r="I409" s="13"/>
      <c r="J409" s="14"/>
      <c r="K409" s="12"/>
      <c r="L409" s="15"/>
      <c r="M409" s="16"/>
      <c r="N409" s="15"/>
      <c r="O409" s="16"/>
      <c r="P409" s="17"/>
      <c r="Q409" s="15"/>
      <c r="R409" s="18"/>
      <c r="S409" s="20">
        <v>395</v>
      </c>
      <c r="V409" s="3">
        <f t="shared" si="84"/>
        <v>0</v>
      </c>
      <c r="X409" s="3" t="str">
        <f t="shared" si="85"/>
        <v/>
      </c>
      <c r="Y409" s="3" t="str">
        <f t="shared" si="86"/>
        <v/>
      </c>
      <c r="Z409" s="3" t="str">
        <f t="shared" si="87"/>
        <v/>
      </c>
      <c r="AA409" s="3" t="str">
        <f t="shared" si="97"/>
        <v/>
      </c>
      <c r="AB409" s="3" t="str">
        <f t="shared" si="88"/>
        <v/>
      </c>
      <c r="AC409" s="3" t="str">
        <f t="shared" si="89"/>
        <v/>
      </c>
      <c r="AD409" s="3" t="str">
        <f t="shared" si="90"/>
        <v/>
      </c>
      <c r="AE409" s="3" t="str">
        <f t="shared" si="91"/>
        <v/>
      </c>
      <c r="AF409" s="3" t="str">
        <f t="shared" si="92"/>
        <v/>
      </c>
      <c r="AG409" s="3" t="str">
        <f t="shared" si="93"/>
        <v/>
      </c>
      <c r="AH409" s="3" t="str">
        <f t="shared" si="94"/>
        <v/>
      </c>
      <c r="AI409" s="3" t="str">
        <f t="shared" si="95"/>
        <v/>
      </c>
      <c r="AJ409" s="3" t="str">
        <f t="shared" si="96"/>
        <v/>
      </c>
      <c r="AK409" s="3" t="str">
        <f>IF(V409=0,"",_xlfn.CONCAT(DADOS!$A$8,X409:AJ409,"
"))</f>
        <v/>
      </c>
    </row>
    <row r="410" spans="5:37" ht="15" customHeight="1" x14ac:dyDescent="0.25">
      <c r="E410" s="22"/>
      <c r="F410" s="22"/>
      <c r="G410" s="12"/>
      <c r="H410" s="22"/>
      <c r="I410" s="13"/>
      <c r="J410" s="14"/>
      <c r="K410" s="12"/>
      <c r="L410" s="15"/>
      <c r="M410" s="16"/>
      <c r="N410" s="15"/>
      <c r="O410" s="16"/>
      <c r="P410" s="17"/>
      <c r="Q410" s="15"/>
      <c r="R410" s="18"/>
      <c r="S410" s="20">
        <v>396</v>
      </c>
      <c r="V410" s="3">
        <f t="shared" si="84"/>
        <v>0</v>
      </c>
      <c r="X410" s="3" t="str">
        <f t="shared" si="85"/>
        <v/>
      </c>
      <c r="Y410" s="3" t="str">
        <f t="shared" si="86"/>
        <v/>
      </c>
      <c r="Z410" s="3" t="str">
        <f t="shared" si="87"/>
        <v/>
      </c>
      <c r="AA410" s="3" t="str">
        <f t="shared" si="97"/>
        <v/>
      </c>
      <c r="AB410" s="3" t="str">
        <f t="shared" si="88"/>
        <v/>
      </c>
      <c r="AC410" s="3" t="str">
        <f t="shared" si="89"/>
        <v/>
      </c>
      <c r="AD410" s="3" t="str">
        <f t="shared" si="90"/>
        <v/>
      </c>
      <c r="AE410" s="3" t="str">
        <f t="shared" si="91"/>
        <v/>
      </c>
      <c r="AF410" s="3" t="str">
        <f t="shared" si="92"/>
        <v/>
      </c>
      <c r="AG410" s="3" t="str">
        <f t="shared" si="93"/>
        <v/>
      </c>
      <c r="AH410" s="3" t="str">
        <f t="shared" si="94"/>
        <v/>
      </c>
      <c r="AI410" s="3" t="str">
        <f t="shared" si="95"/>
        <v/>
      </c>
      <c r="AJ410" s="3" t="str">
        <f t="shared" si="96"/>
        <v/>
      </c>
      <c r="AK410" s="3" t="str">
        <f>IF(V410=0,"",_xlfn.CONCAT(DADOS!$A$8,X410:AJ410,"
"))</f>
        <v/>
      </c>
    </row>
    <row r="411" spans="5:37" ht="15" customHeight="1" x14ac:dyDescent="0.25">
      <c r="E411" s="22"/>
      <c r="F411" s="22"/>
      <c r="G411" s="12"/>
      <c r="H411" s="22"/>
      <c r="I411" s="13"/>
      <c r="J411" s="14"/>
      <c r="K411" s="12"/>
      <c r="L411" s="15"/>
      <c r="M411" s="16"/>
      <c r="N411" s="15"/>
      <c r="O411" s="16"/>
      <c r="P411" s="17"/>
      <c r="Q411" s="15"/>
      <c r="R411" s="18"/>
      <c r="S411" s="20">
        <v>397</v>
      </c>
      <c r="V411" s="3">
        <f t="shared" si="84"/>
        <v>0</v>
      </c>
      <c r="X411" s="3" t="str">
        <f t="shared" si="85"/>
        <v/>
      </c>
      <c r="Y411" s="3" t="str">
        <f t="shared" si="86"/>
        <v/>
      </c>
      <c r="Z411" s="3" t="str">
        <f t="shared" si="87"/>
        <v/>
      </c>
      <c r="AA411" s="3" t="str">
        <f t="shared" si="97"/>
        <v/>
      </c>
      <c r="AB411" s="3" t="str">
        <f t="shared" si="88"/>
        <v/>
      </c>
      <c r="AC411" s="3" t="str">
        <f t="shared" si="89"/>
        <v/>
      </c>
      <c r="AD411" s="3" t="str">
        <f t="shared" si="90"/>
        <v/>
      </c>
      <c r="AE411" s="3" t="str">
        <f t="shared" si="91"/>
        <v/>
      </c>
      <c r="AF411" s="3" t="str">
        <f t="shared" si="92"/>
        <v/>
      </c>
      <c r="AG411" s="3" t="str">
        <f t="shared" si="93"/>
        <v/>
      </c>
      <c r="AH411" s="3" t="str">
        <f t="shared" si="94"/>
        <v/>
      </c>
      <c r="AI411" s="3" t="str">
        <f t="shared" si="95"/>
        <v/>
      </c>
      <c r="AJ411" s="3" t="str">
        <f t="shared" si="96"/>
        <v/>
      </c>
      <c r="AK411" s="3" t="str">
        <f>IF(V411=0,"",_xlfn.CONCAT(DADOS!$A$8,X411:AJ411,"
"))</f>
        <v/>
      </c>
    </row>
    <row r="412" spans="5:37" ht="15" customHeight="1" x14ac:dyDescent="0.25">
      <c r="E412" s="22"/>
      <c r="F412" s="22"/>
      <c r="G412" s="12"/>
      <c r="H412" s="22"/>
      <c r="I412" s="13"/>
      <c r="J412" s="14"/>
      <c r="K412" s="12"/>
      <c r="L412" s="15"/>
      <c r="M412" s="16"/>
      <c r="N412" s="15"/>
      <c r="O412" s="16"/>
      <c r="P412" s="17"/>
      <c r="Q412" s="15"/>
      <c r="R412" s="18"/>
      <c r="S412" s="20">
        <v>398</v>
      </c>
      <c r="V412" s="3">
        <f t="shared" si="84"/>
        <v>0</v>
      </c>
      <c r="X412" s="3" t="str">
        <f t="shared" si="85"/>
        <v/>
      </c>
      <c r="Y412" s="3" t="str">
        <f t="shared" si="86"/>
        <v/>
      </c>
      <c r="Z412" s="3" t="str">
        <f t="shared" si="87"/>
        <v/>
      </c>
      <c r="AA412" s="3" t="str">
        <f t="shared" si="97"/>
        <v/>
      </c>
      <c r="AB412" s="3" t="str">
        <f t="shared" si="88"/>
        <v/>
      </c>
      <c r="AC412" s="3" t="str">
        <f t="shared" si="89"/>
        <v/>
      </c>
      <c r="AD412" s="3" t="str">
        <f t="shared" si="90"/>
        <v/>
      </c>
      <c r="AE412" s="3" t="str">
        <f t="shared" si="91"/>
        <v/>
      </c>
      <c r="AF412" s="3" t="str">
        <f t="shared" si="92"/>
        <v/>
      </c>
      <c r="AG412" s="3" t="str">
        <f t="shared" si="93"/>
        <v/>
      </c>
      <c r="AH412" s="3" t="str">
        <f t="shared" si="94"/>
        <v/>
      </c>
      <c r="AI412" s="3" t="str">
        <f t="shared" si="95"/>
        <v/>
      </c>
      <c r="AJ412" s="3" t="str">
        <f t="shared" si="96"/>
        <v/>
      </c>
      <c r="AK412" s="3" t="str">
        <f>IF(V412=0,"",_xlfn.CONCAT(DADOS!$A$8,X412:AJ412,"
"))</f>
        <v/>
      </c>
    </row>
    <row r="413" spans="5:37" ht="15" customHeight="1" x14ac:dyDescent="0.25">
      <c r="E413" s="22"/>
      <c r="F413" s="22"/>
      <c r="G413" s="12"/>
      <c r="H413" s="22"/>
      <c r="I413" s="13"/>
      <c r="J413" s="14"/>
      <c r="K413" s="12"/>
      <c r="L413" s="15"/>
      <c r="M413" s="16"/>
      <c r="N413" s="15"/>
      <c r="O413" s="16"/>
      <c r="P413" s="17"/>
      <c r="Q413" s="15"/>
      <c r="R413" s="18"/>
      <c r="S413" s="20">
        <v>399</v>
      </c>
      <c r="V413" s="3">
        <f t="shared" si="84"/>
        <v>0</v>
      </c>
      <c r="X413" s="3" t="str">
        <f t="shared" si="85"/>
        <v/>
      </c>
      <c r="Y413" s="3" t="str">
        <f t="shared" si="86"/>
        <v/>
      </c>
      <c r="Z413" s="3" t="str">
        <f t="shared" si="87"/>
        <v/>
      </c>
      <c r="AA413" s="3" t="str">
        <f t="shared" si="97"/>
        <v/>
      </c>
      <c r="AB413" s="3" t="str">
        <f t="shared" si="88"/>
        <v/>
      </c>
      <c r="AC413" s="3" t="str">
        <f t="shared" si="89"/>
        <v/>
      </c>
      <c r="AD413" s="3" t="str">
        <f t="shared" si="90"/>
        <v/>
      </c>
      <c r="AE413" s="3" t="str">
        <f t="shared" si="91"/>
        <v/>
      </c>
      <c r="AF413" s="3" t="str">
        <f t="shared" si="92"/>
        <v/>
      </c>
      <c r="AG413" s="3" t="str">
        <f t="shared" si="93"/>
        <v/>
      </c>
      <c r="AH413" s="3" t="str">
        <f t="shared" si="94"/>
        <v/>
      </c>
      <c r="AI413" s="3" t="str">
        <f t="shared" si="95"/>
        <v/>
      </c>
      <c r="AJ413" s="3" t="str">
        <f t="shared" si="96"/>
        <v/>
      </c>
      <c r="AK413" s="3" t="str">
        <f>IF(V413=0,"",_xlfn.CONCAT(DADOS!$A$8,X413:AJ413,"
"))</f>
        <v/>
      </c>
    </row>
    <row r="414" spans="5:37" ht="15" customHeight="1" x14ac:dyDescent="0.25">
      <c r="E414" s="22"/>
      <c r="F414" s="22"/>
      <c r="G414" s="12"/>
      <c r="H414" s="22"/>
      <c r="I414" s="13"/>
      <c r="J414" s="14"/>
      <c r="K414" s="12"/>
      <c r="L414" s="15"/>
      <c r="M414" s="16"/>
      <c r="N414" s="15"/>
      <c r="O414" s="16"/>
      <c r="P414" s="17"/>
      <c r="Q414" s="15"/>
      <c r="R414" s="18"/>
      <c r="S414" s="20">
        <v>400</v>
      </c>
      <c r="V414" s="3">
        <f t="shared" si="84"/>
        <v>0</v>
      </c>
      <c r="X414" s="3" t="str">
        <f t="shared" si="85"/>
        <v/>
      </c>
      <c r="Y414" s="3" t="str">
        <f t="shared" si="86"/>
        <v/>
      </c>
      <c r="Z414" s="3" t="str">
        <f t="shared" si="87"/>
        <v/>
      </c>
      <c r="AA414" s="3" t="str">
        <f t="shared" si="97"/>
        <v/>
      </c>
      <c r="AB414" s="3" t="str">
        <f t="shared" si="88"/>
        <v/>
      </c>
      <c r="AC414" s="3" t="str">
        <f t="shared" si="89"/>
        <v/>
      </c>
      <c r="AD414" s="3" t="str">
        <f t="shared" si="90"/>
        <v/>
      </c>
      <c r="AE414" s="3" t="str">
        <f t="shared" si="91"/>
        <v/>
      </c>
      <c r="AF414" s="3" t="str">
        <f t="shared" si="92"/>
        <v/>
      </c>
      <c r="AG414" s="3" t="str">
        <f t="shared" si="93"/>
        <v/>
      </c>
      <c r="AH414" s="3" t="str">
        <f t="shared" si="94"/>
        <v/>
      </c>
      <c r="AI414" s="3" t="str">
        <f t="shared" si="95"/>
        <v/>
      </c>
      <c r="AJ414" s="3" t="str">
        <f t="shared" si="96"/>
        <v/>
      </c>
      <c r="AK414" s="3" t="str">
        <f>IF(V414=0,"",_xlfn.CONCAT(DADOS!$A$8,X414:AJ414,"
"))</f>
        <v/>
      </c>
    </row>
    <row r="415" spans="5:37" ht="15" customHeight="1" x14ac:dyDescent="0.25">
      <c r="E415" s="22"/>
      <c r="F415" s="22"/>
      <c r="G415" s="12"/>
      <c r="H415" s="22"/>
      <c r="I415" s="13"/>
      <c r="J415" s="14"/>
      <c r="K415" s="12"/>
      <c r="L415" s="15"/>
      <c r="M415" s="16"/>
      <c r="N415" s="15"/>
      <c r="O415" s="16"/>
      <c r="P415" s="17"/>
      <c r="Q415" s="15"/>
      <c r="R415" s="18"/>
      <c r="S415" s="20">
        <v>401</v>
      </c>
      <c r="V415" s="3">
        <f t="shared" si="84"/>
        <v>0</v>
      </c>
      <c r="X415" s="3" t="str">
        <f t="shared" si="85"/>
        <v/>
      </c>
      <c r="Y415" s="3" t="str">
        <f t="shared" si="86"/>
        <v/>
      </c>
      <c r="Z415" s="3" t="str">
        <f t="shared" si="87"/>
        <v/>
      </c>
      <c r="AA415" s="3" t="str">
        <f t="shared" si="97"/>
        <v/>
      </c>
      <c r="AB415" s="3" t="str">
        <f t="shared" si="88"/>
        <v/>
      </c>
      <c r="AC415" s="3" t="str">
        <f t="shared" si="89"/>
        <v/>
      </c>
      <c r="AD415" s="3" t="str">
        <f t="shared" si="90"/>
        <v/>
      </c>
      <c r="AE415" s="3" t="str">
        <f t="shared" si="91"/>
        <v/>
      </c>
      <c r="AF415" s="3" t="str">
        <f t="shared" si="92"/>
        <v/>
      </c>
      <c r="AG415" s="3" t="str">
        <f t="shared" si="93"/>
        <v/>
      </c>
      <c r="AH415" s="3" t="str">
        <f t="shared" si="94"/>
        <v/>
      </c>
      <c r="AI415" s="3" t="str">
        <f t="shared" si="95"/>
        <v/>
      </c>
      <c r="AJ415" s="3" t="str">
        <f t="shared" si="96"/>
        <v/>
      </c>
      <c r="AK415" s="3" t="str">
        <f>IF(V415=0,"",_xlfn.CONCAT(DADOS!$A$8,X415:AJ415,"
"))</f>
        <v/>
      </c>
    </row>
    <row r="416" spans="5:37" ht="15" customHeight="1" x14ac:dyDescent="0.25">
      <c r="E416" s="22"/>
      <c r="F416" s="22"/>
      <c r="G416" s="12"/>
      <c r="H416" s="22"/>
      <c r="I416" s="13"/>
      <c r="J416" s="14"/>
      <c r="K416" s="12"/>
      <c r="L416" s="15"/>
      <c r="M416" s="16"/>
      <c r="N416" s="15"/>
      <c r="O416" s="16"/>
      <c r="P416" s="17"/>
      <c r="Q416" s="15"/>
      <c r="R416" s="18"/>
      <c r="S416" s="20">
        <v>402</v>
      </c>
      <c r="V416" s="3">
        <f t="shared" si="84"/>
        <v>0</v>
      </c>
      <c r="X416" s="3" t="str">
        <f t="shared" si="85"/>
        <v/>
      </c>
      <c r="Y416" s="3" t="str">
        <f t="shared" si="86"/>
        <v/>
      </c>
      <c r="Z416" s="3" t="str">
        <f t="shared" si="87"/>
        <v/>
      </c>
      <c r="AA416" s="3" t="str">
        <f t="shared" si="97"/>
        <v/>
      </c>
      <c r="AB416" s="3" t="str">
        <f t="shared" si="88"/>
        <v/>
      </c>
      <c r="AC416" s="3" t="str">
        <f t="shared" si="89"/>
        <v/>
      </c>
      <c r="AD416" s="3" t="str">
        <f t="shared" si="90"/>
        <v/>
      </c>
      <c r="AE416" s="3" t="str">
        <f t="shared" si="91"/>
        <v/>
      </c>
      <c r="AF416" s="3" t="str">
        <f t="shared" si="92"/>
        <v/>
      </c>
      <c r="AG416" s="3" t="str">
        <f t="shared" si="93"/>
        <v/>
      </c>
      <c r="AH416" s="3" t="str">
        <f t="shared" si="94"/>
        <v/>
      </c>
      <c r="AI416" s="3" t="str">
        <f t="shared" si="95"/>
        <v/>
      </c>
      <c r="AJ416" s="3" t="str">
        <f t="shared" si="96"/>
        <v/>
      </c>
      <c r="AK416" s="3" t="str">
        <f>IF(V416=0,"",_xlfn.CONCAT(DADOS!$A$8,X416:AJ416,"
"))</f>
        <v/>
      </c>
    </row>
    <row r="417" spans="5:37" ht="15" customHeight="1" x14ac:dyDescent="0.25">
      <c r="E417" s="22"/>
      <c r="F417" s="22"/>
      <c r="G417" s="12"/>
      <c r="H417" s="22"/>
      <c r="I417" s="13"/>
      <c r="J417" s="14"/>
      <c r="K417" s="12"/>
      <c r="L417" s="15"/>
      <c r="M417" s="16"/>
      <c r="N417" s="15"/>
      <c r="O417" s="16"/>
      <c r="P417" s="17"/>
      <c r="Q417" s="15"/>
      <c r="R417" s="18"/>
      <c r="S417" s="20">
        <v>403</v>
      </c>
      <c r="V417" s="3">
        <f t="shared" si="84"/>
        <v>0</v>
      </c>
      <c r="X417" s="3" t="str">
        <f t="shared" si="85"/>
        <v/>
      </c>
      <c r="Y417" s="3" t="str">
        <f t="shared" si="86"/>
        <v/>
      </c>
      <c r="Z417" s="3" t="str">
        <f t="shared" si="87"/>
        <v/>
      </c>
      <c r="AA417" s="3" t="str">
        <f t="shared" si="97"/>
        <v/>
      </c>
      <c r="AB417" s="3" t="str">
        <f t="shared" si="88"/>
        <v/>
      </c>
      <c r="AC417" s="3" t="str">
        <f t="shared" si="89"/>
        <v/>
      </c>
      <c r="AD417" s="3" t="str">
        <f t="shared" si="90"/>
        <v/>
      </c>
      <c r="AE417" s="3" t="str">
        <f t="shared" si="91"/>
        <v/>
      </c>
      <c r="AF417" s="3" t="str">
        <f t="shared" si="92"/>
        <v/>
      </c>
      <c r="AG417" s="3" t="str">
        <f t="shared" si="93"/>
        <v/>
      </c>
      <c r="AH417" s="3" t="str">
        <f t="shared" si="94"/>
        <v/>
      </c>
      <c r="AI417" s="3" t="str">
        <f t="shared" si="95"/>
        <v/>
      </c>
      <c r="AJ417" s="3" t="str">
        <f t="shared" si="96"/>
        <v/>
      </c>
      <c r="AK417" s="3" t="str">
        <f>IF(V417=0,"",_xlfn.CONCAT(DADOS!$A$8,X417:AJ417,"
"))</f>
        <v/>
      </c>
    </row>
    <row r="418" spans="5:37" ht="15" customHeight="1" x14ac:dyDescent="0.25">
      <c r="E418" s="22"/>
      <c r="F418" s="22"/>
      <c r="G418" s="12"/>
      <c r="H418" s="22"/>
      <c r="I418" s="13"/>
      <c r="J418" s="14"/>
      <c r="K418" s="12"/>
      <c r="L418" s="15"/>
      <c r="M418" s="16"/>
      <c r="N418" s="15"/>
      <c r="O418" s="16"/>
      <c r="P418" s="17"/>
      <c r="Q418" s="15"/>
      <c r="R418" s="18"/>
      <c r="S418" s="20">
        <v>404</v>
      </c>
      <c r="V418" s="3">
        <f t="shared" si="84"/>
        <v>0</v>
      </c>
      <c r="X418" s="3" t="str">
        <f t="shared" si="85"/>
        <v/>
      </c>
      <c r="Y418" s="3" t="str">
        <f t="shared" si="86"/>
        <v/>
      </c>
      <c r="Z418" s="3" t="str">
        <f t="shared" si="87"/>
        <v/>
      </c>
      <c r="AA418" s="3" t="str">
        <f t="shared" si="97"/>
        <v/>
      </c>
      <c r="AB418" s="3" t="str">
        <f t="shared" si="88"/>
        <v/>
      </c>
      <c r="AC418" s="3" t="str">
        <f t="shared" si="89"/>
        <v/>
      </c>
      <c r="AD418" s="3" t="str">
        <f t="shared" si="90"/>
        <v/>
      </c>
      <c r="AE418" s="3" t="str">
        <f t="shared" si="91"/>
        <v/>
      </c>
      <c r="AF418" s="3" t="str">
        <f t="shared" si="92"/>
        <v/>
      </c>
      <c r="AG418" s="3" t="str">
        <f t="shared" si="93"/>
        <v/>
      </c>
      <c r="AH418" s="3" t="str">
        <f t="shared" si="94"/>
        <v/>
      </c>
      <c r="AI418" s="3" t="str">
        <f t="shared" si="95"/>
        <v/>
      </c>
      <c r="AJ418" s="3" t="str">
        <f t="shared" si="96"/>
        <v/>
      </c>
      <c r="AK418" s="3" t="str">
        <f>IF(V418=0,"",_xlfn.CONCAT(DADOS!$A$8,X418:AJ418,"
"))</f>
        <v/>
      </c>
    </row>
    <row r="419" spans="5:37" ht="15" customHeight="1" x14ac:dyDescent="0.25">
      <c r="E419" s="22"/>
      <c r="F419" s="22"/>
      <c r="G419" s="12"/>
      <c r="H419" s="22"/>
      <c r="I419" s="13"/>
      <c r="J419" s="14"/>
      <c r="K419" s="12"/>
      <c r="L419" s="15"/>
      <c r="M419" s="16"/>
      <c r="N419" s="15"/>
      <c r="O419" s="16"/>
      <c r="P419" s="17"/>
      <c r="Q419" s="15"/>
      <c r="R419" s="18"/>
      <c r="S419" s="20">
        <v>405</v>
      </c>
      <c r="V419" s="3">
        <f t="shared" si="84"/>
        <v>0</v>
      </c>
      <c r="X419" s="3" t="str">
        <f t="shared" si="85"/>
        <v/>
      </c>
      <c r="Y419" s="3" t="str">
        <f t="shared" si="86"/>
        <v/>
      </c>
      <c r="Z419" s="3" t="str">
        <f t="shared" si="87"/>
        <v/>
      </c>
      <c r="AA419" s="3" t="str">
        <f t="shared" si="97"/>
        <v/>
      </c>
      <c r="AB419" s="3" t="str">
        <f t="shared" si="88"/>
        <v/>
      </c>
      <c r="AC419" s="3" t="str">
        <f t="shared" si="89"/>
        <v/>
      </c>
      <c r="AD419" s="3" t="str">
        <f t="shared" si="90"/>
        <v/>
      </c>
      <c r="AE419" s="3" t="str">
        <f t="shared" si="91"/>
        <v/>
      </c>
      <c r="AF419" s="3" t="str">
        <f t="shared" si="92"/>
        <v/>
      </c>
      <c r="AG419" s="3" t="str">
        <f t="shared" si="93"/>
        <v/>
      </c>
      <c r="AH419" s="3" t="str">
        <f t="shared" si="94"/>
        <v/>
      </c>
      <c r="AI419" s="3" t="str">
        <f t="shared" si="95"/>
        <v/>
      </c>
      <c r="AJ419" s="3" t="str">
        <f t="shared" si="96"/>
        <v/>
      </c>
      <c r="AK419" s="3" t="str">
        <f>IF(V419=0,"",_xlfn.CONCAT(DADOS!$A$8,X419:AJ419,"
"))</f>
        <v/>
      </c>
    </row>
    <row r="420" spans="5:37" ht="15" customHeight="1" x14ac:dyDescent="0.25">
      <c r="E420" s="22"/>
      <c r="F420" s="22"/>
      <c r="G420" s="12"/>
      <c r="H420" s="22"/>
      <c r="I420" s="13"/>
      <c r="J420" s="14"/>
      <c r="K420" s="12"/>
      <c r="L420" s="15"/>
      <c r="M420" s="16"/>
      <c r="N420" s="15"/>
      <c r="O420" s="16"/>
      <c r="P420" s="17"/>
      <c r="Q420" s="15"/>
      <c r="R420" s="18"/>
      <c r="S420" s="20">
        <v>406</v>
      </c>
      <c r="V420" s="3">
        <f t="shared" si="84"/>
        <v>0</v>
      </c>
      <c r="X420" s="3" t="str">
        <f t="shared" si="85"/>
        <v/>
      </c>
      <c r="Y420" s="3" t="str">
        <f t="shared" si="86"/>
        <v/>
      </c>
      <c r="Z420" s="3" t="str">
        <f t="shared" si="87"/>
        <v/>
      </c>
      <c r="AA420" s="3" t="str">
        <f t="shared" si="97"/>
        <v/>
      </c>
      <c r="AB420" s="3" t="str">
        <f t="shared" si="88"/>
        <v/>
      </c>
      <c r="AC420" s="3" t="str">
        <f t="shared" si="89"/>
        <v/>
      </c>
      <c r="AD420" s="3" t="str">
        <f t="shared" si="90"/>
        <v/>
      </c>
      <c r="AE420" s="3" t="str">
        <f t="shared" si="91"/>
        <v/>
      </c>
      <c r="AF420" s="3" t="str">
        <f t="shared" si="92"/>
        <v/>
      </c>
      <c r="AG420" s="3" t="str">
        <f t="shared" si="93"/>
        <v/>
      </c>
      <c r="AH420" s="3" t="str">
        <f t="shared" si="94"/>
        <v/>
      </c>
      <c r="AI420" s="3" t="str">
        <f t="shared" si="95"/>
        <v/>
      </c>
      <c r="AJ420" s="3" t="str">
        <f t="shared" si="96"/>
        <v/>
      </c>
      <c r="AK420" s="3" t="str">
        <f>IF(V420=0,"",_xlfn.CONCAT(DADOS!$A$8,X420:AJ420,"
"))</f>
        <v/>
      </c>
    </row>
    <row r="421" spans="5:37" ht="15" customHeight="1" x14ac:dyDescent="0.25">
      <c r="E421" s="22"/>
      <c r="F421" s="22"/>
      <c r="G421" s="12"/>
      <c r="H421" s="22"/>
      <c r="I421" s="13"/>
      <c r="J421" s="14"/>
      <c r="K421" s="12"/>
      <c r="L421" s="15"/>
      <c r="M421" s="16"/>
      <c r="N421" s="15"/>
      <c r="O421" s="16"/>
      <c r="P421" s="17"/>
      <c r="Q421" s="15"/>
      <c r="R421" s="18"/>
      <c r="S421" s="20">
        <v>407</v>
      </c>
      <c r="V421" s="3">
        <f t="shared" si="84"/>
        <v>0</v>
      </c>
      <c r="X421" s="3" t="str">
        <f t="shared" si="85"/>
        <v/>
      </c>
      <c r="Y421" s="3" t="str">
        <f t="shared" si="86"/>
        <v/>
      </c>
      <c r="Z421" s="3" t="str">
        <f t="shared" si="87"/>
        <v/>
      </c>
      <c r="AA421" s="3" t="str">
        <f t="shared" si="97"/>
        <v/>
      </c>
      <c r="AB421" s="3" t="str">
        <f t="shared" si="88"/>
        <v/>
      </c>
      <c r="AC421" s="3" t="str">
        <f t="shared" si="89"/>
        <v/>
      </c>
      <c r="AD421" s="3" t="str">
        <f t="shared" si="90"/>
        <v/>
      </c>
      <c r="AE421" s="3" t="str">
        <f t="shared" si="91"/>
        <v/>
      </c>
      <c r="AF421" s="3" t="str">
        <f t="shared" si="92"/>
        <v/>
      </c>
      <c r="AG421" s="3" t="str">
        <f t="shared" si="93"/>
        <v/>
      </c>
      <c r="AH421" s="3" t="str">
        <f t="shared" si="94"/>
        <v/>
      </c>
      <c r="AI421" s="3" t="str">
        <f t="shared" si="95"/>
        <v/>
      </c>
      <c r="AJ421" s="3" t="str">
        <f t="shared" si="96"/>
        <v/>
      </c>
      <c r="AK421" s="3" t="str">
        <f>IF(V421=0,"",_xlfn.CONCAT(DADOS!$A$8,X421:AJ421,"
"))</f>
        <v/>
      </c>
    </row>
    <row r="422" spans="5:37" ht="15" customHeight="1" x14ac:dyDescent="0.25">
      <c r="E422" s="22"/>
      <c r="F422" s="22"/>
      <c r="G422" s="12"/>
      <c r="H422" s="22"/>
      <c r="I422" s="13"/>
      <c r="J422" s="14"/>
      <c r="K422" s="12"/>
      <c r="L422" s="15"/>
      <c r="M422" s="16"/>
      <c r="N422" s="15"/>
      <c r="O422" s="16"/>
      <c r="P422" s="17"/>
      <c r="Q422" s="15"/>
      <c r="R422" s="18"/>
      <c r="S422" s="20">
        <v>408</v>
      </c>
      <c r="V422" s="3">
        <f t="shared" si="84"/>
        <v>0</v>
      </c>
      <c r="X422" s="3" t="str">
        <f t="shared" si="85"/>
        <v/>
      </c>
      <c r="Y422" s="3" t="str">
        <f t="shared" si="86"/>
        <v/>
      </c>
      <c r="Z422" s="3" t="str">
        <f t="shared" si="87"/>
        <v/>
      </c>
      <c r="AA422" s="3" t="str">
        <f t="shared" si="97"/>
        <v/>
      </c>
      <c r="AB422" s="3" t="str">
        <f t="shared" si="88"/>
        <v/>
      </c>
      <c r="AC422" s="3" t="str">
        <f t="shared" si="89"/>
        <v/>
      </c>
      <c r="AD422" s="3" t="str">
        <f t="shared" si="90"/>
        <v/>
      </c>
      <c r="AE422" s="3" t="str">
        <f t="shared" si="91"/>
        <v/>
      </c>
      <c r="AF422" s="3" t="str">
        <f t="shared" si="92"/>
        <v/>
      </c>
      <c r="AG422" s="3" t="str">
        <f t="shared" si="93"/>
        <v/>
      </c>
      <c r="AH422" s="3" t="str">
        <f t="shared" si="94"/>
        <v/>
      </c>
      <c r="AI422" s="3" t="str">
        <f t="shared" si="95"/>
        <v/>
      </c>
      <c r="AJ422" s="3" t="str">
        <f t="shared" si="96"/>
        <v/>
      </c>
      <c r="AK422" s="3" t="str">
        <f>IF(V422=0,"",_xlfn.CONCAT(DADOS!$A$8,X422:AJ422,"
"))</f>
        <v/>
      </c>
    </row>
    <row r="423" spans="5:37" ht="15" customHeight="1" x14ac:dyDescent="0.25">
      <c r="E423" s="22"/>
      <c r="F423" s="22"/>
      <c r="G423" s="12"/>
      <c r="H423" s="22"/>
      <c r="I423" s="13"/>
      <c r="J423" s="14"/>
      <c r="K423" s="12"/>
      <c r="L423" s="15"/>
      <c r="M423" s="16"/>
      <c r="N423" s="15"/>
      <c r="O423" s="16"/>
      <c r="P423" s="17"/>
      <c r="Q423" s="15"/>
      <c r="R423" s="18"/>
      <c r="S423" s="20">
        <v>409</v>
      </c>
      <c r="V423" s="3">
        <f t="shared" si="84"/>
        <v>0</v>
      </c>
      <c r="X423" s="3" t="str">
        <f t="shared" si="85"/>
        <v/>
      </c>
      <c r="Y423" s="3" t="str">
        <f t="shared" si="86"/>
        <v/>
      </c>
      <c r="Z423" s="3" t="str">
        <f t="shared" si="87"/>
        <v/>
      </c>
      <c r="AA423" s="3" t="str">
        <f t="shared" si="97"/>
        <v/>
      </c>
      <c r="AB423" s="3" t="str">
        <f t="shared" si="88"/>
        <v/>
      </c>
      <c r="AC423" s="3" t="str">
        <f t="shared" si="89"/>
        <v/>
      </c>
      <c r="AD423" s="3" t="str">
        <f t="shared" si="90"/>
        <v/>
      </c>
      <c r="AE423" s="3" t="str">
        <f t="shared" si="91"/>
        <v/>
      </c>
      <c r="AF423" s="3" t="str">
        <f t="shared" si="92"/>
        <v/>
      </c>
      <c r="AG423" s="3" t="str">
        <f t="shared" si="93"/>
        <v/>
      </c>
      <c r="AH423" s="3" t="str">
        <f t="shared" si="94"/>
        <v/>
      </c>
      <c r="AI423" s="3" t="str">
        <f t="shared" si="95"/>
        <v/>
      </c>
      <c r="AJ423" s="3" t="str">
        <f t="shared" si="96"/>
        <v/>
      </c>
      <c r="AK423" s="3" t="str">
        <f>IF(V423=0,"",_xlfn.CONCAT(DADOS!$A$8,X423:AJ423,"
"))</f>
        <v/>
      </c>
    </row>
    <row r="424" spans="5:37" ht="15" customHeight="1" x14ac:dyDescent="0.25">
      <c r="E424" s="22"/>
      <c r="F424" s="22"/>
      <c r="G424" s="12"/>
      <c r="H424" s="22"/>
      <c r="I424" s="13"/>
      <c r="J424" s="14"/>
      <c r="K424" s="12"/>
      <c r="L424" s="15"/>
      <c r="M424" s="16"/>
      <c r="N424" s="15"/>
      <c r="O424" s="16"/>
      <c r="P424" s="17"/>
      <c r="Q424" s="15"/>
      <c r="R424" s="18"/>
      <c r="S424" s="20">
        <v>410</v>
      </c>
      <c r="V424" s="3">
        <f t="shared" si="84"/>
        <v>0</v>
      </c>
      <c r="X424" s="3" t="str">
        <f t="shared" si="85"/>
        <v/>
      </c>
      <c r="Y424" s="3" t="str">
        <f t="shared" si="86"/>
        <v/>
      </c>
      <c r="Z424" s="3" t="str">
        <f t="shared" si="87"/>
        <v/>
      </c>
      <c r="AA424" s="3" t="str">
        <f t="shared" si="97"/>
        <v/>
      </c>
      <c r="AB424" s="3" t="str">
        <f t="shared" si="88"/>
        <v/>
      </c>
      <c r="AC424" s="3" t="str">
        <f t="shared" si="89"/>
        <v/>
      </c>
      <c r="AD424" s="3" t="str">
        <f t="shared" si="90"/>
        <v/>
      </c>
      <c r="AE424" s="3" t="str">
        <f t="shared" si="91"/>
        <v/>
      </c>
      <c r="AF424" s="3" t="str">
        <f t="shared" si="92"/>
        <v/>
      </c>
      <c r="AG424" s="3" t="str">
        <f t="shared" si="93"/>
        <v/>
      </c>
      <c r="AH424" s="3" t="str">
        <f t="shared" si="94"/>
        <v/>
      </c>
      <c r="AI424" s="3" t="str">
        <f t="shared" si="95"/>
        <v/>
      </c>
      <c r="AJ424" s="3" t="str">
        <f t="shared" si="96"/>
        <v/>
      </c>
      <c r="AK424" s="3" t="str">
        <f>IF(V424=0,"",_xlfn.CONCAT(DADOS!$A$8,X424:AJ424,"
"))</f>
        <v/>
      </c>
    </row>
    <row r="425" spans="5:37" ht="15" customHeight="1" x14ac:dyDescent="0.25">
      <c r="E425" s="22"/>
      <c r="F425" s="22"/>
      <c r="G425" s="12"/>
      <c r="H425" s="22"/>
      <c r="I425" s="13"/>
      <c r="J425" s="14"/>
      <c r="K425" s="12"/>
      <c r="L425" s="15"/>
      <c r="M425" s="16"/>
      <c r="N425" s="15"/>
      <c r="O425" s="16"/>
      <c r="P425" s="17"/>
      <c r="Q425" s="15"/>
      <c r="R425" s="18"/>
      <c r="S425" s="20">
        <v>411</v>
      </c>
      <c r="V425" s="3">
        <f t="shared" si="84"/>
        <v>0</v>
      </c>
      <c r="X425" s="3" t="str">
        <f t="shared" si="85"/>
        <v/>
      </c>
      <c r="Y425" s="3" t="str">
        <f t="shared" si="86"/>
        <v/>
      </c>
      <c r="Z425" s="3" t="str">
        <f t="shared" si="87"/>
        <v/>
      </c>
      <c r="AA425" s="3" t="str">
        <f t="shared" si="97"/>
        <v/>
      </c>
      <c r="AB425" s="3" t="str">
        <f t="shared" si="88"/>
        <v/>
      </c>
      <c r="AC425" s="3" t="str">
        <f t="shared" si="89"/>
        <v/>
      </c>
      <c r="AD425" s="3" t="str">
        <f t="shared" si="90"/>
        <v/>
      </c>
      <c r="AE425" s="3" t="str">
        <f t="shared" si="91"/>
        <v/>
      </c>
      <c r="AF425" s="3" t="str">
        <f t="shared" si="92"/>
        <v/>
      </c>
      <c r="AG425" s="3" t="str">
        <f t="shared" si="93"/>
        <v/>
      </c>
      <c r="AH425" s="3" t="str">
        <f t="shared" si="94"/>
        <v/>
      </c>
      <c r="AI425" s="3" t="str">
        <f t="shared" si="95"/>
        <v/>
      </c>
      <c r="AJ425" s="3" t="str">
        <f t="shared" si="96"/>
        <v/>
      </c>
      <c r="AK425" s="3" t="str">
        <f>IF(V425=0,"",_xlfn.CONCAT(DADOS!$A$8,X425:AJ425,"
"))</f>
        <v/>
      </c>
    </row>
    <row r="426" spans="5:37" ht="15" customHeight="1" x14ac:dyDescent="0.25">
      <c r="E426" s="22"/>
      <c r="F426" s="22"/>
      <c r="G426" s="12"/>
      <c r="H426" s="22"/>
      <c r="I426" s="13"/>
      <c r="J426" s="14"/>
      <c r="K426" s="12"/>
      <c r="L426" s="15"/>
      <c r="M426" s="16"/>
      <c r="N426" s="15"/>
      <c r="O426" s="16"/>
      <c r="P426" s="17"/>
      <c r="Q426" s="15"/>
      <c r="R426" s="18"/>
      <c r="S426" s="20">
        <v>412</v>
      </c>
      <c r="V426" s="3">
        <f t="shared" si="84"/>
        <v>0</v>
      </c>
      <c r="X426" s="3" t="str">
        <f t="shared" si="85"/>
        <v/>
      </c>
      <c r="Y426" s="3" t="str">
        <f t="shared" si="86"/>
        <v/>
      </c>
      <c r="Z426" s="3" t="str">
        <f t="shared" si="87"/>
        <v/>
      </c>
      <c r="AA426" s="3" t="str">
        <f t="shared" si="97"/>
        <v/>
      </c>
      <c r="AB426" s="3" t="str">
        <f t="shared" si="88"/>
        <v/>
      </c>
      <c r="AC426" s="3" t="str">
        <f t="shared" si="89"/>
        <v/>
      </c>
      <c r="AD426" s="3" t="str">
        <f t="shared" si="90"/>
        <v/>
      </c>
      <c r="AE426" s="3" t="str">
        <f t="shared" si="91"/>
        <v/>
      </c>
      <c r="AF426" s="3" t="str">
        <f t="shared" si="92"/>
        <v/>
      </c>
      <c r="AG426" s="3" t="str">
        <f t="shared" si="93"/>
        <v/>
      </c>
      <c r="AH426" s="3" t="str">
        <f t="shared" si="94"/>
        <v/>
      </c>
      <c r="AI426" s="3" t="str">
        <f t="shared" si="95"/>
        <v/>
      </c>
      <c r="AJ426" s="3" t="str">
        <f t="shared" si="96"/>
        <v/>
      </c>
      <c r="AK426" s="3" t="str">
        <f>IF(V426=0,"",_xlfn.CONCAT(DADOS!$A$8,X426:AJ426,"
"))</f>
        <v/>
      </c>
    </row>
    <row r="427" spans="5:37" ht="15" customHeight="1" x14ac:dyDescent="0.25">
      <c r="E427" s="22"/>
      <c r="F427" s="22"/>
      <c r="G427" s="12"/>
      <c r="H427" s="22"/>
      <c r="I427" s="13"/>
      <c r="J427" s="14"/>
      <c r="K427" s="12"/>
      <c r="L427" s="15"/>
      <c r="M427" s="16"/>
      <c r="N427" s="15"/>
      <c r="O427" s="16"/>
      <c r="P427" s="17"/>
      <c r="Q427" s="15"/>
      <c r="R427" s="18"/>
      <c r="S427" s="20">
        <v>413</v>
      </c>
      <c r="V427" s="3">
        <f t="shared" si="84"/>
        <v>0</v>
      </c>
      <c r="X427" s="3" t="str">
        <f t="shared" si="85"/>
        <v/>
      </c>
      <c r="Y427" s="3" t="str">
        <f t="shared" si="86"/>
        <v/>
      </c>
      <c r="Z427" s="3" t="str">
        <f t="shared" si="87"/>
        <v/>
      </c>
      <c r="AA427" s="3" t="str">
        <f t="shared" si="97"/>
        <v/>
      </c>
      <c r="AB427" s="3" t="str">
        <f t="shared" si="88"/>
        <v/>
      </c>
      <c r="AC427" s="3" t="str">
        <f t="shared" si="89"/>
        <v/>
      </c>
      <c r="AD427" s="3" t="str">
        <f t="shared" si="90"/>
        <v/>
      </c>
      <c r="AE427" s="3" t="str">
        <f t="shared" si="91"/>
        <v/>
      </c>
      <c r="AF427" s="3" t="str">
        <f t="shared" si="92"/>
        <v/>
      </c>
      <c r="AG427" s="3" t="str">
        <f t="shared" si="93"/>
        <v/>
      </c>
      <c r="AH427" s="3" t="str">
        <f t="shared" si="94"/>
        <v/>
      </c>
      <c r="AI427" s="3" t="str">
        <f t="shared" si="95"/>
        <v/>
      </c>
      <c r="AJ427" s="3" t="str">
        <f t="shared" si="96"/>
        <v/>
      </c>
      <c r="AK427" s="3" t="str">
        <f>IF(V427=0,"",_xlfn.CONCAT(DADOS!$A$8,X427:AJ427,"
"))</f>
        <v/>
      </c>
    </row>
    <row r="428" spans="5:37" ht="15" customHeight="1" x14ac:dyDescent="0.25">
      <c r="E428" s="22"/>
      <c r="F428" s="22"/>
      <c r="G428" s="12"/>
      <c r="H428" s="22"/>
      <c r="I428" s="13"/>
      <c r="J428" s="14"/>
      <c r="K428" s="12"/>
      <c r="L428" s="15"/>
      <c r="M428" s="16"/>
      <c r="N428" s="15"/>
      <c r="O428" s="16"/>
      <c r="P428" s="17"/>
      <c r="Q428" s="15"/>
      <c r="R428" s="18"/>
      <c r="S428" s="20">
        <v>414</v>
      </c>
      <c r="V428" s="3">
        <f t="shared" si="84"/>
        <v>0</v>
      </c>
      <c r="X428" s="3" t="str">
        <f t="shared" si="85"/>
        <v/>
      </c>
      <c r="Y428" s="3" t="str">
        <f t="shared" si="86"/>
        <v/>
      </c>
      <c r="Z428" s="3" t="str">
        <f t="shared" si="87"/>
        <v/>
      </c>
      <c r="AA428" s="3" t="str">
        <f t="shared" si="97"/>
        <v/>
      </c>
      <c r="AB428" s="3" t="str">
        <f t="shared" si="88"/>
        <v/>
      </c>
      <c r="AC428" s="3" t="str">
        <f t="shared" si="89"/>
        <v/>
      </c>
      <c r="AD428" s="3" t="str">
        <f t="shared" si="90"/>
        <v/>
      </c>
      <c r="AE428" s="3" t="str">
        <f t="shared" si="91"/>
        <v/>
      </c>
      <c r="AF428" s="3" t="str">
        <f t="shared" si="92"/>
        <v/>
      </c>
      <c r="AG428" s="3" t="str">
        <f t="shared" si="93"/>
        <v/>
      </c>
      <c r="AH428" s="3" t="str">
        <f t="shared" si="94"/>
        <v/>
      </c>
      <c r="AI428" s="3" t="str">
        <f t="shared" si="95"/>
        <v/>
      </c>
      <c r="AJ428" s="3" t="str">
        <f t="shared" si="96"/>
        <v/>
      </c>
      <c r="AK428" s="3" t="str">
        <f>IF(V428=0,"",_xlfn.CONCAT(DADOS!$A$8,X428:AJ428,"
"))</f>
        <v/>
      </c>
    </row>
    <row r="429" spans="5:37" ht="15" customHeight="1" x14ac:dyDescent="0.25">
      <c r="E429" s="22"/>
      <c r="F429" s="22"/>
      <c r="G429" s="12"/>
      <c r="H429" s="22"/>
      <c r="I429" s="13"/>
      <c r="J429" s="14"/>
      <c r="K429" s="12"/>
      <c r="L429" s="15"/>
      <c r="M429" s="16"/>
      <c r="N429" s="15"/>
      <c r="O429" s="16"/>
      <c r="P429" s="17"/>
      <c r="Q429" s="15"/>
      <c r="R429" s="18"/>
      <c r="S429" s="20">
        <v>415</v>
      </c>
      <c r="V429" s="3">
        <f t="shared" si="84"/>
        <v>0</v>
      </c>
      <c r="X429" s="3" t="str">
        <f t="shared" si="85"/>
        <v/>
      </c>
      <c r="Y429" s="3" t="str">
        <f t="shared" si="86"/>
        <v/>
      </c>
      <c r="Z429" s="3" t="str">
        <f t="shared" si="87"/>
        <v/>
      </c>
      <c r="AA429" s="3" t="str">
        <f t="shared" si="97"/>
        <v/>
      </c>
      <c r="AB429" s="3" t="str">
        <f t="shared" si="88"/>
        <v/>
      </c>
      <c r="AC429" s="3" t="str">
        <f t="shared" si="89"/>
        <v/>
      </c>
      <c r="AD429" s="3" t="str">
        <f t="shared" si="90"/>
        <v/>
      </c>
      <c r="AE429" s="3" t="str">
        <f t="shared" si="91"/>
        <v/>
      </c>
      <c r="AF429" s="3" t="str">
        <f t="shared" si="92"/>
        <v/>
      </c>
      <c r="AG429" s="3" t="str">
        <f t="shared" si="93"/>
        <v/>
      </c>
      <c r="AH429" s="3" t="str">
        <f t="shared" si="94"/>
        <v/>
      </c>
      <c r="AI429" s="3" t="str">
        <f t="shared" si="95"/>
        <v/>
      </c>
      <c r="AJ429" s="3" t="str">
        <f t="shared" si="96"/>
        <v/>
      </c>
      <c r="AK429" s="3" t="str">
        <f>IF(V429=0,"",_xlfn.CONCAT(DADOS!$A$8,X429:AJ429,"
"))</f>
        <v/>
      </c>
    </row>
    <row r="430" spans="5:37" ht="15" customHeight="1" x14ac:dyDescent="0.25">
      <c r="E430" s="22"/>
      <c r="F430" s="22"/>
      <c r="G430" s="12"/>
      <c r="H430" s="22"/>
      <c r="I430" s="13"/>
      <c r="J430" s="14"/>
      <c r="K430" s="12"/>
      <c r="L430" s="15"/>
      <c r="M430" s="16"/>
      <c r="N430" s="15"/>
      <c r="O430" s="16"/>
      <c r="P430" s="17"/>
      <c r="Q430" s="15"/>
      <c r="R430" s="18"/>
      <c r="S430" s="20">
        <v>416</v>
      </c>
      <c r="V430" s="3">
        <f t="shared" si="84"/>
        <v>0</v>
      </c>
      <c r="X430" s="3" t="str">
        <f t="shared" si="85"/>
        <v/>
      </c>
      <c r="Y430" s="3" t="str">
        <f t="shared" si="86"/>
        <v/>
      </c>
      <c r="Z430" s="3" t="str">
        <f t="shared" si="87"/>
        <v/>
      </c>
      <c r="AA430" s="3" t="str">
        <f t="shared" si="97"/>
        <v/>
      </c>
      <c r="AB430" s="3" t="str">
        <f t="shared" si="88"/>
        <v/>
      </c>
      <c r="AC430" s="3" t="str">
        <f t="shared" si="89"/>
        <v/>
      </c>
      <c r="AD430" s="3" t="str">
        <f t="shared" si="90"/>
        <v/>
      </c>
      <c r="AE430" s="3" t="str">
        <f t="shared" si="91"/>
        <v/>
      </c>
      <c r="AF430" s="3" t="str">
        <f t="shared" si="92"/>
        <v/>
      </c>
      <c r="AG430" s="3" t="str">
        <f t="shared" si="93"/>
        <v/>
      </c>
      <c r="AH430" s="3" t="str">
        <f t="shared" si="94"/>
        <v/>
      </c>
      <c r="AI430" s="3" t="str">
        <f t="shared" si="95"/>
        <v/>
      </c>
      <c r="AJ430" s="3" t="str">
        <f t="shared" si="96"/>
        <v/>
      </c>
      <c r="AK430" s="3" t="str">
        <f>IF(V430=0,"",_xlfn.CONCAT(DADOS!$A$8,X430:AJ430,"
"))</f>
        <v/>
      </c>
    </row>
    <row r="431" spans="5:37" ht="15" customHeight="1" x14ac:dyDescent="0.25">
      <c r="E431" s="22"/>
      <c r="F431" s="22"/>
      <c r="G431" s="12"/>
      <c r="H431" s="22"/>
      <c r="I431" s="13"/>
      <c r="J431" s="14"/>
      <c r="K431" s="12"/>
      <c r="L431" s="15"/>
      <c r="M431" s="16"/>
      <c r="N431" s="15"/>
      <c r="O431" s="16"/>
      <c r="P431" s="17"/>
      <c r="Q431" s="15"/>
      <c r="R431" s="18"/>
      <c r="S431" s="20">
        <v>417</v>
      </c>
      <c r="V431" s="3">
        <f t="shared" si="84"/>
        <v>0</v>
      </c>
      <c r="X431" s="3" t="str">
        <f t="shared" si="85"/>
        <v/>
      </c>
      <c r="Y431" s="3" t="str">
        <f t="shared" si="86"/>
        <v/>
      </c>
      <c r="Z431" s="3" t="str">
        <f t="shared" si="87"/>
        <v/>
      </c>
      <c r="AA431" s="3" t="str">
        <f t="shared" si="97"/>
        <v/>
      </c>
      <c r="AB431" s="3" t="str">
        <f t="shared" si="88"/>
        <v/>
      </c>
      <c r="AC431" s="3" t="str">
        <f t="shared" si="89"/>
        <v/>
      </c>
      <c r="AD431" s="3" t="str">
        <f t="shared" si="90"/>
        <v/>
      </c>
      <c r="AE431" s="3" t="str">
        <f t="shared" si="91"/>
        <v/>
      </c>
      <c r="AF431" s="3" t="str">
        <f t="shared" si="92"/>
        <v/>
      </c>
      <c r="AG431" s="3" t="str">
        <f t="shared" si="93"/>
        <v/>
      </c>
      <c r="AH431" s="3" t="str">
        <f t="shared" si="94"/>
        <v/>
      </c>
      <c r="AI431" s="3" t="str">
        <f t="shared" si="95"/>
        <v/>
      </c>
      <c r="AJ431" s="3" t="str">
        <f t="shared" si="96"/>
        <v/>
      </c>
      <c r="AK431" s="3" t="str">
        <f>IF(V431=0,"",_xlfn.CONCAT(DADOS!$A$8,X431:AJ431,"
"))</f>
        <v/>
      </c>
    </row>
    <row r="432" spans="5:37" ht="15" customHeight="1" x14ac:dyDescent="0.25">
      <c r="E432" s="22"/>
      <c r="F432" s="22"/>
      <c r="G432" s="12"/>
      <c r="H432" s="22"/>
      <c r="I432" s="13"/>
      <c r="J432" s="14"/>
      <c r="K432" s="12"/>
      <c r="L432" s="15"/>
      <c r="M432" s="16"/>
      <c r="N432" s="15"/>
      <c r="O432" s="16"/>
      <c r="P432" s="17"/>
      <c r="Q432" s="15"/>
      <c r="R432" s="18"/>
      <c r="S432" s="20">
        <v>418</v>
      </c>
      <c r="V432" s="3">
        <f t="shared" si="84"/>
        <v>0</v>
      </c>
      <c r="X432" s="3" t="str">
        <f t="shared" si="85"/>
        <v/>
      </c>
      <c r="Y432" s="3" t="str">
        <f t="shared" si="86"/>
        <v/>
      </c>
      <c r="Z432" s="3" t="str">
        <f t="shared" si="87"/>
        <v/>
      </c>
      <c r="AA432" s="3" t="str">
        <f t="shared" si="97"/>
        <v/>
      </c>
      <c r="AB432" s="3" t="str">
        <f t="shared" si="88"/>
        <v/>
      </c>
      <c r="AC432" s="3" t="str">
        <f t="shared" si="89"/>
        <v/>
      </c>
      <c r="AD432" s="3" t="str">
        <f t="shared" si="90"/>
        <v/>
      </c>
      <c r="AE432" s="3" t="str">
        <f t="shared" si="91"/>
        <v/>
      </c>
      <c r="AF432" s="3" t="str">
        <f t="shared" si="92"/>
        <v/>
      </c>
      <c r="AG432" s="3" t="str">
        <f t="shared" si="93"/>
        <v/>
      </c>
      <c r="AH432" s="3" t="str">
        <f t="shared" si="94"/>
        <v/>
      </c>
      <c r="AI432" s="3" t="str">
        <f t="shared" si="95"/>
        <v/>
      </c>
      <c r="AJ432" s="3" t="str">
        <f t="shared" si="96"/>
        <v/>
      </c>
      <c r="AK432" s="3" t="str">
        <f>IF(V432=0,"",_xlfn.CONCAT(DADOS!$A$8,X432:AJ432,"
"))</f>
        <v/>
      </c>
    </row>
    <row r="433" spans="5:37" ht="15" customHeight="1" x14ac:dyDescent="0.25">
      <c r="E433" s="22"/>
      <c r="F433" s="22"/>
      <c r="G433" s="12"/>
      <c r="H433" s="22"/>
      <c r="I433" s="13"/>
      <c r="J433" s="14"/>
      <c r="K433" s="12"/>
      <c r="L433" s="15"/>
      <c r="M433" s="16"/>
      <c r="N433" s="15"/>
      <c r="O433" s="16"/>
      <c r="P433" s="17"/>
      <c r="Q433" s="15"/>
      <c r="R433" s="18"/>
      <c r="S433" s="20">
        <v>419</v>
      </c>
      <c r="V433" s="3">
        <f t="shared" si="84"/>
        <v>0</v>
      </c>
      <c r="X433" s="3" t="str">
        <f t="shared" si="85"/>
        <v/>
      </c>
      <c r="Y433" s="3" t="str">
        <f t="shared" si="86"/>
        <v/>
      </c>
      <c r="Z433" s="3" t="str">
        <f t="shared" si="87"/>
        <v/>
      </c>
      <c r="AA433" s="3" t="str">
        <f t="shared" si="97"/>
        <v/>
      </c>
      <c r="AB433" s="3" t="str">
        <f t="shared" si="88"/>
        <v/>
      </c>
      <c r="AC433" s="3" t="str">
        <f t="shared" si="89"/>
        <v/>
      </c>
      <c r="AD433" s="3" t="str">
        <f t="shared" si="90"/>
        <v/>
      </c>
      <c r="AE433" s="3" t="str">
        <f t="shared" si="91"/>
        <v/>
      </c>
      <c r="AF433" s="3" t="str">
        <f t="shared" si="92"/>
        <v/>
      </c>
      <c r="AG433" s="3" t="str">
        <f t="shared" si="93"/>
        <v/>
      </c>
      <c r="AH433" s="3" t="str">
        <f t="shared" si="94"/>
        <v/>
      </c>
      <c r="AI433" s="3" t="str">
        <f t="shared" si="95"/>
        <v/>
      </c>
      <c r="AJ433" s="3" t="str">
        <f t="shared" si="96"/>
        <v/>
      </c>
      <c r="AK433" s="3" t="str">
        <f>IF(V433=0,"",_xlfn.CONCAT(DADOS!$A$8,X433:AJ433,"
"))</f>
        <v/>
      </c>
    </row>
    <row r="434" spans="5:37" ht="15" customHeight="1" x14ac:dyDescent="0.25">
      <c r="E434" s="22"/>
      <c r="F434" s="22"/>
      <c r="G434" s="12"/>
      <c r="H434" s="22"/>
      <c r="I434" s="13"/>
      <c r="J434" s="14"/>
      <c r="K434" s="12"/>
      <c r="L434" s="15"/>
      <c r="M434" s="16"/>
      <c r="N434" s="15"/>
      <c r="O434" s="16"/>
      <c r="P434" s="17"/>
      <c r="Q434" s="15"/>
      <c r="R434" s="18"/>
      <c r="S434" s="20">
        <v>420</v>
      </c>
      <c r="V434" s="3">
        <f t="shared" si="84"/>
        <v>0</v>
      </c>
      <c r="X434" s="3" t="str">
        <f t="shared" si="85"/>
        <v/>
      </c>
      <c r="Y434" s="3" t="str">
        <f t="shared" si="86"/>
        <v/>
      </c>
      <c r="Z434" s="3" t="str">
        <f t="shared" si="87"/>
        <v/>
      </c>
      <c r="AA434" s="3" t="str">
        <f t="shared" si="97"/>
        <v/>
      </c>
      <c r="AB434" s="3" t="str">
        <f t="shared" si="88"/>
        <v/>
      </c>
      <c r="AC434" s="3" t="str">
        <f t="shared" si="89"/>
        <v/>
      </c>
      <c r="AD434" s="3" t="str">
        <f t="shared" si="90"/>
        <v/>
      </c>
      <c r="AE434" s="3" t="str">
        <f t="shared" si="91"/>
        <v/>
      </c>
      <c r="AF434" s="3" t="str">
        <f t="shared" si="92"/>
        <v/>
      </c>
      <c r="AG434" s="3" t="str">
        <f t="shared" si="93"/>
        <v/>
      </c>
      <c r="AH434" s="3" t="str">
        <f t="shared" si="94"/>
        <v/>
      </c>
      <c r="AI434" s="3" t="str">
        <f t="shared" si="95"/>
        <v/>
      </c>
      <c r="AJ434" s="3" t="str">
        <f t="shared" si="96"/>
        <v/>
      </c>
      <c r="AK434" s="3" t="str">
        <f>IF(V434=0,"",_xlfn.CONCAT(DADOS!$A$8,X434:AJ434,"
"))</f>
        <v/>
      </c>
    </row>
    <row r="435" spans="5:37" ht="15" customHeight="1" x14ac:dyDescent="0.25">
      <c r="E435" s="22"/>
      <c r="F435" s="22"/>
      <c r="G435" s="12"/>
      <c r="H435" s="22"/>
      <c r="I435" s="13"/>
      <c r="J435" s="14"/>
      <c r="K435" s="12"/>
      <c r="L435" s="15"/>
      <c r="M435" s="16"/>
      <c r="N435" s="15"/>
      <c r="O435" s="16"/>
      <c r="P435" s="17"/>
      <c r="Q435" s="15"/>
      <c r="R435" s="18"/>
      <c r="S435" s="20">
        <v>421</v>
      </c>
      <c r="V435" s="3">
        <f t="shared" si="84"/>
        <v>0</v>
      </c>
      <c r="X435" s="3" t="str">
        <f t="shared" si="85"/>
        <v/>
      </c>
      <c r="Y435" s="3" t="str">
        <f t="shared" si="86"/>
        <v/>
      </c>
      <c r="Z435" s="3" t="str">
        <f t="shared" si="87"/>
        <v/>
      </c>
      <c r="AA435" s="3" t="str">
        <f t="shared" si="97"/>
        <v/>
      </c>
      <c r="AB435" s="3" t="str">
        <f t="shared" si="88"/>
        <v/>
      </c>
      <c r="AC435" s="3" t="str">
        <f t="shared" si="89"/>
        <v/>
      </c>
      <c r="AD435" s="3" t="str">
        <f t="shared" si="90"/>
        <v/>
      </c>
      <c r="AE435" s="3" t="str">
        <f t="shared" si="91"/>
        <v/>
      </c>
      <c r="AF435" s="3" t="str">
        <f t="shared" si="92"/>
        <v/>
      </c>
      <c r="AG435" s="3" t="str">
        <f t="shared" si="93"/>
        <v/>
      </c>
      <c r="AH435" s="3" t="str">
        <f t="shared" si="94"/>
        <v/>
      </c>
      <c r="AI435" s="3" t="str">
        <f t="shared" si="95"/>
        <v/>
      </c>
      <c r="AJ435" s="3" t="str">
        <f t="shared" si="96"/>
        <v/>
      </c>
      <c r="AK435" s="3" t="str">
        <f>IF(V435=0,"",_xlfn.CONCAT(DADOS!$A$8,X435:AJ435,"
"))</f>
        <v/>
      </c>
    </row>
    <row r="436" spans="5:37" ht="15" customHeight="1" x14ac:dyDescent="0.25">
      <c r="E436" s="22"/>
      <c r="F436" s="22"/>
      <c r="G436" s="12"/>
      <c r="H436" s="22"/>
      <c r="I436" s="13"/>
      <c r="J436" s="14"/>
      <c r="K436" s="12"/>
      <c r="L436" s="15"/>
      <c r="M436" s="16"/>
      <c r="N436" s="15"/>
      <c r="O436" s="16"/>
      <c r="P436" s="17"/>
      <c r="Q436" s="15"/>
      <c r="R436" s="18"/>
      <c r="S436" s="20">
        <v>422</v>
      </c>
      <c r="V436" s="3">
        <f t="shared" si="84"/>
        <v>0</v>
      </c>
      <c r="X436" s="3" t="str">
        <f t="shared" si="85"/>
        <v/>
      </c>
      <c r="Y436" s="3" t="str">
        <f t="shared" si="86"/>
        <v/>
      </c>
      <c r="Z436" s="3" t="str">
        <f t="shared" si="87"/>
        <v/>
      </c>
      <c r="AA436" s="3" t="str">
        <f t="shared" si="97"/>
        <v/>
      </c>
      <c r="AB436" s="3" t="str">
        <f t="shared" si="88"/>
        <v/>
      </c>
      <c r="AC436" s="3" t="str">
        <f t="shared" si="89"/>
        <v/>
      </c>
      <c r="AD436" s="3" t="str">
        <f t="shared" si="90"/>
        <v/>
      </c>
      <c r="AE436" s="3" t="str">
        <f t="shared" si="91"/>
        <v/>
      </c>
      <c r="AF436" s="3" t="str">
        <f t="shared" si="92"/>
        <v/>
      </c>
      <c r="AG436" s="3" t="str">
        <f t="shared" si="93"/>
        <v/>
      </c>
      <c r="AH436" s="3" t="str">
        <f t="shared" si="94"/>
        <v/>
      </c>
      <c r="AI436" s="3" t="str">
        <f t="shared" si="95"/>
        <v/>
      </c>
      <c r="AJ436" s="3" t="str">
        <f t="shared" si="96"/>
        <v/>
      </c>
      <c r="AK436" s="3" t="str">
        <f>IF(V436=0,"",_xlfn.CONCAT(DADOS!$A$8,X436:AJ436,"
"))</f>
        <v/>
      </c>
    </row>
    <row r="437" spans="5:37" ht="15" customHeight="1" x14ac:dyDescent="0.25">
      <c r="E437" s="22"/>
      <c r="F437" s="22"/>
      <c r="G437" s="12"/>
      <c r="H437" s="22"/>
      <c r="I437" s="13"/>
      <c r="J437" s="14"/>
      <c r="K437" s="12"/>
      <c r="L437" s="15"/>
      <c r="M437" s="16"/>
      <c r="N437" s="15"/>
      <c r="O437" s="16"/>
      <c r="P437" s="17"/>
      <c r="Q437" s="15"/>
      <c r="R437" s="18"/>
      <c r="S437" s="20">
        <v>423</v>
      </c>
      <c r="V437" s="3">
        <f t="shared" si="84"/>
        <v>0</v>
      </c>
      <c r="X437" s="3" t="str">
        <f t="shared" si="85"/>
        <v/>
      </c>
      <c r="Y437" s="3" t="str">
        <f t="shared" si="86"/>
        <v/>
      </c>
      <c r="Z437" s="3" t="str">
        <f t="shared" si="87"/>
        <v/>
      </c>
      <c r="AA437" s="3" t="str">
        <f t="shared" si="97"/>
        <v/>
      </c>
      <c r="AB437" s="3" t="str">
        <f t="shared" si="88"/>
        <v/>
      </c>
      <c r="AC437" s="3" t="str">
        <f t="shared" si="89"/>
        <v/>
      </c>
      <c r="AD437" s="3" t="str">
        <f t="shared" si="90"/>
        <v/>
      </c>
      <c r="AE437" s="3" t="str">
        <f t="shared" si="91"/>
        <v/>
      </c>
      <c r="AF437" s="3" t="str">
        <f t="shared" si="92"/>
        <v/>
      </c>
      <c r="AG437" s="3" t="str">
        <f t="shared" si="93"/>
        <v/>
      </c>
      <c r="AH437" s="3" t="str">
        <f t="shared" si="94"/>
        <v/>
      </c>
      <c r="AI437" s="3" t="str">
        <f t="shared" si="95"/>
        <v/>
      </c>
      <c r="AJ437" s="3" t="str">
        <f t="shared" si="96"/>
        <v/>
      </c>
      <c r="AK437" s="3" t="str">
        <f>IF(V437=0,"",_xlfn.CONCAT(DADOS!$A$8,X437:AJ437,"
"))</f>
        <v/>
      </c>
    </row>
    <row r="438" spans="5:37" ht="15" customHeight="1" x14ac:dyDescent="0.25">
      <c r="E438" s="22"/>
      <c r="F438" s="22"/>
      <c r="G438" s="12"/>
      <c r="H438" s="22"/>
      <c r="I438" s="13"/>
      <c r="J438" s="14"/>
      <c r="K438" s="12"/>
      <c r="L438" s="15"/>
      <c r="M438" s="16"/>
      <c r="N438" s="15"/>
      <c r="O438" s="16"/>
      <c r="P438" s="17"/>
      <c r="Q438" s="15"/>
      <c r="R438" s="18"/>
      <c r="S438" s="20">
        <v>424</v>
      </c>
      <c r="V438" s="3">
        <f t="shared" si="84"/>
        <v>0</v>
      </c>
      <c r="X438" s="3" t="str">
        <f t="shared" si="85"/>
        <v/>
      </c>
      <c r="Y438" s="3" t="str">
        <f t="shared" si="86"/>
        <v/>
      </c>
      <c r="Z438" s="3" t="str">
        <f t="shared" si="87"/>
        <v/>
      </c>
      <c r="AA438" s="3" t="str">
        <f t="shared" si="97"/>
        <v/>
      </c>
      <c r="AB438" s="3" t="str">
        <f t="shared" si="88"/>
        <v/>
      </c>
      <c r="AC438" s="3" t="str">
        <f t="shared" si="89"/>
        <v/>
      </c>
      <c r="AD438" s="3" t="str">
        <f t="shared" si="90"/>
        <v/>
      </c>
      <c r="AE438" s="3" t="str">
        <f t="shared" si="91"/>
        <v/>
      </c>
      <c r="AF438" s="3" t="str">
        <f t="shared" si="92"/>
        <v/>
      </c>
      <c r="AG438" s="3" t="str">
        <f t="shared" si="93"/>
        <v/>
      </c>
      <c r="AH438" s="3" t="str">
        <f t="shared" si="94"/>
        <v/>
      </c>
      <c r="AI438" s="3" t="str">
        <f t="shared" si="95"/>
        <v/>
      </c>
      <c r="AJ438" s="3" t="str">
        <f t="shared" si="96"/>
        <v/>
      </c>
      <c r="AK438" s="3" t="str">
        <f>IF(V438=0,"",_xlfn.CONCAT(DADOS!$A$8,X438:AJ438,"
"))</f>
        <v/>
      </c>
    </row>
    <row r="439" spans="5:37" ht="15" customHeight="1" x14ac:dyDescent="0.25">
      <c r="E439" s="22"/>
      <c r="F439" s="22"/>
      <c r="G439" s="12"/>
      <c r="H439" s="22"/>
      <c r="I439" s="13"/>
      <c r="J439" s="14"/>
      <c r="K439" s="12"/>
      <c r="L439" s="15"/>
      <c r="M439" s="16"/>
      <c r="N439" s="15"/>
      <c r="O439" s="16"/>
      <c r="P439" s="17"/>
      <c r="Q439" s="15"/>
      <c r="R439" s="18"/>
      <c r="S439" s="20">
        <v>425</v>
      </c>
      <c r="V439" s="3">
        <f t="shared" si="84"/>
        <v>0</v>
      </c>
      <c r="X439" s="3" t="str">
        <f t="shared" si="85"/>
        <v/>
      </c>
      <c r="Y439" s="3" t="str">
        <f t="shared" si="86"/>
        <v/>
      </c>
      <c r="Z439" s="3" t="str">
        <f t="shared" si="87"/>
        <v/>
      </c>
      <c r="AA439" s="3" t="str">
        <f t="shared" si="97"/>
        <v/>
      </c>
      <c r="AB439" s="3" t="str">
        <f t="shared" si="88"/>
        <v/>
      </c>
      <c r="AC439" s="3" t="str">
        <f t="shared" si="89"/>
        <v/>
      </c>
      <c r="AD439" s="3" t="str">
        <f t="shared" si="90"/>
        <v/>
      </c>
      <c r="AE439" s="3" t="str">
        <f t="shared" si="91"/>
        <v/>
      </c>
      <c r="AF439" s="3" t="str">
        <f t="shared" si="92"/>
        <v/>
      </c>
      <c r="AG439" s="3" t="str">
        <f t="shared" si="93"/>
        <v/>
      </c>
      <c r="AH439" s="3" t="str">
        <f t="shared" si="94"/>
        <v/>
      </c>
      <c r="AI439" s="3" t="str">
        <f t="shared" si="95"/>
        <v/>
      </c>
      <c r="AJ439" s="3" t="str">
        <f t="shared" si="96"/>
        <v/>
      </c>
      <c r="AK439" s="3" t="str">
        <f>IF(V439=0,"",_xlfn.CONCAT(DADOS!$A$8,X439:AJ439,"
"))</f>
        <v/>
      </c>
    </row>
    <row r="440" spans="5:37" ht="15" customHeight="1" x14ac:dyDescent="0.25">
      <c r="E440" s="22"/>
      <c r="F440" s="22"/>
      <c r="G440" s="12"/>
      <c r="H440" s="22"/>
      <c r="I440" s="13"/>
      <c r="J440" s="14"/>
      <c r="K440" s="12"/>
      <c r="L440" s="15"/>
      <c r="M440" s="16"/>
      <c r="N440" s="15"/>
      <c r="O440" s="16"/>
      <c r="P440" s="17"/>
      <c r="Q440" s="15"/>
      <c r="R440" s="18"/>
      <c r="S440" s="20">
        <v>426</v>
      </c>
      <c r="V440" s="3">
        <f t="shared" si="84"/>
        <v>0</v>
      </c>
      <c r="X440" s="3" t="str">
        <f t="shared" si="85"/>
        <v/>
      </c>
      <c r="Y440" s="3" t="str">
        <f t="shared" si="86"/>
        <v/>
      </c>
      <c r="Z440" s="3" t="str">
        <f t="shared" si="87"/>
        <v/>
      </c>
      <c r="AA440" s="3" t="str">
        <f t="shared" si="97"/>
        <v/>
      </c>
      <c r="AB440" s="3" t="str">
        <f t="shared" si="88"/>
        <v/>
      </c>
      <c r="AC440" s="3" t="str">
        <f t="shared" si="89"/>
        <v/>
      </c>
      <c r="AD440" s="3" t="str">
        <f t="shared" si="90"/>
        <v/>
      </c>
      <c r="AE440" s="3" t="str">
        <f t="shared" si="91"/>
        <v/>
      </c>
      <c r="AF440" s="3" t="str">
        <f t="shared" si="92"/>
        <v/>
      </c>
      <c r="AG440" s="3" t="str">
        <f t="shared" si="93"/>
        <v/>
      </c>
      <c r="AH440" s="3" t="str">
        <f t="shared" si="94"/>
        <v/>
      </c>
      <c r="AI440" s="3" t="str">
        <f t="shared" si="95"/>
        <v/>
      </c>
      <c r="AJ440" s="3" t="str">
        <f t="shared" si="96"/>
        <v/>
      </c>
      <c r="AK440" s="3" t="str">
        <f>IF(V440=0,"",_xlfn.CONCAT(DADOS!$A$8,X440:AJ440,"
"))</f>
        <v/>
      </c>
    </row>
    <row r="441" spans="5:37" ht="15" customHeight="1" x14ac:dyDescent="0.25">
      <c r="E441" s="22"/>
      <c r="F441" s="22"/>
      <c r="G441" s="12"/>
      <c r="H441" s="22"/>
      <c r="I441" s="13"/>
      <c r="J441" s="14"/>
      <c r="K441" s="12"/>
      <c r="L441" s="15"/>
      <c r="M441" s="16"/>
      <c r="N441" s="15"/>
      <c r="O441" s="16"/>
      <c r="P441" s="17"/>
      <c r="Q441" s="15"/>
      <c r="R441" s="18"/>
      <c r="S441" s="20">
        <v>427</v>
      </c>
      <c r="V441" s="3">
        <f t="shared" si="84"/>
        <v>0</v>
      </c>
      <c r="X441" s="3" t="str">
        <f t="shared" si="85"/>
        <v/>
      </c>
      <c r="Y441" s="3" t="str">
        <f t="shared" si="86"/>
        <v/>
      </c>
      <c r="Z441" s="3" t="str">
        <f t="shared" si="87"/>
        <v/>
      </c>
      <c r="AA441" s="3" t="str">
        <f t="shared" si="97"/>
        <v/>
      </c>
      <c r="AB441" s="3" t="str">
        <f t="shared" si="88"/>
        <v/>
      </c>
      <c r="AC441" s="3" t="str">
        <f t="shared" si="89"/>
        <v/>
      </c>
      <c r="AD441" s="3" t="str">
        <f t="shared" si="90"/>
        <v/>
      </c>
      <c r="AE441" s="3" t="str">
        <f t="shared" si="91"/>
        <v/>
      </c>
      <c r="AF441" s="3" t="str">
        <f t="shared" si="92"/>
        <v/>
      </c>
      <c r="AG441" s="3" t="str">
        <f t="shared" si="93"/>
        <v/>
      </c>
      <c r="AH441" s="3" t="str">
        <f t="shared" si="94"/>
        <v/>
      </c>
      <c r="AI441" s="3" t="str">
        <f t="shared" si="95"/>
        <v/>
      </c>
      <c r="AJ441" s="3" t="str">
        <f t="shared" si="96"/>
        <v/>
      </c>
      <c r="AK441" s="3" t="str">
        <f>IF(V441=0,"",_xlfn.CONCAT(DADOS!$A$8,X441:AJ441,"
"))</f>
        <v/>
      </c>
    </row>
    <row r="442" spans="5:37" ht="15" customHeight="1" x14ac:dyDescent="0.25">
      <c r="E442" s="22"/>
      <c r="F442" s="22"/>
      <c r="G442" s="12"/>
      <c r="H442" s="22"/>
      <c r="I442" s="13"/>
      <c r="J442" s="14"/>
      <c r="K442" s="12"/>
      <c r="L442" s="15"/>
      <c r="M442" s="16"/>
      <c r="N442" s="15"/>
      <c r="O442" s="16"/>
      <c r="P442" s="17"/>
      <c r="Q442" s="15"/>
      <c r="R442" s="18"/>
      <c r="S442" s="20">
        <v>428</v>
      </c>
      <c r="V442" s="3">
        <f t="shared" si="84"/>
        <v>0</v>
      </c>
      <c r="X442" s="3" t="str">
        <f t="shared" si="85"/>
        <v/>
      </c>
      <c r="Y442" s="3" t="str">
        <f t="shared" si="86"/>
        <v/>
      </c>
      <c r="Z442" s="3" t="str">
        <f t="shared" si="87"/>
        <v/>
      </c>
      <c r="AA442" s="3" t="str">
        <f t="shared" si="97"/>
        <v/>
      </c>
      <c r="AB442" s="3" t="str">
        <f t="shared" si="88"/>
        <v/>
      </c>
      <c r="AC442" s="3" t="str">
        <f t="shared" si="89"/>
        <v/>
      </c>
      <c r="AD442" s="3" t="str">
        <f t="shared" si="90"/>
        <v/>
      </c>
      <c r="AE442" s="3" t="str">
        <f t="shared" si="91"/>
        <v/>
      </c>
      <c r="AF442" s="3" t="str">
        <f t="shared" si="92"/>
        <v/>
      </c>
      <c r="AG442" s="3" t="str">
        <f t="shared" si="93"/>
        <v/>
      </c>
      <c r="AH442" s="3" t="str">
        <f t="shared" si="94"/>
        <v/>
      </c>
      <c r="AI442" s="3" t="str">
        <f t="shared" si="95"/>
        <v/>
      </c>
      <c r="AJ442" s="3" t="str">
        <f t="shared" si="96"/>
        <v/>
      </c>
      <c r="AK442" s="3" t="str">
        <f>IF(V442=0,"",_xlfn.CONCAT(DADOS!$A$8,X442:AJ442,"
"))</f>
        <v/>
      </c>
    </row>
    <row r="443" spans="5:37" ht="15" customHeight="1" x14ac:dyDescent="0.25">
      <c r="E443" s="22"/>
      <c r="F443" s="22"/>
      <c r="G443" s="12"/>
      <c r="H443" s="22"/>
      <c r="I443" s="13"/>
      <c r="J443" s="14"/>
      <c r="K443" s="12"/>
      <c r="L443" s="15"/>
      <c r="M443" s="16"/>
      <c r="N443" s="15"/>
      <c r="O443" s="16"/>
      <c r="P443" s="17"/>
      <c r="Q443" s="15"/>
      <c r="R443" s="18"/>
      <c r="S443" s="20">
        <v>429</v>
      </c>
      <c r="V443" s="3">
        <f t="shared" si="84"/>
        <v>0</v>
      </c>
      <c r="X443" s="3" t="str">
        <f t="shared" si="85"/>
        <v/>
      </c>
      <c r="Y443" s="3" t="str">
        <f t="shared" si="86"/>
        <v/>
      </c>
      <c r="Z443" s="3" t="str">
        <f t="shared" si="87"/>
        <v/>
      </c>
      <c r="AA443" s="3" t="str">
        <f t="shared" si="97"/>
        <v/>
      </c>
      <c r="AB443" s="3" t="str">
        <f t="shared" si="88"/>
        <v/>
      </c>
      <c r="AC443" s="3" t="str">
        <f t="shared" si="89"/>
        <v/>
      </c>
      <c r="AD443" s="3" t="str">
        <f t="shared" si="90"/>
        <v/>
      </c>
      <c r="AE443" s="3" t="str">
        <f t="shared" si="91"/>
        <v/>
      </c>
      <c r="AF443" s="3" t="str">
        <f t="shared" si="92"/>
        <v/>
      </c>
      <c r="AG443" s="3" t="str">
        <f t="shared" si="93"/>
        <v/>
      </c>
      <c r="AH443" s="3" t="str">
        <f t="shared" si="94"/>
        <v/>
      </c>
      <c r="AI443" s="3" t="str">
        <f t="shared" si="95"/>
        <v/>
      </c>
      <c r="AJ443" s="3" t="str">
        <f t="shared" si="96"/>
        <v/>
      </c>
      <c r="AK443" s="3" t="str">
        <f>IF(V443=0,"",_xlfn.CONCAT(DADOS!$A$8,X443:AJ443,"
"))</f>
        <v/>
      </c>
    </row>
    <row r="444" spans="5:37" ht="15" customHeight="1" x14ac:dyDescent="0.25">
      <c r="E444" s="22"/>
      <c r="F444" s="22"/>
      <c r="G444" s="12"/>
      <c r="H444" s="22"/>
      <c r="I444" s="13"/>
      <c r="J444" s="14"/>
      <c r="K444" s="12"/>
      <c r="L444" s="15"/>
      <c r="M444" s="16"/>
      <c r="N444" s="15"/>
      <c r="O444" s="16"/>
      <c r="P444" s="17"/>
      <c r="Q444" s="15"/>
      <c r="R444" s="18"/>
      <c r="S444" s="20">
        <v>430</v>
      </c>
      <c r="V444" s="3">
        <f t="shared" si="84"/>
        <v>0</v>
      </c>
      <c r="X444" s="3" t="str">
        <f t="shared" si="85"/>
        <v/>
      </c>
      <c r="Y444" s="3" t="str">
        <f t="shared" si="86"/>
        <v/>
      </c>
      <c r="Z444" s="3" t="str">
        <f t="shared" si="87"/>
        <v/>
      </c>
      <c r="AA444" s="3" t="str">
        <f t="shared" si="97"/>
        <v/>
      </c>
      <c r="AB444" s="3" t="str">
        <f t="shared" si="88"/>
        <v/>
      </c>
      <c r="AC444" s="3" t="str">
        <f t="shared" si="89"/>
        <v/>
      </c>
      <c r="AD444" s="3" t="str">
        <f t="shared" si="90"/>
        <v/>
      </c>
      <c r="AE444" s="3" t="str">
        <f t="shared" si="91"/>
        <v/>
      </c>
      <c r="AF444" s="3" t="str">
        <f t="shared" si="92"/>
        <v/>
      </c>
      <c r="AG444" s="3" t="str">
        <f t="shared" si="93"/>
        <v/>
      </c>
      <c r="AH444" s="3" t="str">
        <f t="shared" si="94"/>
        <v/>
      </c>
      <c r="AI444" s="3" t="str">
        <f t="shared" si="95"/>
        <v/>
      </c>
      <c r="AJ444" s="3" t="str">
        <f t="shared" si="96"/>
        <v/>
      </c>
      <c r="AK444" s="3" t="str">
        <f>IF(V444=0,"",_xlfn.CONCAT(DADOS!$A$8,X444:AJ444,"
"))</f>
        <v/>
      </c>
    </row>
    <row r="445" spans="5:37" ht="15" customHeight="1" x14ac:dyDescent="0.25">
      <c r="E445" s="22"/>
      <c r="F445" s="22"/>
      <c r="G445" s="12"/>
      <c r="H445" s="22"/>
      <c r="I445" s="13"/>
      <c r="J445" s="14"/>
      <c r="K445" s="12"/>
      <c r="L445" s="15"/>
      <c r="M445" s="16"/>
      <c r="N445" s="15"/>
      <c r="O445" s="16"/>
      <c r="P445" s="17"/>
      <c r="Q445" s="15"/>
      <c r="R445" s="18"/>
      <c r="S445" s="20">
        <v>431</v>
      </c>
      <c r="V445" s="3">
        <f t="shared" si="84"/>
        <v>0</v>
      </c>
      <c r="X445" s="3" t="str">
        <f t="shared" si="85"/>
        <v/>
      </c>
      <c r="Y445" s="3" t="str">
        <f t="shared" si="86"/>
        <v/>
      </c>
      <c r="Z445" s="3" t="str">
        <f t="shared" si="87"/>
        <v/>
      </c>
      <c r="AA445" s="3" t="str">
        <f t="shared" si="97"/>
        <v/>
      </c>
      <c r="AB445" s="3" t="str">
        <f t="shared" si="88"/>
        <v/>
      </c>
      <c r="AC445" s="3" t="str">
        <f t="shared" si="89"/>
        <v/>
      </c>
      <c r="AD445" s="3" t="str">
        <f t="shared" si="90"/>
        <v/>
      </c>
      <c r="AE445" s="3" t="str">
        <f t="shared" si="91"/>
        <v/>
      </c>
      <c r="AF445" s="3" t="str">
        <f t="shared" si="92"/>
        <v/>
      </c>
      <c r="AG445" s="3" t="str">
        <f t="shared" si="93"/>
        <v/>
      </c>
      <c r="AH445" s="3" t="str">
        <f t="shared" si="94"/>
        <v/>
      </c>
      <c r="AI445" s="3" t="str">
        <f t="shared" si="95"/>
        <v/>
      </c>
      <c r="AJ445" s="3" t="str">
        <f t="shared" si="96"/>
        <v/>
      </c>
      <c r="AK445" s="3" t="str">
        <f>IF(V445=0,"",_xlfn.CONCAT(DADOS!$A$8,X445:AJ445,"
"))</f>
        <v/>
      </c>
    </row>
    <row r="446" spans="5:37" ht="15" customHeight="1" x14ac:dyDescent="0.25">
      <c r="E446" s="22"/>
      <c r="F446" s="22"/>
      <c r="G446" s="12"/>
      <c r="H446" s="22"/>
      <c r="I446" s="13"/>
      <c r="J446" s="14"/>
      <c r="K446" s="12"/>
      <c r="L446" s="15"/>
      <c r="M446" s="16"/>
      <c r="N446" s="15"/>
      <c r="O446" s="16"/>
      <c r="P446" s="17"/>
      <c r="Q446" s="15"/>
      <c r="R446" s="18"/>
      <c r="S446" s="20">
        <v>432</v>
      </c>
      <c r="V446" s="3">
        <f t="shared" si="84"/>
        <v>0</v>
      </c>
      <c r="X446" s="3" t="str">
        <f t="shared" si="85"/>
        <v/>
      </c>
      <c r="Y446" s="3" t="str">
        <f t="shared" si="86"/>
        <v/>
      </c>
      <c r="Z446" s="3" t="str">
        <f t="shared" si="87"/>
        <v/>
      </c>
      <c r="AA446" s="3" t="str">
        <f t="shared" si="97"/>
        <v/>
      </c>
      <c r="AB446" s="3" t="str">
        <f t="shared" si="88"/>
        <v/>
      </c>
      <c r="AC446" s="3" t="str">
        <f t="shared" si="89"/>
        <v/>
      </c>
      <c r="AD446" s="3" t="str">
        <f t="shared" si="90"/>
        <v/>
      </c>
      <c r="AE446" s="3" t="str">
        <f t="shared" si="91"/>
        <v/>
      </c>
      <c r="AF446" s="3" t="str">
        <f t="shared" si="92"/>
        <v/>
      </c>
      <c r="AG446" s="3" t="str">
        <f t="shared" si="93"/>
        <v/>
      </c>
      <c r="AH446" s="3" t="str">
        <f t="shared" si="94"/>
        <v/>
      </c>
      <c r="AI446" s="3" t="str">
        <f t="shared" si="95"/>
        <v/>
      </c>
      <c r="AJ446" s="3" t="str">
        <f t="shared" si="96"/>
        <v/>
      </c>
      <c r="AK446" s="3" t="str">
        <f>IF(V446=0,"",_xlfn.CONCAT(DADOS!$A$8,X446:AJ446,"
"))</f>
        <v/>
      </c>
    </row>
    <row r="447" spans="5:37" ht="15" customHeight="1" x14ac:dyDescent="0.25">
      <c r="E447" s="22"/>
      <c r="F447" s="22"/>
      <c r="G447" s="12"/>
      <c r="H447" s="22"/>
      <c r="I447" s="13"/>
      <c r="J447" s="14"/>
      <c r="K447" s="12"/>
      <c r="L447" s="15"/>
      <c r="M447" s="16"/>
      <c r="N447" s="15"/>
      <c r="O447" s="16"/>
      <c r="P447" s="17"/>
      <c r="Q447" s="15"/>
      <c r="R447" s="18"/>
      <c r="S447" s="20">
        <v>433</v>
      </c>
      <c r="V447" s="3">
        <f t="shared" si="84"/>
        <v>0</v>
      </c>
      <c r="X447" s="3" t="str">
        <f t="shared" si="85"/>
        <v/>
      </c>
      <c r="Y447" s="3" t="str">
        <f t="shared" si="86"/>
        <v/>
      </c>
      <c r="Z447" s="3" t="str">
        <f t="shared" si="87"/>
        <v/>
      </c>
      <c r="AA447" s="3" t="str">
        <f t="shared" si="97"/>
        <v/>
      </c>
      <c r="AB447" s="3" t="str">
        <f t="shared" si="88"/>
        <v/>
      </c>
      <c r="AC447" s="3" t="str">
        <f t="shared" si="89"/>
        <v/>
      </c>
      <c r="AD447" s="3" t="str">
        <f t="shared" si="90"/>
        <v/>
      </c>
      <c r="AE447" s="3" t="str">
        <f t="shared" si="91"/>
        <v/>
      </c>
      <c r="AF447" s="3" t="str">
        <f t="shared" si="92"/>
        <v/>
      </c>
      <c r="AG447" s="3" t="str">
        <f t="shared" si="93"/>
        <v/>
      </c>
      <c r="AH447" s="3" t="str">
        <f t="shared" si="94"/>
        <v/>
      </c>
      <c r="AI447" s="3" t="str">
        <f t="shared" si="95"/>
        <v/>
      </c>
      <c r="AJ447" s="3" t="str">
        <f t="shared" si="96"/>
        <v/>
      </c>
      <c r="AK447" s="3" t="str">
        <f>IF(V447=0,"",_xlfn.CONCAT(DADOS!$A$8,X447:AJ447,"
"))</f>
        <v/>
      </c>
    </row>
    <row r="448" spans="5:37" ht="15" customHeight="1" x14ac:dyDescent="0.25">
      <c r="E448" s="22"/>
      <c r="F448" s="22"/>
      <c r="G448" s="12"/>
      <c r="H448" s="22"/>
      <c r="I448" s="13"/>
      <c r="J448" s="14"/>
      <c r="K448" s="12"/>
      <c r="L448" s="15"/>
      <c r="M448" s="16"/>
      <c r="N448" s="15"/>
      <c r="O448" s="16"/>
      <c r="P448" s="17"/>
      <c r="Q448" s="15"/>
      <c r="R448" s="18"/>
      <c r="S448" s="20">
        <v>434</v>
      </c>
      <c r="V448" s="3">
        <f t="shared" si="84"/>
        <v>0</v>
      </c>
      <c r="X448" s="3" t="str">
        <f t="shared" si="85"/>
        <v/>
      </c>
      <c r="Y448" s="3" t="str">
        <f t="shared" si="86"/>
        <v/>
      </c>
      <c r="Z448" s="3" t="str">
        <f t="shared" si="87"/>
        <v/>
      </c>
      <c r="AA448" s="3" t="str">
        <f t="shared" si="97"/>
        <v/>
      </c>
      <c r="AB448" s="3" t="str">
        <f t="shared" si="88"/>
        <v/>
      </c>
      <c r="AC448" s="3" t="str">
        <f t="shared" si="89"/>
        <v/>
      </c>
      <c r="AD448" s="3" t="str">
        <f t="shared" si="90"/>
        <v/>
      </c>
      <c r="AE448" s="3" t="str">
        <f t="shared" si="91"/>
        <v/>
      </c>
      <c r="AF448" s="3" t="str">
        <f t="shared" si="92"/>
        <v/>
      </c>
      <c r="AG448" s="3" t="str">
        <f t="shared" si="93"/>
        <v/>
      </c>
      <c r="AH448" s="3" t="str">
        <f t="shared" si="94"/>
        <v/>
      </c>
      <c r="AI448" s="3" t="str">
        <f t="shared" si="95"/>
        <v/>
      </c>
      <c r="AJ448" s="3" t="str">
        <f t="shared" si="96"/>
        <v/>
      </c>
      <c r="AK448" s="3" t="str">
        <f>IF(V448=0,"",_xlfn.CONCAT(DADOS!$A$8,X448:AJ448,"
"))</f>
        <v/>
      </c>
    </row>
    <row r="449" spans="5:37" ht="15" customHeight="1" x14ac:dyDescent="0.25">
      <c r="E449" s="22"/>
      <c r="F449" s="22"/>
      <c r="G449" s="12"/>
      <c r="H449" s="22"/>
      <c r="I449" s="13"/>
      <c r="J449" s="14"/>
      <c r="K449" s="12"/>
      <c r="L449" s="15"/>
      <c r="M449" s="16"/>
      <c r="N449" s="15"/>
      <c r="O449" s="16"/>
      <c r="P449" s="17"/>
      <c r="Q449" s="15"/>
      <c r="R449" s="18"/>
      <c r="S449" s="20">
        <v>435</v>
      </c>
      <c r="V449" s="3">
        <f t="shared" si="84"/>
        <v>0</v>
      </c>
      <c r="X449" s="3" t="str">
        <f t="shared" si="85"/>
        <v/>
      </c>
      <c r="Y449" s="3" t="str">
        <f t="shared" si="86"/>
        <v/>
      </c>
      <c r="Z449" s="3" t="str">
        <f t="shared" si="87"/>
        <v/>
      </c>
      <c r="AA449" s="3" t="str">
        <f t="shared" si="97"/>
        <v/>
      </c>
      <c r="AB449" s="3" t="str">
        <f t="shared" si="88"/>
        <v/>
      </c>
      <c r="AC449" s="3" t="str">
        <f t="shared" si="89"/>
        <v/>
      </c>
      <c r="AD449" s="3" t="str">
        <f t="shared" si="90"/>
        <v/>
      </c>
      <c r="AE449" s="3" t="str">
        <f t="shared" si="91"/>
        <v/>
      </c>
      <c r="AF449" s="3" t="str">
        <f t="shared" si="92"/>
        <v/>
      </c>
      <c r="AG449" s="3" t="str">
        <f t="shared" si="93"/>
        <v/>
      </c>
      <c r="AH449" s="3" t="str">
        <f t="shared" si="94"/>
        <v/>
      </c>
      <c r="AI449" s="3" t="str">
        <f t="shared" si="95"/>
        <v/>
      </c>
      <c r="AJ449" s="3" t="str">
        <f t="shared" si="96"/>
        <v/>
      </c>
      <c r="AK449" s="3" t="str">
        <f>IF(V449=0,"",_xlfn.CONCAT(DADOS!$A$8,X449:AJ449,"
"))</f>
        <v/>
      </c>
    </row>
    <row r="450" spans="5:37" ht="15" customHeight="1" x14ac:dyDescent="0.25">
      <c r="E450" s="22"/>
      <c r="F450" s="22"/>
      <c r="G450" s="12"/>
      <c r="H450" s="22"/>
      <c r="I450" s="13"/>
      <c r="J450" s="14"/>
      <c r="K450" s="12"/>
      <c r="L450" s="15"/>
      <c r="M450" s="16"/>
      <c r="N450" s="15"/>
      <c r="O450" s="16"/>
      <c r="P450" s="17"/>
      <c r="Q450" s="15"/>
      <c r="R450" s="18"/>
      <c r="S450" s="20">
        <v>436</v>
      </c>
      <c r="V450" s="3">
        <f t="shared" si="84"/>
        <v>0</v>
      </c>
      <c r="X450" s="3" t="str">
        <f t="shared" si="85"/>
        <v/>
      </c>
      <c r="Y450" s="3" t="str">
        <f t="shared" si="86"/>
        <v/>
      </c>
      <c r="Z450" s="3" t="str">
        <f t="shared" si="87"/>
        <v/>
      </c>
      <c r="AA450" s="3" t="str">
        <f t="shared" si="97"/>
        <v/>
      </c>
      <c r="AB450" s="3" t="str">
        <f t="shared" si="88"/>
        <v/>
      </c>
      <c r="AC450" s="3" t="str">
        <f t="shared" si="89"/>
        <v/>
      </c>
      <c r="AD450" s="3" t="str">
        <f t="shared" si="90"/>
        <v/>
      </c>
      <c r="AE450" s="3" t="str">
        <f t="shared" si="91"/>
        <v/>
      </c>
      <c r="AF450" s="3" t="str">
        <f t="shared" si="92"/>
        <v/>
      </c>
      <c r="AG450" s="3" t="str">
        <f t="shared" si="93"/>
        <v/>
      </c>
      <c r="AH450" s="3" t="str">
        <f t="shared" si="94"/>
        <v/>
      </c>
      <c r="AI450" s="3" t="str">
        <f t="shared" si="95"/>
        <v/>
      </c>
      <c r="AJ450" s="3" t="str">
        <f t="shared" si="96"/>
        <v/>
      </c>
      <c r="AK450" s="3" t="str">
        <f>IF(V450=0,"",_xlfn.CONCAT(DADOS!$A$8,X450:AJ450,"
"))</f>
        <v/>
      </c>
    </row>
    <row r="451" spans="5:37" ht="15" customHeight="1" x14ac:dyDescent="0.25">
      <c r="E451" s="22"/>
      <c r="F451" s="22"/>
      <c r="G451" s="12"/>
      <c r="H451" s="22"/>
      <c r="I451" s="13"/>
      <c r="J451" s="14"/>
      <c r="K451" s="12"/>
      <c r="L451" s="15"/>
      <c r="M451" s="16"/>
      <c r="N451" s="15"/>
      <c r="O451" s="16"/>
      <c r="P451" s="17"/>
      <c r="Q451" s="15"/>
      <c r="R451" s="18"/>
      <c r="S451" s="20">
        <v>437</v>
      </c>
      <c r="V451" s="3">
        <f t="shared" si="84"/>
        <v>0</v>
      </c>
      <c r="X451" s="3" t="str">
        <f t="shared" si="85"/>
        <v/>
      </c>
      <c r="Y451" s="3" t="str">
        <f t="shared" si="86"/>
        <v/>
      </c>
      <c r="Z451" s="3" t="str">
        <f t="shared" si="87"/>
        <v/>
      </c>
      <c r="AA451" s="3" t="str">
        <f t="shared" si="97"/>
        <v/>
      </c>
      <c r="AB451" s="3" t="str">
        <f t="shared" si="88"/>
        <v/>
      </c>
      <c r="AC451" s="3" t="str">
        <f t="shared" si="89"/>
        <v/>
      </c>
      <c r="AD451" s="3" t="str">
        <f t="shared" si="90"/>
        <v/>
      </c>
      <c r="AE451" s="3" t="str">
        <f t="shared" si="91"/>
        <v/>
      </c>
      <c r="AF451" s="3" t="str">
        <f t="shared" si="92"/>
        <v/>
      </c>
      <c r="AG451" s="3" t="str">
        <f t="shared" si="93"/>
        <v/>
      </c>
      <c r="AH451" s="3" t="str">
        <f t="shared" si="94"/>
        <v/>
      </c>
      <c r="AI451" s="3" t="str">
        <f t="shared" si="95"/>
        <v/>
      </c>
      <c r="AJ451" s="3" t="str">
        <f t="shared" si="96"/>
        <v/>
      </c>
      <c r="AK451" s="3" t="str">
        <f>IF(V451=0,"",_xlfn.CONCAT(DADOS!$A$8,X451:AJ451,"
"))</f>
        <v/>
      </c>
    </row>
    <row r="452" spans="5:37" ht="15" customHeight="1" x14ac:dyDescent="0.25">
      <c r="E452" s="22"/>
      <c r="F452" s="22"/>
      <c r="G452" s="12"/>
      <c r="H452" s="22"/>
      <c r="I452" s="13"/>
      <c r="J452" s="14"/>
      <c r="K452" s="12"/>
      <c r="L452" s="15"/>
      <c r="M452" s="16"/>
      <c r="N452" s="15"/>
      <c r="O452" s="16"/>
      <c r="P452" s="17"/>
      <c r="Q452" s="15"/>
      <c r="R452" s="18"/>
      <c r="S452" s="20">
        <v>438</v>
      </c>
      <c r="V452" s="3">
        <f t="shared" si="84"/>
        <v>0</v>
      </c>
      <c r="X452" s="3" t="str">
        <f t="shared" si="85"/>
        <v/>
      </c>
      <c r="Y452" s="3" t="str">
        <f t="shared" si="86"/>
        <v/>
      </c>
      <c r="Z452" s="3" t="str">
        <f t="shared" si="87"/>
        <v/>
      </c>
      <c r="AA452" s="3" t="str">
        <f t="shared" si="97"/>
        <v/>
      </c>
      <c r="AB452" s="3" t="str">
        <f t="shared" si="88"/>
        <v/>
      </c>
      <c r="AC452" s="3" t="str">
        <f t="shared" si="89"/>
        <v/>
      </c>
      <c r="AD452" s="3" t="str">
        <f t="shared" si="90"/>
        <v/>
      </c>
      <c r="AE452" s="3" t="str">
        <f t="shared" si="91"/>
        <v/>
      </c>
      <c r="AF452" s="3" t="str">
        <f t="shared" si="92"/>
        <v/>
      </c>
      <c r="AG452" s="3" t="str">
        <f t="shared" si="93"/>
        <v/>
      </c>
      <c r="AH452" s="3" t="str">
        <f t="shared" si="94"/>
        <v/>
      </c>
      <c r="AI452" s="3" t="str">
        <f t="shared" si="95"/>
        <v/>
      </c>
      <c r="AJ452" s="3" t="str">
        <f t="shared" si="96"/>
        <v/>
      </c>
      <c r="AK452" s="3" t="str">
        <f>IF(V452=0,"",_xlfn.CONCAT(DADOS!$A$8,X452:AJ452,"
"))</f>
        <v/>
      </c>
    </row>
    <row r="453" spans="5:37" ht="15" customHeight="1" x14ac:dyDescent="0.25">
      <c r="E453" s="22"/>
      <c r="F453" s="22"/>
      <c r="G453" s="12"/>
      <c r="H453" s="22"/>
      <c r="I453" s="13"/>
      <c r="J453" s="14"/>
      <c r="K453" s="12"/>
      <c r="L453" s="15"/>
      <c r="M453" s="16"/>
      <c r="N453" s="15"/>
      <c r="O453" s="16"/>
      <c r="P453" s="17"/>
      <c r="Q453" s="15"/>
      <c r="R453" s="18"/>
      <c r="S453" s="20">
        <v>439</v>
      </c>
      <c r="V453" s="3">
        <f t="shared" si="84"/>
        <v>0</v>
      </c>
      <c r="X453" s="3" t="str">
        <f t="shared" si="85"/>
        <v/>
      </c>
      <c r="Y453" s="3" t="str">
        <f t="shared" si="86"/>
        <v/>
      </c>
      <c r="Z453" s="3" t="str">
        <f t="shared" si="87"/>
        <v/>
      </c>
      <c r="AA453" s="3" t="str">
        <f t="shared" si="97"/>
        <v/>
      </c>
      <c r="AB453" s="3" t="str">
        <f t="shared" si="88"/>
        <v/>
      </c>
      <c r="AC453" s="3" t="str">
        <f t="shared" si="89"/>
        <v/>
      </c>
      <c r="AD453" s="3" t="str">
        <f t="shared" si="90"/>
        <v/>
      </c>
      <c r="AE453" s="3" t="str">
        <f t="shared" si="91"/>
        <v/>
      </c>
      <c r="AF453" s="3" t="str">
        <f t="shared" si="92"/>
        <v/>
      </c>
      <c r="AG453" s="3" t="str">
        <f t="shared" si="93"/>
        <v/>
      </c>
      <c r="AH453" s="3" t="str">
        <f t="shared" si="94"/>
        <v/>
      </c>
      <c r="AI453" s="3" t="str">
        <f t="shared" si="95"/>
        <v/>
      </c>
      <c r="AJ453" s="3" t="str">
        <f t="shared" si="96"/>
        <v/>
      </c>
      <c r="AK453" s="3" t="str">
        <f>IF(V453=0,"",_xlfn.CONCAT(DADOS!$A$8,X453:AJ453,"
"))</f>
        <v/>
      </c>
    </row>
    <row r="454" spans="5:37" ht="15" customHeight="1" x14ac:dyDescent="0.25">
      <c r="E454" s="22"/>
      <c r="F454" s="22"/>
      <c r="G454" s="12"/>
      <c r="H454" s="22"/>
      <c r="I454" s="13"/>
      <c r="J454" s="14"/>
      <c r="K454" s="12"/>
      <c r="L454" s="15"/>
      <c r="M454" s="16"/>
      <c r="N454" s="15"/>
      <c r="O454" s="16"/>
      <c r="P454" s="17"/>
      <c r="Q454" s="15"/>
      <c r="R454" s="18"/>
      <c r="S454" s="20">
        <v>440</v>
      </c>
      <c r="V454" s="3">
        <f t="shared" si="84"/>
        <v>0</v>
      </c>
      <c r="X454" s="3" t="str">
        <f t="shared" si="85"/>
        <v/>
      </c>
      <c r="Y454" s="3" t="str">
        <f t="shared" si="86"/>
        <v/>
      </c>
      <c r="Z454" s="3" t="str">
        <f t="shared" si="87"/>
        <v/>
      </c>
      <c r="AA454" s="3" t="str">
        <f t="shared" si="97"/>
        <v/>
      </c>
      <c r="AB454" s="3" t="str">
        <f t="shared" si="88"/>
        <v/>
      </c>
      <c r="AC454" s="3" t="str">
        <f t="shared" si="89"/>
        <v/>
      </c>
      <c r="AD454" s="3" t="str">
        <f t="shared" si="90"/>
        <v/>
      </c>
      <c r="AE454" s="3" t="str">
        <f t="shared" si="91"/>
        <v/>
      </c>
      <c r="AF454" s="3" t="str">
        <f t="shared" si="92"/>
        <v/>
      </c>
      <c r="AG454" s="3" t="str">
        <f t="shared" si="93"/>
        <v/>
      </c>
      <c r="AH454" s="3" t="str">
        <f t="shared" si="94"/>
        <v/>
      </c>
      <c r="AI454" s="3" t="str">
        <f t="shared" si="95"/>
        <v/>
      </c>
      <c r="AJ454" s="3" t="str">
        <f t="shared" si="96"/>
        <v/>
      </c>
      <c r="AK454" s="3" t="str">
        <f>IF(V454=0,"",_xlfn.CONCAT(DADOS!$A$8,X454:AJ454,"
"))</f>
        <v/>
      </c>
    </row>
    <row r="455" spans="5:37" ht="15" customHeight="1" x14ac:dyDescent="0.25">
      <c r="E455" s="22"/>
      <c r="F455" s="22"/>
      <c r="G455" s="12"/>
      <c r="H455" s="22"/>
      <c r="I455" s="13"/>
      <c r="J455" s="14"/>
      <c r="K455" s="12"/>
      <c r="L455" s="15"/>
      <c r="M455" s="16"/>
      <c r="N455" s="15"/>
      <c r="O455" s="16"/>
      <c r="P455" s="17"/>
      <c r="Q455" s="15"/>
      <c r="R455" s="18"/>
      <c r="S455" s="20">
        <v>441</v>
      </c>
      <c r="V455" s="3">
        <f t="shared" si="84"/>
        <v>0</v>
      </c>
      <c r="X455" s="3" t="str">
        <f t="shared" si="85"/>
        <v/>
      </c>
      <c r="Y455" s="3" t="str">
        <f t="shared" si="86"/>
        <v/>
      </c>
      <c r="Z455" s="3" t="str">
        <f t="shared" si="87"/>
        <v/>
      </c>
      <c r="AA455" s="3" t="str">
        <f t="shared" si="97"/>
        <v/>
      </c>
      <c r="AB455" s="3" t="str">
        <f t="shared" si="88"/>
        <v/>
      </c>
      <c r="AC455" s="3" t="str">
        <f t="shared" si="89"/>
        <v/>
      </c>
      <c r="AD455" s="3" t="str">
        <f t="shared" si="90"/>
        <v/>
      </c>
      <c r="AE455" s="3" t="str">
        <f t="shared" si="91"/>
        <v/>
      </c>
      <c r="AF455" s="3" t="str">
        <f t="shared" si="92"/>
        <v/>
      </c>
      <c r="AG455" s="3" t="str">
        <f t="shared" si="93"/>
        <v/>
      </c>
      <c r="AH455" s="3" t="str">
        <f t="shared" si="94"/>
        <v/>
      </c>
      <c r="AI455" s="3" t="str">
        <f t="shared" si="95"/>
        <v/>
      </c>
      <c r="AJ455" s="3" t="str">
        <f t="shared" si="96"/>
        <v/>
      </c>
      <c r="AK455" s="3" t="str">
        <f>IF(V455=0,"",_xlfn.CONCAT(DADOS!$A$8,X455:AJ455,"
"))</f>
        <v/>
      </c>
    </row>
    <row r="456" spans="5:37" ht="15" customHeight="1" x14ac:dyDescent="0.25">
      <c r="E456" s="22"/>
      <c r="F456" s="22"/>
      <c r="G456" s="12"/>
      <c r="H456" s="22"/>
      <c r="I456" s="13"/>
      <c r="J456" s="14"/>
      <c r="K456" s="12"/>
      <c r="L456" s="15"/>
      <c r="M456" s="16"/>
      <c r="N456" s="15"/>
      <c r="O456" s="16"/>
      <c r="P456" s="17"/>
      <c r="Q456" s="15"/>
      <c r="R456" s="18"/>
      <c r="S456" s="20">
        <v>442</v>
      </c>
      <c r="V456" s="3">
        <f t="shared" si="84"/>
        <v>0</v>
      </c>
      <c r="X456" s="3" t="str">
        <f t="shared" si="85"/>
        <v/>
      </c>
      <c r="Y456" s="3" t="str">
        <f t="shared" si="86"/>
        <v/>
      </c>
      <c r="Z456" s="3" t="str">
        <f t="shared" si="87"/>
        <v/>
      </c>
      <c r="AA456" s="3" t="str">
        <f t="shared" si="97"/>
        <v/>
      </c>
      <c r="AB456" s="3" t="str">
        <f t="shared" si="88"/>
        <v/>
      </c>
      <c r="AC456" s="3" t="str">
        <f t="shared" si="89"/>
        <v/>
      </c>
      <c r="AD456" s="3" t="str">
        <f t="shared" si="90"/>
        <v/>
      </c>
      <c r="AE456" s="3" t="str">
        <f t="shared" si="91"/>
        <v/>
      </c>
      <c r="AF456" s="3" t="str">
        <f t="shared" si="92"/>
        <v/>
      </c>
      <c r="AG456" s="3" t="str">
        <f t="shared" si="93"/>
        <v/>
      </c>
      <c r="AH456" s="3" t="str">
        <f t="shared" si="94"/>
        <v/>
      </c>
      <c r="AI456" s="3" t="str">
        <f t="shared" si="95"/>
        <v/>
      </c>
      <c r="AJ456" s="3" t="str">
        <f t="shared" si="96"/>
        <v/>
      </c>
      <c r="AK456" s="3" t="str">
        <f>IF(V456=0,"",_xlfn.CONCAT(DADOS!$A$8,X456:AJ456,"
"))</f>
        <v/>
      </c>
    </row>
    <row r="457" spans="5:37" ht="15" customHeight="1" x14ac:dyDescent="0.25">
      <c r="E457" s="22"/>
      <c r="F457" s="22"/>
      <c r="G457" s="12"/>
      <c r="H457" s="22"/>
      <c r="I457" s="13"/>
      <c r="J457" s="14"/>
      <c r="K457" s="12"/>
      <c r="L457" s="15"/>
      <c r="M457" s="16"/>
      <c r="N457" s="15"/>
      <c r="O457" s="16"/>
      <c r="P457" s="17"/>
      <c r="Q457" s="15"/>
      <c r="R457" s="18"/>
      <c r="S457" s="20">
        <v>443</v>
      </c>
      <c r="V457" s="3">
        <f t="shared" si="84"/>
        <v>0</v>
      </c>
      <c r="X457" s="3" t="str">
        <f t="shared" si="85"/>
        <v/>
      </c>
      <c r="Y457" s="3" t="str">
        <f t="shared" si="86"/>
        <v/>
      </c>
      <c r="Z457" s="3" t="str">
        <f t="shared" si="87"/>
        <v/>
      </c>
      <c r="AA457" s="3" t="str">
        <f t="shared" si="97"/>
        <v/>
      </c>
      <c r="AB457" s="3" t="str">
        <f t="shared" si="88"/>
        <v/>
      </c>
      <c r="AC457" s="3" t="str">
        <f t="shared" si="89"/>
        <v/>
      </c>
      <c r="AD457" s="3" t="str">
        <f t="shared" si="90"/>
        <v/>
      </c>
      <c r="AE457" s="3" t="str">
        <f t="shared" si="91"/>
        <v/>
      </c>
      <c r="AF457" s="3" t="str">
        <f t="shared" si="92"/>
        <v/>
      </c>
      <c r="AG457" s="3" t="str">
        <f t="shared" si="93"/>
        <v/>
      </c>
      <c r="AH457" s="3" t="str">
        <f t="shared" si="94"/>
        <v/>
      </c>
      <c r="AI457" s="3" t="str">
        <f t="shared" si="95"/>
        <v/>
      </c>
      <c r="AJ457" s="3" t="str">
        <f t="shared" si="96"/>
        <v/>
      </c>
      <c r="AK457" s="3" t="str">
        <f>IF(V457=0,"",_xlfn.CONCAT(DADOS!$A$8,X457:AJ457,"
"))</f>
        <v/>
      </c>
    </row>
    <row r="458" spans="5:37" ht="15" customHeight="1" x14ac:dyDescent="0.25">
      <c r="E458" s="22"/>
      <c r="F458" s="22"/>
      <c r="G458" s="12"/>
      <c r="H458" s="22"/>
      <c r="I458" s="13"/>
      <c r="J458" s="14"/>
      <c r="K458" s="12"/>
      <c r="L458" s="15"/>
      <c r="M458" s="16"/>
      <c r="N458" s="15"/>
      <c r="O458" s="16"/>
      <c r="P458" s="17"/>
      <c r="Q458" s="15"/>
      <c r="R458" s="18"/>
      <c r="S458" s="20">
        <v>444</v>
      </c>
      <c r="V458" s="3">
        <f t="shared" si="84"/>
        <v>0</v>
      </c>
      <c r="X458" s="3" t="str">
        <f t="shared" si="85"/>
        <v/>
      </c>
      <c r="Y458" s="3" t="str">
        <f t="shared" si="86"/>
        <v/>
      </c>
      <c r="Z458" s="3" t="str">
        <f t="shared" si="87"/>
        <v/>
      </c>
      <c r="AA458" s="3" t="str">
        <f t="shared" si="97"/>
        <v/>
      </c>
      <c r="AB458" s="3" t="str">
        <f t="shared" si="88"/>
        <v/>
      </c>
      <c r="AC458" s="3" t="str">
        <f t="shared" si="89"/>
        <v/>
      </c>
      <c r="AD458" s="3" t="str">
        <f t="shared" si="90"/>
        <v/>
      </c>
      <c r="AE458" s="3" t="str">
        <f t="shared" si="91"/>
        <v/>
      </c>
      <c r="AF458" s="3" t="str">
        <f t="shared" si="92"/>
        <v/>
      </c>
      <c r="AG458" s="3" t="str">
        <f t="shared" si="93"/>
        <v/>
      </c>
      <c r="AH458" s="3" t="str">
        <f t="shared" si="94"/>
        <v/>
      </c>
      <c r="AI458" s="3" t="str">
        <f t="shared" si="95"/>
        <v/>
      </c>
      <c r="AJ458" s="3" t="str">
        <f t="shared" si="96"/>
        <v/>
      </c>
      <c r="AK458" s="3" t="str">
        <f>IF(V458=0,"",_xlfn.CONCAT(DADOS!$A$8,X458:AJ458,"
"))</f>
        <v/>
      </c>
    </row>
    <row r="459" spans="5:37" ht="15" customHeight="1" x14ac:dyDescent="0.25">
      <c r="E459" s="22"/>
      <c r="F459" s="22"/>
      <c r="G459" s="12"/>
      <c r="H459" s="22"/>
      <c r="I459" s="13"/>
      <c r="J459" s="14"/>
      <c r="K459" s="12"/>
      <c r="L459" s="15"/>
      <c r="M459" s="16"/>
      <c r="N459" s="15"/>
      <c r="O459" s="16"/>
      <c r="P459" s="17"/>
      <c r="Q459" s="15"/>
      <c r="R459" s="18"/>
      <c r="S459" s="20">
        <v>445</v>
      </c>
      <c r="V459" s="3">
        <f t="shared" si="84"/>
        <v>0</v>
      </c>
      <c r="X459" s="3" t="str">
        <f t="shared" si="85"/>
        <v/>
      </c>
      <c r="Y459" s="3" t="str">
        <f t="shared" si="86"/>
        <v/>
      </c>
      <c r="Z459" s="3" t="str">
        <f t="shared" si="87"/>
        <v/>
      </c>
      <c r="AA459" s="3" t="str">
        <f t="shared" si="97"/>
        <v/>
      </c>
      <c r="AB459" s="3" t="str">
        <f t="shared" si="88"/>
        <v/>
      </c>
      <c r="AC459" s="3" t="str">
        <f t="shared" si="89"/>
        <v/>
      </c>
      <c r="AD459" s="3" t="str">
        <f t="shared" si="90"/>
        <v/>
      </c>
      <c r="AE459" s="3" t="str">
        <f t="shared" si="91"/>
        <v/>
      </c>
      <c r="AF459" s="3" t="str">
        <f t="shared" si="92"/>
        <v/>
      </c>
      <c r="AG459" s="3" t="str">
        <f t="shared" si="93"/>
        <v/>
      </c>
      <c r="AH459" s="3" t="str">
        <f t="shared" si="94"/>
        <v/>
      </c>
      <c r="AI459" s="3" t="str">
        <f t="shared" si="95"/>
        <v/>
      </c>
      <c r="AJ459" s="3" t="str">
        <f t="shared" si="96"/>
        <v/>
      </c>
      <c r="AK459" s="3" t="str">
        <f>IF(V459=0,"",_xlfn.CONCAT(DADOS!$A$8,X459:AJ459,"
"))</f>
        <v/>
      </c>
    </row>
    <row r="460" spans="5:37" ht="15" customHeight="1" x14ac:dyDescent="0.25">
      <c r="E460" s="22"/>
      <c r="F460" s="22"/>
      <c r="G460" s="12"/>
      <c r="H460" s="22"/>
      <c r="I460" s="13"/>
      <c r="J460" s="14"/>
      <c r="K460" s="12"/>
      <c r="L460" s="15"/>
      <c r="M460" s="16"/>
      <c r="N460" s="15"/>
      <c r="O460" s="16"/>
      <c r="P460" s="17"/>
      <c r="Q460" s="15"/>
      <c r="R460" s="18"/>
      <c r="S460" s="20">
        <v>446</v>
      </c>
      <c r="V460" s="3">
        <f t="shared" si="84"/>
        <v>0</v>
      </c>
      <c r="X460" s="3" t="str">
        <f t="shared" si="85"/>
        <v/>
      </c>
      <c r="Y460" s="3" t="str">
        <f t="shared" si="86"/>
        <v/>
      </c>
      <c r="Z460" s="3" t="str">
        <f t="shared" si="87"/>
        <v/>
      </c>
      <c r="AA460" s="3" t="str">
        <f t="shared" si="97"/>
        <v/>
      </c>
      <c r="AB460" s="3" t="str">
        <f t="shared" si="88"/>
        <v/>
      </c>
      <c r="AC460" s="3" t="str">
        <f t="shared" si="89"/>
        <v/>
      </c>
      <c r="AD460" s="3" t="str">
        <f t="shared" si="90"/>
        <v/>
      </c>
      <c r="AE460" s="3" t="str">
        <f t="shared" si="91"/>
        <v/>
      </c>
      <c r="AF460" s="3" t="str">
        <f t="shared" si="92"/>
        <v/>
      </c>
      <c r="AG460" s="3" t="str">
        <f t="shared" si="93"/>
        <v/>
      </c>
      <c r="AH460" s="3" t="str">
        <f t="shared" si="94"/>
        <v/>
      </c>
      <c r="AI460" s="3" t="str">
        <f t="shared" si="95"/>
        <v/>
      </c>
      <c r="AJ460" s="3" t="str">
        <f t="shared" si="96"/>
        <v/>
      </c>
      <c r="AK460" s="3" t="str">
        <f>IF(V460=0,"",_xlfn.CONCAT(DADOS!$A$8,X460:AJ460,"
"))</f>
        <v/>
      </c>
    </row>
    <row r="461" spans="5:37" ht="15" customHeight="1" x14ac:dyDescent="0.25">
      <c r="E461" s="22"/>
      <c r="F461" s="22"/>
      <c r="G461" s="12"/>
      <c r="H461" s="22"/>
      <c r="I461" s="13"/>
      <c r="J461" s="14"/>
      <c r="K461" s="12"/>
      <c r="L461" s="15"/>
      <c r="M461" s="16"/>
      <c r="N461" s="15"/>
      <c r="O461" s="16"/>
      <c r="P461" s="17"/>
      <c r="Q461" s="15"/>
      <c r="R461" s="18"/>
      <c r="S461" s="20">
        <v>447</v>
      </c>
      <c r="V461" s="3">
        <f t="shared" si="84"/>
        <v>0</v>
      </c>
      <c r="X461" s="3" t="str">
        <f t="shared" si="85"/>
        <v/>
      </c>
      <c r="Y461" s="3" t="str">
        <f t="shared" si="86"/>
        <v/>
      </c>
      <c r="Z461" s="3" t="str">
        <f t="shared" si="87"/>
        <v/>
      </c>
      <c r="AA461" s="3" t="str">
        <f t="shared" si="97"/>
        <v/>
      </c>
      <c r="AB461" s="3" t="str">
        <f t="shared" si="88"/>
        <v/>
      </c>
      <c r="AC461" s="3" t="str">
        <f t="shared" si="89"/>
        <v/>
      </c>
      <c r="AD461" s="3" t="str">
        <f t="shared" si="90"/>
        <v/>
      </c>
      <c r="AE461" s="3" t="str">
        <f t="shared" si="91"/>
        <v/>
      </c>
      <c r="AF461" s="3" t="str">
        <f t="shared" si="92"/>
        <v/>
      </c>
      <c r="AG461" s="3" t="str">
        <f t="shared" si="93"/>
        <v/>
      </c>
      <c r="AH461" s="3" t="str">
        <f t="shared" si="94"/>
        <v/>
      </c>
      <c r="AI461" s="3" t="str">
        <f t="shared" si="95"/>
        <v/>
      </c>
      <c r="AJ461" s="3" t="str">
        <f t="shared" si="96"/>
        <v/>
      </c>
      <c r="AK461" s="3" t="str">
        <f>IF(V461=0,"",_xlfn.CONCAT(DADOS!$A$8,X461:AJ461,"
"))</f>
        <v/>
      </c>
    </row>
    <row r="462" spans="5:37" ht="15" customHeight="1" x14ac:dyDescent="0.25">
      <c r="E462" s="22"/>
      <c r="F462" s="22"/>
      <c r="G462" s="12"/>
      <c r="H462" s="22"/>
      <c r="I462" s="13"/>
      <c r="J462" s="14"/>
      <c r="K462" s="12"/>
      <c r="L462" s="15"/>
      <c r="M462" s="16"/>
      <c r="N462" s="15"/>
      <c r="O462" s="16"/>
      <c r="P462" s="17"/>
      <c r="Q462" s="15"/>
      <c r="R462" s="18"/>
      <c r="S462" s="20">
        <v>448</v>
      </c>
      <c r="V462" s="3">
        <f t="shared" si="84"/>
        <v>0</v>
      </c>
      <c r="X462" s="3" t="str">
        <f t="shared" si="85"/>
        <v/>
      </c>
      <c r="Y462" s="3" t="str">
        <f t="shared" si="86"/>
        <v/>
      </c>
      <c r="Z462" s="3" t="str">
        <f t="shared" si="87"/>
        <v/>
      </c>
      <c r="AA462" s="3" t="str">
        <f t="shared" si="97"/>
        <v/>
      </c>
      <c r="AB462" s="3" t="str">
        <f t="shared" si="88"/>
        <v/>
      </c>
      <c r="AC462" s="3" t="str">
        <f t="shared" si="89"/>
        <v/>
      </c>
      <c r="AD462" s="3" t="str">
        <f t="shared" si="90"/>
        <v/>
      </c>
      <c r="AE462" s="3" t="str">
        <f t="shared" si="91"/>
        <v/>
      </c>
      <c r="AF462" s="3" t="str">
        <f t="shared" si="92"/>
        <v/>
      </c>
      <c r="AG462" s="3" t="str">
        <f t="shared" si="93"/>
        <v/>
      </c>
      <c r="AH462" s="3" t="str">
        <f t="shared" si="94"/>
        <v/>
      </c>
      <c r="AI462" s="3" t="str">
        <f t="shared" si="95"/>
        <v/>
      </c>
      <c r="AJ462" s="3" t="str">
        <f t="shared" si="96"/>
        <v/>
      </c>
      <c r="AK462" s="3" t="str">
        <f>IF(V462=0,"",_xlfn.CONCAT(DADOS!$A$8,X462:AJ462,"
"))</f>
        <v/>
      </c>
    </row>
    <row r="463" spans="5:37" ht="15" customHeight="1" x14ac:dyDescent="0.25">
      <c r="E463" s="22"/>
      <c r="F463" s="22"/>
      <c r="G463" s="12"/>
      <c r="H463" s="22"/>
      <c r="I463" s="13"/>
      <c r="J463" s="14"/>
      <c r="K463" s="12"/>
      <c r="L463" s="15"/>
      <c r="M463" s="16"/>
      <c r="N463" s="15"/>
      <c r="O463" s="16"/>
      <c r="P463" s="17"/>
      <c r="Q463" s="15"/>
      <c r="R463" s="18"/>
      <c r="S463" s="20">
        <v>449</v>
      </c>
      <c r="V463" s="3">
        <f t="shared" ref="V463:V514" si="98">IF(E463="",0,1)</f>
        <v>0</v>
      </c>
      <c r="X463" s="3" t="str">
        <f t="shared" ref="X463:X514" si="99">_xlfn.CONCAT(E463,IF(LEN(E463)=1,"  ",IF(LEN(E463)=2," ","")))</f>
        <v/>
      </c>
      <c r="Y463" s="3" t="str">
        <f t="shared" ref="Y463:Y514" si="100">_xlfn.CONCAT(F463,IF(LEN(F463)=1,"  ",IF(LEN(F463)=2," ","")))</f>
        <v/>
      </c>
      <c r="Z463" s="3" t="str">
        <f t="shared" ref="Z463:Z514" si="101">IF(V463=0,"",G463)</f>
        <v/>
      </c>
      <c r="AA463" s="3" t="str">
        <f t="shared" si="97"/>
        <v/>
      </c>
      <c r="AB463" s="3" t="str">
        <f t="shared" ref="AB463:AB514" si="102">IF(V463=0,"",IF(LEN(I463)=1,_xlfn.CONCAT(0,I463),I463))</f>
        <v/>
      </c>
      <c r="AC463" s="3" t="str">
        <f t="shared" ref="AC463:AC514" si="103">IF(I463=20,"",(IF(I463=8,IF(LEN(J463)=1,_xlfn.CONCAT("00",J463),IF(LEN(J463)=2,_xlfn.CONCAT("0",J463),J463)),"")))</f>
        <v/>
      </c>
      <c r="AD463" s="3" t="str">
        <f t="shared" ref="AD463:AD514" si="104">IF(I463=20,"",IF(I463=8,IF(LEN(K463)=1,_xlfn.CONCAT(0,K463),K463),""))</f>
        <v/>
      </c>
      <c r="AE463" s="3" t="str">
        <f t="shared" ref="AE463:AE514" si="105">IF(I463=8,L463,"")</f>
        <v/>
      </c>
      <c r="AF463" s="3" t="str">
        <f t="shared" ref="AF463:AF514" si="106">IF(V463=0,"",IF($I463=20,"",IF(LEN(M463)=1,_xlfn.CONCAT("00",M463),IF(LEN(M463)=2,_xlfn.CONCAT("0",M463),M463))))</f>
        <v/>
      </c>
      <c r="AG463" s="3" t="str">
        <f t="shared" ref="AG463:AG514" si="107">IF(V463=0,"",IF($I463=20,"",IF(LEN(N463)=1,_xlfn.CONCAT(0,N463),N463)))</f>
        <v/>
      </c>
      <c r="AH463" s="3" t="str">
        <f t="shared" ref="AH463:AH514" si="108">IF(V463=0,"",IF($I463=20,"",IF(LEN(P463)=3,_xlfn.CONCAT("00",P463),_xlfn.CONCAT("0",P463))))</f>
        <v/>
      </c>
      <c r="AI463" s="3" t="str">
        <f t="shared" ref="AI463:AI513" si="109">IF(V463=0,"",IF(I463=20,"",_xlfn.CONCAT(R463,"0",$AJ$14)))</f>
        <v/>
      </c>
      <c r="AJ463" s="3" t="str">
        <f t="shared" ref="AJ463:AJ514" si="110">IF(V463=0,"",IF(LEN(R463)&lt;4,$AJ$14,""))</f>
        <v/>
      </c>
      <c r="AK463" s="3" t="str">
        <f>IF(V463=0,"",_xlfn.CONCAT(DADOS!$A$8,X463:AJ463,"
"))</f>
        <v/>
      </c>
    </row>
    <row r="464" spans="5:37" ht="15.75" x14ac:dyDescent="0.25">
      <c r="E464" s="22"/>
      <c r="F464" s="22"/>
      <c r="G464" s="12"/>
      <c r="H464" s="22"/>
      <c r="I464" s="13"/>
      <c r="J464" s="14"/>
      <c r="K464" s="12"/>
      <c r="L464" s="15"/>
      <c r="M464" s="16"/>
      <c r="N464" s="15"/>
      <c r="O464" s="16"/>
      <c r="P464" s="17"/>
      <c r="Q464" s="15"/>
      <c r="R464" s="18"/>
      <c r="S464" s="20">
        <v>450</v>
      </c>
      <c r="V464" s="3">
        <f t="shared" si="98"/>
        <v>0</v>
      </c>
      <c r="X464" s="3" t="str">
        <f t="shared" si="99"/>
        <v/>
      </c>
      <c r="Y464" s="3" t="str">
        <f t="shared" si="100"/>
        <v/>
      </c>
      <c r="Z464" s="3" t="str">
        <f t="shared" si="101"/>
        <v/>
      </c>
      <c r="AA464" s="3" t="str">
        <f t="shared" ref="AA464:AA514" si="111">IF(OR(G464=0,G464=4),"",H464)</f>
        <v/>
      </c>
      <c r="AB464" s="3" t="str">
        <f t="shared" si="102"/>
        <v/>
      </c>
      <c r="AC464" s="3" t="str">
        <f t="shared" si="103"/>
        <v/>
      </c>
      <c r="AD464" s="3" t="str">
        <f t="shared" si="104"/>
        <v/>
      </c>
      <c r="AE464" s="3" t="str">
        <f t="shared" si="105"/>
        <v/>
      </c>
      <c r="AF464" s="3" t="str">
        <f t="shared" si="106"/>
        <v/>
      </c>
      <c r="AG464" s="3" t="str">
        <f t="shared" si="107"/>
        <v/>
      </c>
      <c r="AH464" s="3" t="str">
        <f t="shared" si="108"/>
        <v/>
      </c>
      <c r="AI464" s="3" t="str">
        <f t="shared" si="109"/>
        <v/>
      </c>
      <c r="AJ464" s="3" t="str">
        <f t="shared" si="110"/>
        <v/>
      </c>
      <c r="AK464" s="3" t="str">
        <f>IF(V464=0,"",_xlfn.CONCAT(DADOS!$A$8,X464:AJ464,"
"))</f>
        <v/>
      </c>
    </row>
    <row r="465" spans="5:37" ht="15" customHeight="1" x14ac:dyDescent="0.25">
      <c r="E465" s="22"/>
      <c r="F465" s="22"/>
      <c r="G465" s="12"/>
      <c r="H465" s="22"/>
      <c r="I465" s="13"/>
      <c r="J465" s="14"/>
      <c r="K465" s="12"/>
      <c r="L465" s="15"/>
      <c r="M465" s="16"/>
      <c r="N465" s="15"/>
      <c r="O465" s="16"/>
      <c r="P465" s="17"/>
      <c r="Q465" s="15"/>
      <c r="R465" s="18"/>
      <c r="S465" s="20">
        <v>451</v>
      </c>
      <c r="V465" s="3">
        <f t="shared" si="98"/>
        <v>0</v>
      </c>
      <c r="X465" s="3" t="str">
        <f t="shared" si="99"/>
        <v/>
      </c>
      <c r="Y465" s="3" t="str">
        <f t="shared" si="100"/>
        <v/>
      </c>
      <c r="Z465" s="3" t="str">
        <f t="shared" si="101"/>
        <v/>
      </c>
      <c r="AA465" s="3" t="str">
        <f t="shared" si="111"/>
        <v/>
      </c>
      <c r="AB465" s="3" t="str">
        <f t="shared" si="102"/>
        <v/>
      </c>
      <c r="AC465" s="3" t="str">
        <f t="shared" si="103"/>
        <v/>
      </c>
      <c r="AD465" s="3" t="str">
        <f t="shared" si="104"/>
        <v/>
      </c>
      <c r="AE465" s="3" t="str">
        <f t="shared" si="105"/>
        <v/>
      </c>
      <c r="AF465" s="3" t="str">
        <f t="shared" si="106"/>
        <v/>
      </c>
      <c r="AG465" s="3" t="str">
        <f t="shared" si="107"/>
        <v/>
      </c>
      <c r="AH465" s="3" t="str">
        <f t="shared" si="108"/>
        <v/>
      </c>
      <c r="AI465" s="3" t="str">
        <f t="shared" si="109"/>
        <v/>
      </c>
      <c r="AJ465" s="3" t="str">
        <f t="shared" si="110"/>
        <v/>
      </c>
      <c r="AK465" s="3" t="str">
        <f>IF(V465=0,"",_xlfn.CONCAT(DADOS!$A$8,X465:AJ465,"
"))</f>
        <v/>
      </c>
    </row>
    <row r="466" spans="5:37" ht="15" customHeight="1" x14ac:dyDescent="0.25">
      <c r="E466" s="22"/>
      <c r="F466" s="22"/>
      <c r="G466" s="12"/>
      <c r="H466" s="22"/>
      <c r="I466" s="13"/>
      <c r="J466" s="14"/>
      <c r="K466" s="12"/>
      <c r="L466" s="15"/>
      <c r="M466" s="16"/>
      <c r="N466" s="15"/>
      <c r="O466" s="16"/>
      <c r="P466" s="17"/>
      <c r="Q466" s="15"/>
      <c r="R466" s="18"/>
      <c r="S466" s="20">
        <v>452</v>
      </c>
      <c r="V466" s="3">
        <f t="shared" si="98"/>
        <v>0</v>
      </c>
      <c r="X466" s="3" t="str">
        <f t="shared" si="99"/>
        <v/>
      </c>
      <c r="Y466" s="3" t="str">
        <f t="shared" si="100"/>
        <v/>
      </c>
      <c r="Z466" s="3" t="str">
        <f t="shared" si="101"/>
        <v/>
      </c>
      <c r="AA466" s="3" t="str">
        <f t="shared" si="111"/>
        <v/>
      </c>
      <c r="AB466" s="3" t="str">
        <f t="shared" si="102"/>
        <v/>
      </c>
      <c r="AC466" s="3" t="str">
        <f t="shared" si="103"/>
        <v/>
      </c>
      <c r="AD466" s="3" t="str">
        <f t="shared" si="104"/>
        <v/>
      </c>
      <c r="AE466" s="3" t="str">
        <f t="shared" si="105"/>
        <v/>
      </c>
      <c r="AF466" s="3" t="str">
        <f t="shared" si="106"/>
        <v/>
      </c>
      <c r="AG466" s="3" t="str">
        <f t="shared" si="107"/>
        <v/>
      </c>
      <c r="AH466" s="3" t="str">
        <f t="shared" si="108"/>
        <v/>
      </c>
      <c r="AI466" s="3" t="str">
        <f t="shared" si="109"/>
        <v/>
      </c>
      <c r="AJ466" s="3" t="str">
        <f t="shared" si="110"/>
        <v/>
      </c>
      <c r="AK466" s="3" t="str">
        <f>IF(V466=0,"",_xlfn.CONCAT(DADOS!$A$8,X466:AJ466,"
"))</f>
        <v/>
      </c>
    </row>
    <row r="467" spans="5:37" ht="15" customHeight="1" x14ac:dyDescent="0.25">
      <c r="E467" s="22"/>
      <c r="F467" s="22"/>
      <c r="G467" s="12"/>
      <c r="H467" s="22"/>
      <c r="I467" s="13"/>
      <c r="J467" s="14"/>
      <c r="K467" s="12"/>
      <c r="L467" s="15"/>
      <c r="M467" s="16"/>
      <c r="N467" s="15"/>
      <c r="O467" s="16"/>
      <c r="P467" s="17"/>
      <c r="Q467" s="15"/>
      <c r="R467" s="18"/>
      <c r="S467" s="20">
        <v>453</v>
      </c>
      <c r="V467" s="3">
        <f t="shared" si="98"/>
        <v>0</v>
      </c>
      <c r="X467" s="3" t="str">
        <f t="shared" si="99"/>
        <v/>
      </c>
      <c r="Y467" s="3" t="str">
        <f t="shared" si="100"/>
        <v/>
      </c>
      <c r="Z467" s="3" t="str">
        <f t="shared" si="101"/>
        <v/>
      </c>
      <c r="AA467" s="3" t="str">
        <f t="shared" si="111"/>
        <v/>
      </c>
      <c r="AB467" s="3" t="str">
        <f t="shared" si="102"/>
        <v/>
      </c>
      <c r="AC467" s="3" t="str">
        <f t="shared" si="103"/>
        <v/>
      </c>
      <c r="AD467" s="3" t="str">
        <f t="shared" si="104"/>
        <v/>
      </c>
      <c r="AE467" s="3" t="str">
        <f t="shared" si="105"/>
        <v/>
      </c>
      <c r="AF467" s="3" t="str">
        <f t="shared" si="106"/>
        <v/>
      </c>
      <c r="AG467" s="3" t="str">
        <f t="shared" si="107"/>
        <v/>
      </c>
      <c r="AH467" s="3" t="str">
        <f t="shared" si="108"/>
        <v/>
      </c>
      <c r="AI467" s="3" t="str">
        <f t="shared" si="109"/>
        <v/>
      </c>
      <c r="AJ467" s="3" t="str">
        <f t="shared" si="110"/>
        <v/>
      </c>
      <c r="AK467" s="3" t="str">
        <f>IF(V467=0,"",_xlfn.CONCAT(DADOS!$A$8,X467:AJ467,"
"))</f>
        <v/>
      </c>
    </row>
    <row r="468" spans="5:37" ht="15" customHeight="1" x14ac:dyDescent="0.25">
      <c r="E468" s="22"/>
      <c r="F468" s="22"/>
      <c r="G468" s="12"/>
      <c r="H468" s="22"/>
      <c r="I468" s="13"/>
      <c r="J468" s="14"/>
      <c r="K468" s="12"/>
      <c r="L468" s="15"/>
      <c r="M468" s="16"/>
      <c r="N468" s="15"/>
      <c r="O468" s="16"/>
      <c r="P468" s="17"/>
      <c r="Q468" s="15"/>
      <c r="R468" s="18"/>
      <c r="S468" s="20">
        <v>454</v>
      </c>
      <c r="V468" s="3">
        <f t="shared" si="98"/>
        <v>0</v>
      </c>
      <c r="X468" s="3" t="str">
        <f t="shared" si="99"/>
        <v/>
      </c>
      <c r="Y468" s="3" t="str">
        <f t="shared" si="100"/>
        <v/>
      </c>
      <c r="Z468" s="3" t="str">
        <f t="shared" si="101"/>
        <v/>
      </c>
      <c r="AA468" s="3" t="str">
        <f t="shared" si="111"/>
        <v/>
      </c>
      <c r="AB468" s="3" t="str">
        <f t="shared" si="102"/>
        <v/>
      </c>
      <c r="AC468" s="3" t="str">
        <f t="shared" si="103"/>
        <v/>
      </c>
      <c r="AD468" s="3" t="str">
        <f t="shared" si="104"/>
        <v/>
      </c>
      <c r="AE468" s="3" t="str">
        <f t="shared" si="105"/>
        <v/>
      </c>
      <c r="AF468" s="3" t="str">
        <f t="shared" si="106"/>
        <v/>
      </c>
      <c r="AG468" s="3" t="str">
        <f t="shared" si="107"/>
        <v/>
      </c>
      <c r="AH468" s="3" t="str">
        <f t="shared" si="108"/>
        <v/>
      </c>
      <c r="AI468" s="3" t="str">
        <f t="shared" si="109"/>
        <v/>
      </c>
      <c r="AJ468" s="3" t="str">
        <f t="shared" si="110"/>
        <v/>
      </c>
      <c r="AK468" s="3" t="str">
        <f>IF(V468=0,"",_xlfn.CONCAT(DADOS!$A$8,X468:AJ468,"
"))</f>
        <v/>
      </c>
    </row>
    <row r="469" spans="5:37" ht="15" customHeight="1" x14ac:dyDescent="0.25">
      <c r="E469" s="22"/>
      <c r="F469" s="22"/>
      <c r="G469" s="12"/>
      <c r="H469" s="22"/>
      <c r="I469" s="13"/>
      <c r="J469" s="14"/>
      <c r="K469" s="12"/>
      <c r="L469" s="15"/>
      <c r="M469" s="16"/>
      <c r="N469" s="15"/>
      <c r="O469" s="16"/>
      <c r="P469" s="17"/>
      <c r="Q469" s="15"/>
      <c r="R469" s="18"/>
      <c r="S469" s="20">
        <v>455</v>
      </c>
      <c r="V469" s="3">
        <f t="shared" si="98"/>
        <v>0</v>
      </c>
      <c r="X469" s="3" t="str">
        <f t="shared" si="99"/>
        <v/>
      </c>
      <c r="Y469" s="3" t="str">
        <f t="shared" si="100"/>
        <v/>
      </c>
      <c r="Z469" s="3" t="str">
        <f t="shared" si="101"/>
        <v/>
      </c>
      <c r="AA469" s="3" t="str">
        <f t="shared" si="111"/>
        <v/>
      </c>
      <c r="AB469" s="3" t="str">
        <f t="shared" si="102"/>
        <v/>
      </c>
      <c r="AC469" s="3" t="str">
        <f t="shared" si="103"/>
        <v/>
      </c>
      <c r="AD469" s="3" t="str">
        <f t="shared" si="104"/>
        <v/>
      </c>
      <c r="AE469" s="3" t="str">
        <f t="shared" si="105"/>
        <v/>
      </c>
      <c r="AF469" s="3" t="str">
        <f t="shared" si="106"/>
        <v/>
      </c>
      <c r="AG469" s="3" t="str">
        <f t="shared" si="107"/>
        <v/>
      </c>
      <c r="AH469" s="3" t="str">
        <f t="shared" si="108"/>
        <v/>
      </c>
      <c r="AI469" s="3" t="str">
        <f t="shared" si="109"/>
        <v/>
      </c>
      <c r="AJ469" s="3" t="str">
        <f t="shared" si="110"/>
        <v/>
      </c>
      <c r="AK469" s="3" t="str">
        <f>IF(V469=0,"",_xlfn.CONCAT(DADOS!$A$8,X469:AJ469,"
"))</f>
        <v/>
      </c>
    </row>
    <row r="470" spans="5:37" ht="15" customHeight="1" x14ac:dyDescent="0.25">
      <c r="E470" s="22"/>
      <c r="F470" s="22"/>
      <c r="G470" s="12"/>
      <c r="H470" s="22"/>
      <c r="I470" s="13"/>
      <c r="J470" s="14"/>
      <c r="K470" s="12"/>
      <c r="L470" s="15"/>
      <c r="M470" s="16"/>
      <c r="N470" s="15"/>
      <c r="O470" s="16"/>
      <c r="P470" s="17"/>
      <c r="Q470" s="15"/>
      <c r="R470" s="18"/>
      <c r="S470" s="20">
        <v>456</v>
      </c>
      <c r="V470" s="3">
        <f t="shared" si="98"/>
        <v>0</v>
      </c>
      <c r="X470" s="3" t="str">
        <f t="shared" si="99"/>
        <v/>
      </c>
      <c r="Y470" s="3" t="str">
        <f t="shared" si="100"/>
        <v/>
      </c>
      <c r="Z470" s="3" t="str">
        <f t="shared" si="101"/>
        <v/>
      </c>
      <c r="AA470" s="3" t="str">
        <f t="shared" si="111"/>
        <v/>
      </c>
      <c r="AB470" s="3" t="str">
        <f t="shared" si="102"/>
        <v/>
      </c>
      <c r="AC470" s="3" t="str">
        <f t="shared" si="103"/>
        <v/>
      </c>
      <c r="AD470" s="3" t="str">
        <f t="shared" si="104"/>
        <v/>
      </c>
      <c r="AE470" s="3" t="str">
        <f t="shared" si="105"/>
        <v/>
      </c>
      <c r="AF470" s="3" t="str">
        <f t="shared" si="106"/>
        <v/>
      </c>
      <c r="AG470" s="3" t="str">
        <f t="shared" si="107"/>
        <v/>
      </c>
      <c r="AH470" s="3" t="str">
        <f t="shared" si="108"/>
        <v/>
      </c>
      <c r="AI470" s="3" t="str">
        <f t="shared" si="109"/>
        <v/>
      </c>
      <c r="AJ470" s="3" t="str">
        <f t="shared" si="110"/>
        <v/>
      </c>
      <c r="AK470" s="3" t="str">
        <f>IF(V470=0,"",_xlfn.CONCAT(DADOS!$A$8,X470:AJ470,"
"))</f>
        <v/>
      </c>
    </row>
    <row r="471" spans="5:37" ht="15" customHeight="1" x14ac:dyDescent="0.25">
      <c r="E471" s="22"/>
      <c r="F471" s="22"/>
      <c r="G471" s="12"/>
      <c r="H471" s="22"/>
      <c r="I471" s="13"/>
      <c r="J471" s="14"/>
      <c r="K471" s="12"/>
      <c r="L471" s="15"/>
      <c r="M471" s="16"/>
      <c r="N471" s="15"/>
      <c r="O471" s="16"/>
      <c r="P471" s="17"/>
      <c r="Q471" s="15"/>
      <c r="R471" s="18"/>
      <c r="S471" s="20">
        <v>457</v>
      </c>
      <c r="V471" s="3">
        <f t="shared" si="98"/>
        <v>0</v>
      </c>
      <c r="X471" s="3" t="str">
        <f t="shared" si="99"/>
        <v/>
      </c>
      <c r="Y471" s="3" t="str">
        <f t="shared" si="100"/>
        <v/>
      </c>
      <c r="Z471" s="3" t="str">
        <f t="shared" si="101"/>
        <v/>
      </c>
      <c r="AA471" s="3" t="str">
        <f t="shared" si="111"/>
        <v/>
      </c>
      <c r="AB471" s="3" t="str">
        <f t="shared" si="102"/>
        <v/>
      </c>
      <c r="AC471" s="3" t="str">
        <f t="shared" si="103"/>
        <v/>
      </c>
      <c r="AD471" s="3" t="str">
        <f t="shared" si="104"/>
        <v/>
      </c>
      <c r="AE471" s="3" t="str">
        <f t="shared" si="105"/>
        <v/>
      </c>
      <c r="AF471" s="3" t="str">
        <f t="shared" si="106"/>
        <v/>
      </c>
      <c r="AG471" s="3" t="str">
        <f t="shared" si="107"/>
        <v/>
      </c>
      <c r="AH471" s="3" t="str">
        <f t="shared" si="108"/>
        <v/>
      </c>
      <c r="AI471" s="3" t="str">
        <f t="shared" si="109"/>
        <v/>
      </c>
      <c r="AJ471" s="3" t="str">
        <f t="shared" si="110"/>
        <v/>
      </c>
      <c r="AK471" s="3" t="str">
        <f>IF(V471=0,"",_xlfn.CONCAT(DADOS!$A$8,X471:AJ471,"
"))</f>
        <v/>
      </c>
    </row>
    <row r="472" spans="5:37" ht="15" customHeight="1" x14ac:dyDescent="0.25">
      <c r="E472" s="22"/>
      <c r="F472" s="22"/>
      <c r="G472" s="12"/>
      <c r="H472" s="22"/>
      <c r="I472" s="13"/>
      <c r="J472" s="14"/>
      <c r="K472" s="12"/>
      <c r="L472" s="15"/>
      <c r="M472" s="16"/>
      <c r="N472" s="15"/>
      <c r="O472" s="16"/>
      <c r="P472" s="17"/>
      <c r="Q472" s="15"/>
      <c r="R472" s="18"/>
      <c r="S472" s="20">
        <v>458</v>
      </c>
      <c r="V472" s="3">
        <f t="shared" si="98"/>
        <v>0</v>
      </c>
      <c r="X472" s="3" t="str">
        <f t="shared" si="99"/>
        <v/>
      </c>
      <c r="Y472" s="3" t="str">
        <f t="shared" si="100"/>
        <v/>
      </c>
      <c r="Z472" s="3" t="str">
        <f t="shared" si="101"/>
        <v/>
      </c>
      <c r="AA472" s="3" t="str">
        <f t="shared" si="111"/>
        <v/>
      </c>
      <c r="AB472" s="3" t="str">
        <f t="shared" si="102"/>
        <v/>
      </c>
      <c r="AC472" s="3" t="str">
        <f t="shared" si="103"/>
        <v/>
      </c>
      <c r="AD472" s="3" t="str">
        <f t="shared" si="104"/>
        <v/>
      </c>
      <c r="AE472" s="3" t="str">
        <f t="shared" si="105"/>
        <v/>
      </c>
      <c r="AF472" s="3" t="str">
        <f t="shared" si="106"/>
        <v/>
      </c>
      <c r="AG472" s="3" t="str">
        <f t="shared" si="107"/>
        <v/>
      </c>
      <c r="AH472" s="3" t="str">
        <f t="shared" si="108"/>
        <v/>
      </c>
      <c r="AI472" s="3" t="str">
        <f t="shared" si="109"/>
        <v/>
      </c>
      <c r="AJ472" s="3" t="str">
        <f t="shared" si="110"/>
        <v/>
      </c>
      <c r="AK472" s="3" t="str">
        <f>IF(V472=0,"",_xlfn.CONCAT(DADOS!$A$8,X472:AJ472,"
"))</f>
        <v/>
      </c>
    </row>
    <row r="473" spans="5:37" ht="15" customHeight="1" x14ac:dyDescent="0.25">
      <c r="E473" s="22"/>
      <c r="F473" s="22"/>
      <c r="G473" s="12"/>
      <c r="H473" s="22"/>
      <c r="I473" s="13"/>
      <c r="J473" s="14"/>
      <c r="K473" s="12"/>
      <c r="L473" s="15"/>
      <c r="M473" s="16"/>
      <c r="N473" s="15"/>
      <c r="O473" s="16"/>
      <c r="P473" s="17"/>
      <c r="Q473" s="15"/>
      <c r="R473" s="18"/>
      <c r="S473" s="20">
        <v>459</v>
      </c>
      <c r="V473" s="3">
        <f t="shared" si="98"/>
        <v>0</v>
      </c>
      <c r="X473" s="3" t="str">
        <f t="shared" si="99"/>
        <v/>
      </c>
      <c r="Y473" s="3" t="str">
        <f t="shared" si="100"/>
        <v/>
      </c>
      <c r="Z473" s="3" t="str">
        <f t="shared" si="101"/>
        <v/>
      </c>
      <c r="AA473" s="3" t="str">
        <f t="shared" si="111"/>
        <v/>
      </c>
      <c r="AB473" s="3" t="str">
        <f t="shared" si="102"/>
        <v/>
      </c>
      <c r="AC473" s="3" t="str">
        <f t="shared" si="103"/>
        <v/>
      </c>
      <c r="AD473" s="3" t="str">
        <f t="shared" si="104"/>
        <v/>
      </c>
      <c r="AE473" s="3" t="str">
        <f t="shared" si="105"/>
        <v/>
      </c>
      <c r="AF473" s="3" t="str">
        <f t="shared" si="106"/>
        <v/>
      </c>
      <c r="AG473" s="3" t="str">
        <f t="shared" si="107"/>
        <v/>
      </c>
      <c r="AH473" s="3" t="str">
        <f t="shared" si="108"/>
        <v/>
      </c>
      <c r="AI473" s="3" t="str">
        <f t="shared" si="109"/>
        <v/>
      </c>
      <c r="AJ473" s="3" t="str">
        <f t="shared" si="110"/>
        <v/>
      </c>
      <c r="AK473" s="3" t="str">
        <f>IF(V473=0,"",_xlfn.CONCAT(DADOS!$A$8,X473:AJ473,"
"))</f>
        <v/>
      </c>
    </row>
    <row r="474" spans="5:37" ht="15" customHeight="1" x14ac:dyDescent="0.25">
      <c r="E474" s="22"/>
      <c r="F474" s="22"/>
      <c r="G474" s="12"/>
      <c r="H474" s="22"/>
      <c r="I474" s="13"/>
      <c r="J474" s="14"/>
      <c r="K474" s="12"/>
      <c r="L474" s="15"/>
      <c r="M474" s="16"/>
      <c r="N474" s="15"/>
      <c r="O474" s="16"/>
      <c r="P474" s="17"/>
      <c r="Q474" s="15"/>
      <c r="R474" s="18"/>
      <c r="S474" s="20">
        <v>460</v>
      </c>
      <c r="V474" s="3">
        <f t="shared" si="98"/>
        <v>0</v>
      </c>
      <c r="X474" s="3" t="str">
        <f t="shared" si="99"/>
        <v/>
      </c>
      <c r="Y474" s="3" t="str">
        <f t="shared" si="100"/>
        <v/>
      </c>
      <c r="Z474" s="3" t="str">
        <f t="shared" si="101"/>
        <v/>
      </c>
      <c r="AA474" s="3" t="str">
        <f t="shared" si="111"/>
        <v/>
      </c>
      <c r="AB474" s="3" t="str">
        <f t="shared" si="102"/>
        <v/>
      </c>
      <c r="AC474" s="3" t="str">
        <f t="shared" si="103"/>
        <v/>
      </c>
      <c r="AD474" s="3" t="str">
        <f t="shared" si="104"/>
        <v/>
      </c>
      <c r="AE474" s="3" t="str">
        <f t="shared" si="105"/>
        <v/>
      </c>
      <c r="AF474" s="3" t="str">
        <f t="shared" si="106"/>
        <v/>
      </c>
      <c r="AG474" s="3" t="str">
        <f t="shared" si="107"/>
        <v/>
      </c>
      <c r="AH474" s="3" t="str">
        <f t="shared" si="108"/>
        <v/>
      </c>
      <c r="AI474" s="3" t="str">
        <f t="shared" si="109"/>
        <v/>
      </c>
      <c r="AJ474" s="3" t="str">
        <f t="shared" si="110"/>
        <v/>
      </c>
      <c r="AK474" s="3" t="str">
        <f>IF(V474=0,"",_xlfn.CONCAT(DADOS!$A$8,X474:AJ474,"
"))</f>
        <v/>
      </c>
    </row>
    <row r="475" spans="5:37" ht="15" customHeight="1" x14ac:dyDescent="0.25">
      <c r="E475" s="22"/>
      <c r="F475" s="22"/>
      <c r="G475" s="12"/>
      <c r="H475" s="22"/>
      <c r="I475" s="13"/>
      <c r="J475" s="14"/>
      <c r="K475" s="12"/>
      <c r="L475" s="15"/>
      <c r="M475" s="16"/>
      <c r="N475" s="15"/>
      <c r="O475" s="16"/>
      <c r="P475" s="17"/>
      <c r="Q475" s="15"/>
      <c r="R475" s="18"/>
      <c r="S475" s="20">
        <v>461</v>
      </c>
      <c r="V475" s="3">
        <f t="shared" si="98"/>
        <v>0</v>
      </c>
      <c r="X475" s="3" t="str">
        <f t="shared" si="99"/>
        <v/>
      </c>
      <c r="Y475" s="3" t="str">
        <f t="shared" si="100"/>
        <v/>
      </c>
      <c r="Z475" s="3" t="str">
        <f t="shared" si="101"/>
        <v/>
      </c>
      <c r="AA475" s="3" t="str">
        <f t="shared" si="111"/>
        <v/>
      </c>
      <c r="AB475" s="3" t="str">
        <f t="shared" si="102"/>
        <v/>
      </c>
      <c r="AC475" s="3" t="str">
        <f t="shared" si="103"/>
        <v/>
      </c>
      <c r="AD475" s="3" t="str">
        <f t="shared" si="104"/>
        <v/>
      </c>
      <c r="AE475" s="3" t="str">
        <f t="shared" si="105"/>
        <v/>
      </c>
      <c r="AF475" s="3" t="str">
        <f t="shared" si="106"/>
        <v/>
      </c>
      <c r="AG475" s="3" t="str">
        <f t="shared" si="107"/>
        <v/>
      </c>
      <c r="AH475" s="3" t="str">
        <f t="shared" si="108"/>
        <v/>
      </c>
      <c r="AI475" s="3" t="str">
        <f t="shared" si="109"/>
        <v/>
      </c>
      <c r="AJ475" s="3" t="str">
        <f t="shared" si="110"/>
        <v/>
      </c>
      <c r="AK475" s="3" t="str">
        <f>IF(V475=0,"",_xlfn.CONCAT(DADOS!$A$8,X475:AJ475,"
"))</f>
        <v/>
      </c>
    </row>
    <row r="476" spans="5:37" ht="15" customHeight="1" x14ac:dyDescent="0.25">
      <c r="E476" s="22"/>
      <c r="F476" s="22"/>
      <c r="G476" s="12"/>
      <c r="H476" s="22"/>
      <c r="I476" s="13"/>
      <c r="J476" s="14"/>
      <c r="K476" s="12"/>
      <c r="L476" s="15"/>
      <c r="M476" s="16"/>
      <c r="N476" s="15"/>
      <c r="O476" s="16"/>
      <c r="P476" s="17"/>
      <c r="Q476" s="15"/>
      <c r="R476" s="18"/>
      <c r="S476" s="20">
        <v>462</v>
      </c>
      <c r="V476" s="3">
        <f t="shared" si="98"/>
        <v>0</v>
      </c>
      <c r="X476" s="3" t="str">
        <f t="shared" si="99"/>
        <v/>
      </c>
      <c r="Y476" s="3" t="str">
        <f t="shared" si="100"/>
        <v/>
      </c>
      <c r="Z476" s="3" t="str">
        <f t="shared" si="101"/>
        <v/>
      </c>
      <c r="AA476" s="3" t="str">
        <f t="shared" si="111"/>
        <v/>
      </c>
      <c r="AB476" s="3" t="str">
        <f t="shared" si="102"/>
        <v/>
      </c>
      <c r="AC476" s="3" t="str">
        <f t="shared" si="103"/>
        <v/>
      </c>
      <c r="AD476" s="3" t="str">
        <f t="shared" si="104"/>
        <v/>
      </c>
      <c r="AE476" s="3" t="str">
        <f t="shared" si="105"/>
        <v/>
      </c>
      <c r="AF476" s="3" t="str">
        <f t="shared" si="106"/>
        <v/>
      </c>
      <c r="AG476" s="3" t="str">
        <f t="shared" si="107"/>
        <v/>
      </c>
      <c r="AH476" s="3" t="str">
        <f t="shared" si="108"/>
        <v/>
      </c>
      <c r="AI476" s="3" t="str">
        <f t="shared" si="109"/>
        <v/>
      </c>
      <c r="AJ476" s="3" t="str">
        <f t="shared" si="110"/>
        <v/>
      </c>
      <c r="AK476" s="3" t="str">
        <f>IF(V476=0,"",_xlfn.CONCAT(DADOS!$A$8,X476:AJ476,"
"))</f>
        <v/>
      </c>
    </row>
    <row r="477" spans="5:37" ht="15" customHeight="1" x14ac:dyDescent="0.25">
      <c r="E477" s="22"/>
      <c r="F477" s="22"/>
      <c r="G477" s="12"/>
      <c r="H477" s="22"/>
      <c r="I477" s="13"/>
      <c r="J477" s="14"/>
      <c r="K477" s="12"/>
      <c r="L477" s="15"/>
      <c r="M477" s="16"/>
      <c r="N477" s="15"/>
      <c r="O477" s="16"/>
      <c r="P477" s="17"/>
      <c r="Q477" s="15"/>
      <c r="R477" s="18"/>
      <c r="S477" s="20">
        <v>463</v>
      </c>
      <c r="V477" s="3">
        <f t="shared" si="98"/>
        <v>0</v>
      </c>
      <c r="X477" s="3" t="str">
        <f t="shared" si="99"/>
        <v/>
      </c>
      <c r="Y477" s="3" t="str">
        <f t="shared" si="100"/>
        <v/>
      </c>
      <c r="Z477" s="3" t="str">
        <f t="shared" si="101"/>
        <v/>
      </c>
      <c r="AA477" s="3" t="str">
        <f t="shared" si="111"/>
        <v/>
      </c>
      <c r="AB477" s="3" t="str">
        <f t="shared" si="102"/>
        <v/>
      </c>
      <c r="AC477" s="3" t="str">
        <f t="shared" si="103"/>
        <v/>
      </c>
      <c r="AD477" s="3" t="str">
        <f t="shared" si="104"/>
        <v/>
      </c>
      <c r="AE477" s="3" t="str">
        <f t="shared" si="105"/>
        <v/>
      </c>
      <c r="AF477" s="3" t="str">
        <f t="shared" si="106"/>
        <v/>
      </c>
      <c r="AG477" s="3" t="str">
        <f t="shared" si="107"/>
        <v/>
      </c>
      <c r="AH477" s="3" t="str">
        <f t="shared" si="108"/>
        <v/>
      </c>
      <c r="AI477" s="3" t="str">
        <f t="shared" si="109"/>
        <v/>
      </c>
      <c r="AJ477" s="3" t="str">
        <f t="shared" si="110"/>
        <v/>
      </c>
      <c r="AK477" s="3" t="str">
        <f>IF(V477=0,"",_xlfn.CONCAT(DADOS!$A$8,X477:AJ477,"
"))</f>
        <v/>
      </c>
    </row>
    <row r="478" spans="5:37" ht="15" customHeight="1" x14ac:dyDescent="0.25">
      <c r="E478" s="22"/>
      <c r="F478" s="22"/>
      <c r="G478" s="12"/>
      <c r="H478" s="22"/>
      <c r="I478" s="13"/>
      <c r="J478" s="14"/>
      <c r="K478" s="12"/>
      <c r="L478" s="15"/>
      <c r="M478" s="16"/>
      <c r="N478" s="15"/>
      <c r="O478" s="16"/>
      <c r="P478" s="17"/>
      <c r="Q478" s="15"/>
      <c r="R478" s="18"/>
      <c r="S478" s="20">
        <v>464</v>
      </c>
      <c r="V478" s="3">
        <f t="shared" si="98"/>
        <v>0</v>
      </c>
      <c r="X478" s="3" t="str">
        <f t="shared" si="99"/>
        <v/>
      </c>
      <c r="Y478" s="3" t="str">
        <f t="shared" si="100"/>
        <v/>
      </c>
      <c r="Z478" s="3" t="str">
        <f t="shared" si="101"/>
        <v/>
      </c>
      <c r="AA478" s="3" t="str">
        <f t="shared" si="111"/>
        <v/>
      </c>
      <c r="AB478" s="3" t="str">
        <f t="shared" si="102"/>
        <v/>
      </c>
      <c r="AC478" s="3" t="str">
        <f t="shared" si="103"/>
        <v/>
      </c>
      <c r="AD478" s="3" t="str">
        <f t="shared" si="104"/>
        <v/>
      </c>
      <c r="AE478" s="3" t="str">
        <f t="shared" si="105"/>
        <v/>
      </c>
      <c r="AF478" s="3" t="str">
        <f t="shared" si="106"/>
        <v/>
      </c>
      <c r="AG478" s="3" t="str">
        <f t="shared" si="107"/>
        <v/>
      </c>
      <c r="AH478" s="3" t="str">
        <f t="shared" si="108"/>
        <v/>
      </c>
      <c r="AI478" s="3" t="str">
        <f t="shared" si="109"/>
        <v/>
      </c>
      <c r="AJ478" s="3" t="str">
        <f t="shared" si="110"/>
        <v/>
      </c>
      <c r="AK478" s="3" t="str">
        <f>IF(V478=0,"",_xlfn.CONCAT(DADOS!$A$8,X478:AJ478,"
"))</f>
        <v/>
      </c>
    </row>
    <row r="479" spans="5:37" ht="15" customHeight="1" x14ac:dyDescent="0.25">
      <c r="E479" s="22"/>
      <c r="F479" s="22"/>
      <c r="G479" s="12"/>
      <c r="H479" s="22"/>
      <c r="I479" s="13"/>
      <c r="J479" s="14"/>
      <c r="K479" s="12"/>
      <c r="L479" s="15"/>
      <c r="M479" s="16"/>
      <c r="N479" s="15"/>
      <c r="O479" s="16"/>
      <c r="P479" s="17"/>
      <c r="Q479" s="15"/>
      <c r="R479" s="18"/>
      <c r="S479" s="20">
        <v>465</v>
      </c>
      <c r="V479" s="3">
        <f t="shared" si="98"/>
        <v>0</v>
      </c>
      <c r="X479" s="3" t="str">
        <f t="shared" si="99"/>
        <v/>
      </c>
      <c r="Y479" s="3" t="str">
        <f t="shared" si="100"/>
        <v/>
      </c>
      <c r="Z479" s="3" t="str">
        <f t="shared" si="101"/>
        <v/>
      </c>
      <c r="AA479" s="3" t="str">
        <f t="shared" si="111"/>
        <v/>
      </c>
      <c r="AB479" s="3" t="str">
        <f t="shared" si="102"/>
        <v/>
      </c>
      <c r="AC479" s="3" t="str">
        <f t="shared" si="103"/>
        <v/>
      </c>
      <c r="AD479" s="3" t="str">
        <f t="shared" si="104"/>
        <v/>
      </c>
      <c r="AE479" s="3" t="str">
        <f t="shared" si="105"/>
        <v/>
      </c>
      <c r="AF479" s="3" t="str">
        <f t="shared" si="106"/>
        <v/>
      </c>
      <c r="AG479" s="3" t="str">
        <f t="shared" si="107"/>
        <v/>
      </c>
      <c r="AH479" s="3" t="str">
        <f t="shared" si="108"/>
        <v/>
      </c>
      <c r="AI479" s="3" t="str">
        <f t="shared" si="109"/>
        <v/>
      </c>
      <c r="AJ479" s="3" t="str">
        <f t="shared" si="110"/>
        <v/>
      </c>
      <c r="AK479" s="3" t="str">
        <f>IF(V479=0,"",_xlfn.CONCAT(DADOS!$A$8,X479:AJ479,"
"))</f>
        <v/>
      </c>
    </row>
    <row r="480" spans="5:37" ht="15" customHeight="1" x14ac:dyDescent="0.25">
      <c r="E480" s="22"/>
      <c r="F480" s="22"/>
      <c r="G480" s="12"/>
      <c r="H480" s="22"/>
      <c r="I480" s="13"/>
      <c r="J480" s="14"/>
      <c r="K480" s="12"/>
      <c r="L480" s="15"/>
      <c r="M480" s="16"/>
      <c r="N480" s="15"/>
      <c r="O480" s="16"/>
      <c r="P480" s="17"/>
      <c r="Q480" s="15"/>
      <c r="R480" s="18"/>
      <c r="S480" s="20">
        <v>466</v>
      </c>
      <c r="V480" s="3">
        <f t="shared" si="98"/>
        <v>0</v>
      </c>
      <c r="X480" s="3" t="str">
        <f t="shared" si="99"/>
        <v/>
      </c>
      <c r="Y480" s="3" t="str">
        <f t="shared" si="100"/>
        <v/>
      </c>
      <c r="Z480" s="3" t="str">
        <f t="shared" si="101"/>
        <v/>
      </c>
      <c r="AA480" s="3" t="str">
        <f t="shared" si="111"/>
        <v/>
      </c>
      <c r="AB480" s="3" t="str">
        <f t="shared" si="102"/>
        <v/>
      </c>
      <c r="AC480" s="3" t="str">
        <f t="shared" si="103"/>
        <v/>
      </c>
      <c r="AD480" s="3" t="str">
        <f t="shared" si="104"/>
        <v/>
      </c>
      <c r="AE480" s="3" t="str">
        <f t="shared" si="105"/>
        <v/>
      </c>
      <c r="AF480" s="3" t="str">
        <f t="shared" si="106"/>
        <v/>
      </c>
      <c r="AG480" s="3" t="str">
        <f t="shared" si="107"/>
        <v/>
      </c>
      <c r="AH480" s="3" t="str">
        <f t="shared" si="108"/>
        <v/>
      </c>
      <c r="AI480" s="3" t="str">
        <f t="shared" si="109"/>
        <v/>
      </c>
      <c r="AJ480" s="3" t="str">
        <f t="shared" si="110"/>
        <v/>
      </c>
      <c r="AK480" s="3" t="str">
        <f>IF(V480=0,"",_xlfn.CONCAT(DADOS!$A$8,X480:AJ480,"
"))</f>
        <v/>
      </c>
    </row>
    <row r="481" spans="5:37" ht="15" customHeight="1" x14ac:dyDescent="0.25">
      <c r="E481" s="22"/>
      <c r="F481" s="22"/>
      <c r="G481" s="12"/>
      <c r="H481" s="22"/>
      <c r="I481" s="13"/>
      <c r="J481" s="14"/>
      <c r="K481" s="12"/>
      <c r="L481" s="15"/>
      <c r="M481" s="16"/>
      <c r="N481" s="15"/>
      <c r="O481" s="16"/>
      <c r="P481" s="17"/>
      <c r="Q481" s="15"/>
      <c r="R481" s="18"/>
      <c r="S481" s="20">
        <v>467</v>
      </c>
      <c r="V481" s="3">
        <f t="shared" si="98"/>
        <v>0</v>
      </c>
      <c r="X481" s="3" t="str">
        <f t="shared" si="99"/>
        <v/>
      </c>
      <c r="Y481" s="3" t="str">
        <f t="shared" si="100"/>
        <v/>
      </c>
      <c r="Z481" s="3" t="str">
        <f t="shared" si="101"/>
        <v/>
      </c>
      <c r="AA481" s="3" t="str">
        <f t="shared" si="111"/>
        <v/>
      </c>
      <c r="AB481" s="3" t="str">
        <f t="shared" si="102"/>
        <v/>
      </c>
      <c r="AC481" s="3" t="str">
        <f t="shared" si="103"/>
        <v/>
      </c>
      <c r="AD481" s="3" t="str">
        <f t="shared" si="104"/>
        <v/>
      </c>
      <c r="AE481" s="3" t="str">
        <f t="shared" si="105"/>
        <v/>
      </c>
      <c r="AF481" s="3" t="str">
        <f t="shared" si="106"/>
        <v/>
      </c>
      <c r="AG481" s="3" t="str">
        <f t="shared" si="107"/>
        <v/>
      </c>
      <c r="AH481" s="3" t="str">
        <f t="shared" si="108"/>
        <v/>
      </c>
      <c r="AI481" s="3" t="str">
        <f t="shared" si="109"/>
        <v/>
      </c>
      <c r="AJ481" s="3" t="str">
        <f t="shared" si="110"/>
        <v/>
      </c>
      <c r="AK481" s="3" t="str">
        <f>IF(V481=0,"",_xlfn.CONCAT(DADOS!$A$8,X481:AJ481,"
"))</f>
        <v/>
      </c>
    </row>
    <row r="482" spans="5:37" ht="15" customHeight="1" x14ac:dyDescent="0.25">
      <c r="E482" s="22"/>
      <c r="F482" s="22"/>
      <c r="G482" s="12"/>
      <c r="H482" s="22"/>
      <c r="I482" s="13"/>
      <c r="J482" s="14"/>
      <c r="K482" s="12"/>
      <c r="L482" s="15"/>
      <c r="M482" s="16"/>
      <c r="N482" s="15"/>
      <c r="O482" s="16"/>
      <c r="P482" s="17"/>
      <c r="Q482" s="15"/>
      <c r="R482" s="18"/>
      <c r="S482" s="20">
        <v>468</v>
      </c>
      <c r="V482" s="3">
        <f t="shared" si="98"/>
        <v>0</v>
      </c>
      <c r="X482" s="3" t="str">
        <f t="shared" si="99"/>
        <v/>
      </c>
      <c r="Y482" s="3" t="str">
        <f t="shared" si="100"/>
        <v/>
      </c>
      <c r="Z482" s="3" t="str">
        <f t="shared" si="101"/>
        <v/>
      </c>
      <c r="AA482" s="3" t="str">
        <f t="shared" si="111"/>
        <v/>
      </c>
      <c r="AB482" s="3" t="str">
        <f t="shared" si="102"/>
        <v/>
      </c>
      <c r="AC482" s="3" t="str">
        <f t="shared" si="103"/>
        <v/>
      </c>
      <c r="AD482" s="3" t="str">
        <f t="shared" si="104"/>
        <v/>
      </c>
      <c r="AE482" s="3" t="str">
        <f t="shared" si="105"/>
        <v/>
      </c>
      <c r="AF482" s="3" t="str">
        <f t="shared" si="106"/>
        <v/>
      </c>
      <c r="AG482" s="3" t="str">
        <f t="shared" si="107"/>
        <v/>
      </c>
      <c r="AH482" s="3" t="str">
        <f t="shared" si="108"/>
        <v/>
      </c>
      <c r="AI482" s="3" t="str">
        <f t="shared" si="109"/>
        <v/>
      </c>
      <c r="AJ482" s="3" t="str">
        <f t="shared" si="110"/>
        <v/>
      </c>
      <c r="AK482" s="3" t="str">
        <f>IF(V482=0,"",_xlfn.CONCAT(DADOS!$A$8,X482:AJ482,"
"))</f>
        <v/>
      </c>
    </row>
    <row r="483" spans="5:37" ht="15" customHeight="1" x14ac:dyDescent="0.25">
      <c r="E483" s="22"/>
      <c r="F483" s="22"/>
      <c r="G483" s="12"/>
      <c r="H483" s="22"/>
      <c r="I483" s="13"/>
      <c r="J483" s="14"/>
      <c r="K483" s="12"/>
      <c r="L483" s="15"/>
      <c r="M483" s="16"/>
      <c r="N483" s="15"/>
      <c r="O483" s="16"/>
      <c r="P483" s="17"/>
      <c r="Q483" s="15"/>
      <c r="R483" s="18"/>
      <c r="S483" s="20">
        <v>469</v>
      </c>
      <c r="V483" s="3">
        <f t="shared" si="98"/>
        <v>0</v>
      </c>
      <c r="X483" s="3" t="str">
        <f t="shared" si="99"/>
        <v/>
      </c>
      <c r="Y483" s="3" t="str">
        <f t="shared" si="100"/>
        <v/>
      </c>
      <c r="Z483" s="3" t="str">
        <f t="shared" si="101"/>
        <v/>
      </c>
      <c r="AA483" s="3" t="str">
        <f t="shared" si="111"/>
        <v/>
      </c>
      <c r="AB483" s="3" t="str">
        <f t="shared" si="102"/>
        <v/>
      </c>
      <c r="AC483" s="3" t="str">
        <f t="shared" si="103"/>
        <v/>
      </c>
      <c r="AD483" s="3" t="str">
        <f t="shared" si="104"/>
        <v/>
      </c>
      <c r="AE483" s="3" t="str">
        <f t="shared" si="105"/>
        <v/>
      </c>
      <c r="AF483" s="3" t="str">
        <f t="shared" si="106"/>
        <v/>
      </c>
      <c r="AG483" s="3" t="str">
        <f t="shared" si="107"/>
        <v/>
      </c>
      <c r="AH483" s="3" t="str">
        <f t="shared" si="108"/>
        <v/>
      </c>
      <c r="AI483" s="3" t="str">
        <f t="shared" si="109"/>
        <v/>
      </c>
      <c r="AJ483" s="3" t="str">
        <f t="shared" si="110"/>
        <v/>
      </c>
      <c r="AK483" s="3" t="str">
        <f>IF(V483=0,"",_xlfn.CONCAT(DADOS!$A$8,X483:AJ483,"
"))</f>
        <v/>
      </c>
    </row>
    <row r="484" spans="5:37" ht="15" customHeight="1" x14ac:dyDescent="0.25">
      <c r="E484" s="22"/>
      <c r="F484" s="22"/>
      <c r="G484" s="12"/>
      <c r="H484" s="22"/>
      <c r="I484" s="13"/>
      <c r="J484" s="14"/>
      <c r="K484" s="12"/>
      <c r="L484" s="15"/>
      <c r="M484" s="16"/>
      <c r="N484" s="15"/>
      <c r="O484" s="16"/>
      <c r="P484" s="17"/>
      <c r="Q484" s="15"/>
      <c r="R484" s="18"/>
      <c r="S484" s="20">
        <v>470</v>
      </c>
      <c r="V484" s="3">
        <f t="shared" si="98"/>
        <v>0</v>
      </c>
      <c r="X484" s="3" t="str">
        <f t="shared" si="99"/>
        <v/>
      </c>
      <c r="Y484" s="3" t="str">
        <f t="shared" si="100"/>
        <v/>
      </c>
      <c r="Z484" s="3" t="str">
        <f t="shared" si="101"/>
        <v/>
      </c>
      <c r="AA484" s="3" t="str">
        <f t="shared" si="111"/>
        <v/>
      </c>
      <c r="AB484" s="3" t="str">
        <f t="shared" si="102"/>
        <v/>
      </c>
      <c r="AC484" s="3" t="str">
        <f t="shared" si="103"/>
        <v/>
      </c>
      <c r="AD484" s="3" t="str">
        <f t="shared" si="104"/>
        <v/>
      </c>
      <c r="AE484" s="3" t="str">
        <f t="shared" si="105"/>
        <v/>
      </c>
      <c r="AF484" s="3" t="str">
        <f t="shared" si="106"/>
        <v/>
      </c>
      <c r="AG484" s="3" t="str">
        <f t="shared" si="107"/>
        <v/>
      </c>
      <c r="AH484" s="3" t="str">
        <f t="shared" si="108"/>
        <v/>
      </c>
      <c r="AI484" s="3" t="str">
        <f t="shared" si="109"/>
        <v/>
      </c>
      <c r="AJ484" s="3" t="str">
        <f t="shared" si="110"/>
        <v/>
      </c>
      <c r="AK484" s="3" t="str">
        <f>IF(V484=0,"",_xlfn.CONCAT(DADOS!$A$8,X484:AJ484,"
"))</f>
        <v/>
      </c>
    </row>
    <row r="485" spans="5:37" ht="15" customHeight="1" x14ac:dyDescent="0.25">
      <c r="E485" s="22"/>
      <c r="F485" s="22"/>
      <c r="G485" s="12"/>
      <c r="H485" s="22"/>
      <c r="I485" s="13"/>
      <c r="J485" s="14"/>
      <c r="K485" s="12"/>
      <c r="L485" s="15"/>
      <c r="M485" s="16"/>
      <c r="N485" s="15"/>
      <c r="O485" s="16"/>
      <c r="P485" s="17"/>
      <c r="Q485" s="15"/>
      <c r="R485" s="18"/>
      <c r="S485" s="20">
        <v>471</v>
      </c>
      <c r="V485" s="3">
        <f t="shared" si="98"/>
        <v>0</v>
      </c>
      <c r="X485" s="3" t="str">
        <f t="shared" si="99"/>
        <v/>
      </c>
      <c r="Y485" s="3" t="str">
        <f t="shared" si="100"/>
        <v/>
      </c>
      <c r="Z485" s="3" t="str">
        <f t="shared" si="101"/>
        <v/>
      </c>
      <c r="AA485" s="3" t="str">
        <f t="shared" si="111"/>
        <v/>
      </c>
      <c r="AB485" s="3" t="str">
        <f t="shared" si="102"/>
        <v/>
      </c>
      <c r="AC485" s="3" t="str">
        <f t="shared" si="103"/>
        <v/>
      </c>
      <c r="AD485" s="3" t="str">
        <f t="shared" si="104"/>
        <v/>
      </c>
      <c r="AE485" s="3" t="str">
        <f t="shared" si="105"/>
        <v/>
      </c>
      <c r="AF485" s="3" t="str">
        <f t="shared" si="106"/>
        <v/>
      </c>
      <c r="AG485" s="3" t="str">
        <f t="shared" si="107"/>
        <v/>
      </c>
      <c r="AH485" s="3" t="str">
        <f t="shared" si="108"/>
        <v/>
      </c>
      <c r="AI485" s="3" t="str">
        <f t="shared" si="109"/>
        <v/>
      </c>
      <c r="AJ485" s="3" t="str">
        <f t="shared" si="110"/>
        <v/>
      </c>
      <c r="AK485" s="3" t="str">
        <f>IF(V485=0,"",_xlfn.CONCAT(DADOS!$A$8,X485:AJ485,"
"))</f>
        <v/>
      </c>
    </row>
    <row r="486" spans="5:37" ht="15" customHeight="1" x14ac:dyDescent="0.25">
      <c r="E486" s="22"/>
      <c r="F486" s="22"/>
      <c r="G486" s="12"/>
      <c r="H486" s="22"/>
      <c r="I486" s="13"/>
      <c r="J486" s="14"/>
      <c r="K486" s="12"/>
      <c r="L486" s="15"/>
      <c r="M486" s="16"/>
      <c r="N486" s="15"/>
      <c r="O486" s="16"/>
      <c r="P486" s="17"/>
      <c r="Q486" s="15"/>
      <c r="R486" s="18"/>
      <c r="S486" s="20">
        <v>472</v>
      </c>
      <c r="V486" s="3">
        <f t="shared" si="98"/>
        <v>0</v>
      </c>
      <c r="X486" s="3" t="str">
        <f t="shared" si="99"/>
        <v/>
      </c>
      <c r="Y486" s="3" t="str">
        <f t="shared" si="100"/>
        <v/>
      </c>
      <c r="Z486" s="3" t="str">
        <f t="shared" si="101"/>
        <v/>
      </c>
      <c r="AA486" s="3" t="str">
        <f t="shared" si="111"/>
        <v/>
      </c>
      <c r="AB486" s="3" t="str">
        <f t="shared" si="102"/>
        <v/>
      </c>
      <c r="AC486" s="3" t="str">
        <f t="shared" si="103"/>
        <v/>
      </c>
      <c r="AD486" s="3" t="str">
        <f t="shared" si="104"/>
        <v/>
      </c>
      <c r="AE486" s="3" t="str">
        <f t="shared" si="105"/>
        <v/>
      </c>
      <c r="AF486" s="3" t="str">
        <f t="shared" si="106"/>
        <v/>
      </c>
      <c r="AG486" s="3" t="str">
        <f t="shared" si="107"/>
        <v/>
      </c>
      <c r="AH486" s="3" t="str">
        <f t="shared" si="108"/>
        <v/>
      </c>
      <c r="AI486" s="3" t="str">
        <f t="shared" si="109"/>
        <v/>
      </c>
      <c r="AJ486" s="3" t="str">
        <f t="shared" si="110"/>
        <v/>
      </c>
      <c r="AK486" s="3" t="str">
        <f>IF(V486=0,"",_xlfn.CONCAT(DADOS!$A$8,X486:AJ486,"
"))</f>
        <v/>
      </c>
    </row>
    <row r="487" spans="5:37" ht="15" customHeight="1" x14ac:dyDescent="0.25">
      <c r="E487" s="22"/>
      <c r="F487" s="22"/>
      <c r="G487" s="12"/>
      <c r="H487" s="22"/>
      <c r="I487" s="13"/>
      <c r="J487" s="14"/>
      <c r="K487" s="12"/>
      <c r="L487" s="15"/>
      <c r="M487" s="16"/>
      <c r="N487" s="15"/>
      <c r="O487" s="16"/>
      <c r="P487" s="17"/>
      <c r="Q487" s="15"/>
      <c r="R487" s="18"/>
      <c r="S487" s="20">
        <v>473</v>
      </c>
      <c r="V487" s="3">
        <f t="shared" si="98"/>
        <v>0</v>
      </c>
      <c r="X487" s="3" t="str">
        <f t="shared" si="99"/>
        <v/>
      </c>
      <c r="Y487" s="3" t="str">
        <f t="shared" si="100"/>
        <v/>
      </c>
      <c r="Z487" s="3" t="str">
        <f t="shared" si="101"/>
        <v/>
      </c>
      <c r="AA487" s="3" t="str">
        <f t="shared" si="111"/>
        <v/>
      </c>
      <c r="AB487" s="3" t="str">
        <f t="shared" si="102"/>
        <v/>
      </c>
      <c r="AC487" s="3" t="str">
        <f t="shared" si="103"/>
        <v/>
      </c>
      <c r="AD487" s="3" t="str">
        <f t="shared" si="104"/>
        <v/>
      </c>
      <c r="AE487" s="3" t="str">
        <f t="shared" si="105"/>
        <v/>
      </c>
      <c r="AF487" s="3" t="str">
        <f t="shared" si="106"/>
        <v/>
      </c>
      <c r="AG487" s="3" t="str">
        <f t="shared" si="107"/>
        <v/>
      </c>
      <c r="AH487" s="3" t="str">
        <f t="shared" si="108"/>
        <v/>
      </c>
      <c r="AI487" s="3" t="str">
        <f t="shared" si="109"/>
        <v/>
      </c>
      <c r="AJ487" s="3" t="str">
        <f t="shared" si="110"/>
        <v/>
      </c>
      <c r="AK487" s="3" t="str">
        <f>IF(V487=0,"",_xlfn.CONCAT(DADOS!$A$8,X487:AJ487,"
"))</f>
        <v/>
      </c>
    </row>
    <row r="488" spans="5:37" ht="15" customHeight="1" x14ac:dyDescent="0.25">
      <c r="E488" s="22"/>
      <c r="F488" s="22"/>
      <c r="G488" s="12"/>
      <c r="H488" s="22"/>
      <c r="I488" s="13"/>
      <c r="J488" s="14"/>
      <c r="K488" s="12"/>
      <c r="L488" s="15"/>
      <c r="M488" s="16"/>
      <c r="N488" s="15"/>
      <c r="O488" s="16"/>
      <c r="P488" s="17"/>
      <c r="Q488" s="15"/>
      <c r="R488" s="18"/>
      <c r="S488" s="20">
        <v>474</v>
      </c>
      <c r="V488" s="3">
        <f t="shared" si="98"/>
        <v>0</v>
      </c>
      <c r="X488" s="3" t="str">
        <f t="shared" si="99"/>
        <v/>
      </c>
      <c r="Y488" s="3" t="str">
        <f t="shared" si="100"/>
        <v/>
      </c>
      <c r="Z488" s="3" t="str">
        <f t="shared" si="101"/>
        <v/>
      </c>
      <c r="AA488" s="3" t="str">
        <f t="shared" si="111"/>
        <v/>
      </c>
      <c r="AB488" s="3" t="str">
        <f t="shared" si="102"/>
        <v/>
      </c>
      <c r="AC488" s="3" t="str">
        <f t="shared" si="103"/>
        <v/>
      </c>
      <c r="AD488" s="3" t="str">
        <f t="shared" si="104"/>
        <v/>
      </c>
      <c r="AE488" s="3" t="str">
        <f t="shared" si="105"/>
        <v/>
      </c>
      <c r="AF488" s="3" t="str">
        <f t="shared" si="106"/>
        <v/>
      </c>
      <c r="AG488" s="3" t="str">
        <f t="shared" si="107"/>
        <v/>
      </c>
      <c r="AH488" s="3" t="str">
        <f t="shared" si="108"/>
        <v/>
      </c>
      <c r="AI488" s="3" t="str">
        <f t="shared" si="109"/>
        <v/>
      </c>
      <c r="AJ488" s="3" t="str">
        <f t="shared" si="110"/>
        <v/>
      </c>
      <c r="AK488" s="3" t="str">
        <f>IF(V488=0,"",_xlfn.CONCAT(DADOS!$A$8,X488:AJ488,"
"))</f>
        <v/>
      </c>
    </row>
    <row r="489" spans="5:37" ht="15" customHeight="1" x14ac:dyDescent="0.25">
      <c r="E489" s="22"/>
      <c r="F489" s="22"/>
      <c r="G489" s="12"/>
      <c r="H489" s="22"/>
      <c r="I489" s="13"/>
      <c r="J489" s="14"/>
      <c r="K489" s="12"/>
      <c r="L489" s="15"/>
      <c r="M489" s="16"/>
      <c r="N489" s="15"/>
      <c r="O489" s="16"/>
      <c r="P489" s="17"/>
      <c r="Q489" s="15"/>
      <c r="R489" s="18"/>
      <c r="S489" s="20">
        <v>475</v>
      </c>
      <c r="V489" s="3">
        <f t="shared" si="98"/>
        <v>0</v>
      </c>
      <c r="X489" s="3" t="str">
        <f t="shared" si="99"/>
        <v/>
      </c>
      <c r="Y489" s="3" t="str">
        <f t="shared" si="100"/>
        <v/>
      </c>
      <c r="Z489" s="3" t="str">
        <f t="shared" si="101"/>
        <v/>
      </c>
      <c r="AA489" s="3" t="str">
        <f t="shared" si="111"/>
        <v/>
      </c>
      <c r="AB489" s="3" t="str">
        <f t="shared" si="102"/>
        <v/>
      </c>
      <c r="AC489" s="3" t="str">
        <f t="shared" si="103"/>
        <v/>
      </c>
      <c r="AD489" s="3" t="str">
        <f t="shared" si="104"/>
        <v/>
      </c>
      <c r="AE489" s="3" t="str">
        <f t="shared" si="105"/>
        <v/>
      </c>
      <c r="AF489" s="3" t="str">
        <f t="shared" si="106"/>
        <v/>
      </c>
      <c r="AG489" s="3" t="str">
        <f t="shared" si="107"/>
        <v/>
      </c>
      <c r="AH489" s="3" t="str">
        <f t="shared" si="108"/>
        <v/>
      </c>
      <c r="AI489" s="3" t="str">
        <f t="shared" si="109"/>
        <v/>
      </c>
      <c r="AJ489" s="3" t="str">
        <f t="shared" si="110"/>
        <v/>
      </c>
      <c r="AK489" s="3" t="str">
        <f>IF(V489=0,"",_xlfn.CONCAT(DADOS!$A$8,X489:AJ489,"
"))</f>
        <v/>
      </c>
    </row>
    <row r="490" spans="5:37" ht="15" customHeight="1" x14ac:dyDescent="0.25">
      <c r="E490" s="22"/>
      <c r="F490" s="22"/>
      <c r="G490" s="12"/>
      <c r="H490" s="22"/>
      <c r="I490" s="13"/>
      <c r="J490" s="14"/>
      <c r="K490" s="12"/>
      <c r="L490" s="15"/>
      <c r="M490" s="16"/>
      <c r="N490" s="15"/>
      <c r="O490" s="16"/>
      <c r="P490" s="17"/>
      <c r="Q490" s="15"/>
      <c r="R490" s="18"/>
      <c r="S490" s="20">
        <v>476</v>
      </c>
      <c r="V490" s="3">
        <f t="shared" si="98"/>
        <v>0</v>
      </c>
      <c r="X490" s="3" t="str">
        <f t="shared" si="99"/>
        <v/>
      </c>
      <c r="Y490" s="3" t="str">
        <f t="shared" si="100"/>
        <v/>
      </c>
      <c r="Z490" s="3" t="str">
        <f t="shared" si="101"/>
        <v/>
      </c>
      <c r="AA490" s="3" t="str">
        <f t="shared" si="111"/>
        <v/>
      </c>
      <c r="AB490" s="3" t="str">
        <f t="shared" si="102"/>
        <v/>
      </c>
      <c r="AC490" s="3" t="str">
        <f t="shared" si="103"/>
        <v/>
      </c>
      <c r="AD490" s="3" t="str">
        <f t="shared" si="104"/>
        <v/>
      </c>
      <c r="AE490" s="3" t="str">
        <f t="shared" si="105"/>
        <v/>
      </c>
      <c r="AF490" s="3" t="str">
        <f t="shared" si="106"/>
        <v/>
      </c>
      <c r="AG490" s="3" t="str">
        <f t="shared" si="107"/>
        <v/>
      </c>
      <c r="AH490" s="3" t="str">
        <f t="shared" si="108"/>
        <v/>
      </c>
      <c r="AI490" s="3" t="str">
        <f t="shared" si="109"/>
        <v/>
      </c>
      <c r="AJ490" s="3" t="str">
        <f t="shared" si="110"/>
        <v/>
      </c>
      <c r="AK490" s="3" t="str">
        <f>IF(V490=0,"",_xlfn.CONCAT(DADOS!$A$8,X490:AJ490,"
"))</f>
        <v/>
      </c>
    </row>
    <row r="491" spans="5:37" ht="15" customHeight="1" x14ac:dyDescent="0.25">
      <c r="E491" s="22"/>
      <c r="F491" s="22"/>
      <c r="G491" s="12"/>
      <c r="H491" s="22"/>
      <c r="I491" s="13"/>
      <c r="J491" s="14"/>
      <c r="K491" s="12"/>
      <c r="L491" s="15"/>
      <c r="M491" s="16"/>
      <c r="N491" s="15"/>
      <c r="O491" s="16"/>
      <c r="P491" s="17"/>
      <c r="Q491" s="15"/>
      <c r="R491" s="18"/>
      <c r="S491" s="20">
        <v>477</v>
      </c>
      <c r="V491" s="3">
        <f t="shared" si="98"/>
        <v>0</v>
      </c>
      <c r="X491" s="3" t="str">
        <f t="shared" si="99"/>
        <v/>
      </c>
      <c r="Y491" s="3" t="str">
        <f t="shared" si="100"/>
        <v/>
      </c>
      <c r="Z491" s="3" t="str">
        <f t="shared" si="101"/>
        <v/>
      </c>
      <c r="AA491" s="3" t="str">
        <f t="shared" si="111"/>
        <v/>
      </c>
      <c r="AB491" s="3" t="str">
        <f t="shared" si="102"/>
        <v/>
      </c>
      <c r="AC491" s="3" t="str">
        <f t="shared" si="103"/>
        <v/>
      </c>
      <c r="AD491" s="3" t="str">
        <f t="shared" si="104"/>
        <v/>
      </c>
      <c r="AE491" s="3" t="str">
        <f t="shared" si="105"/>
        <v/>
      </c>
      <c r="AF491" s="3" t="str">
        <f t="shared" si="106"/>
        <v/>
      </c>
      <c r="AG491" s="3" t="str">
        <f t="shared" si="107"/>
        <v/>
      </c>
      <c r="AH491" s="3" t="str">
        <f t="shared" si="108"/>
        <v/>
      </c>
      <c r="AI491" s="3" t="str">
        <f t="shared" si="109"/>
        <v/>
      </c>
      <c r="AJ491" s="3" t="str">
        <f t="shared" si="110"/>
        <v/>
      </c>
      <c r="AK491" s="3" t="str">
        <f>IF(V491=0,"",_xlfn.CONCAT(DADOS!$A$8,X491:AJ491,"
"))</f>
        <v/>
      </c>
    </row>
    <row r="492" spans="5:37" ht="15" customHeight="1" x14ac:dyDescent="0.25">
      <c r="E492" s="22"/>
      <c r="F492" s="22"/>
      <c r="G492" s="12"/>
      <c r="H492" s="22"/>
      <c r="I492" s="13"/>
      <c r="J492" s="14"/>
      <c r="K492" s="12"/>
      <c r="L492" s="15"/>
      <c r="M492" s="16"/>
      <c r="N492" s="15"/>
      <c r="O492" s="16"/>
      <c r="P492" s="17"/>
      <c r="Q492" s="15"/>
      <c r="R492" s="18"/>
      <c r="S492" s="20">
        <v>478</v>
      </c>
      <c r="V492" s="3">
        <f t="shared" si="98"/>
        <v>0</v>
      </c>
      <c r="X492" s="3" t="str">
        <f t="shared" si="99"/>
        <v/>
      </c>
      <c r="Y492" s="3" t="str">
        <f t="shared" si="100"/>
        <v/>
      </c>
      <c r="Z492" s="3" t="str">
        <f t="shared" si="101"/>
        <v/>
      </c>
      <c r="AA492" s="3" t="str">
        <f t="shared" si="111"/>
        <v/>
      </c>
      <c r="AB492" s="3" t="str">
        <f t="shared" si="102"/>
        <v/>
      </c>
      <c r="AC492" s="3" t="str">
        <f t="shared" si="103"/>
        <v/>
      </c>
      <c r="AD492" s="3" t="str">
        <f t="shared" si="104"/>
        <v/>
      </c>
      <c r="AE492" s="3" t="str">
        <f t="shared" si="105"/>
        <v/>
      </c>
      <c r="AF492" s="3" t="str">
        <f t="shared" si="106"/>
        <v/>
      </c>
      <c r="AG492" s="3" t="str">
        <f t="shared" si="107"/>
        <v/>
      </c>
      <c r="AH492" s="3" t="str">
        <f t="shared" si="108"/>
        <v/>
      </c>
      <c r="AI492" s="3" t="str">
        <f t="shared" si="109"/>
        <v/>
      </c>
      <c r="AJ492" s="3" t="str">
        <f t="shared" si="110"/>
        <v/>
      </c>
      <c r="AK492" s="3" t="str">
        <f>IF(V492=0,"",_xlfn.CONCAT(DADOS!$A$8,X492:AJ492,"
"))</f>
        <v/>
      </c>
    </row>
    <row r="493" spans="5:37" ht="15" customHeight="1" x14ac:dyDescent="0.25">
      <c r="E493" s="22"/>
      <c r="F493" s="22"/>
      <c r="G493" s="12"/>
      <c r="H493" s="22"/>
      <c r="I493" s="13"/>
      <c r="J493" s="14"/>
      <c r="K493" s="12"/>
      <c r="L493" s="15"/>
      <c r="M493" s="16"/>
      <c r="N493" s="15"/>
      <c r="O493" s="16"/>
      <c r="P493" s="17"/>
      <c r="Q493" s="15"/>
      <c r="R493" s="18"/>
      <c r="S493" s="20">
        <v>479</v>
      </c>
      <c r="V493" s="3">
        <f t="shared" si="98"/>
        <v>0</v>
      </c>
      <c r="X493" s="3" t="str">
        <f t="shared" si="99"/>
        <v/>
      </c>
      <c r="Y493" s="3" t="str">
        <f t="shared" si="100"/>
        <v/>
      </c>
      <c r="Z493" s="3" t="str">
        <f t="shared" si="101"/>
        <v/>
      </c>
      <c r="AA493" s="3" t="str">
        <f t="shared" si="111"/>
        <v/>
      </c>
      <c r="AB493" s="3" t="str">
        <f t="shared" si="102"/>
        <v/>
      </c>
      <c r="AC493" s="3" t="str">
        <f t="shared" si="103"/>
        <v/>
      </c>
      <c r="AD493" s="3" t="str">
        <f t="shared" si="104"/>
        <v/>
      </c>
      <c r="AE493" s="3" t="str">
        <f t="shared" si="105"/>
        <v/>
      </c>
      <c r="AF493" s="3" t="str">
        <f t="shared" si="106"/>
        <v/>
      </c>
      <c r="AG493" s="3" t="str">
        <f t="shared" si="107"/>
        <v/>
      </c>
      <c r="AH493" s="3" t="str">
        <f t="shared" si="108"/>
        <v/>
      </c>
      <c r="AI493" s="3" t="str">
        <f t="shared" si="109"/>
        <v/>
      </c>
      <c r="AJ493" s="3" t="str">
        <f t="shared" si="110"/>
        <v/>
      </c>
      <c r="AK493" s="3" t="str">
        <f>IF(V493=0,"",_xlfn.CONCAT(DADOS!$A$8,X493:AJ493,"
"))</f>
        <v/>
      </c>
    </row>
    <row r="494" spans="5:37" ht="15" customHeight="1" x14ac:dyDescent="0.25">
      <c r="E494" s="22"/>
      <c r="F494" s="22"/>
      <c r="G494" s="12"/>
      <c r="H494" s="22"/>
      <c r="I494" s="13"/>
      <c r="J494" s="14"/>
      <c r="K494" s="12"/>
      <c r="L494" s="15"/>
      <c r="M494" s="16"/>
      <c r="N494" s="15"/>
      <c r="O494" s="16"/>
      <c r="P494" s="17"/>
      <c r="Q494" s="15"/>
      <c r="R494" s="18"/>
      <c r="S494" s="20">
        <v>480</v>
      </c>
      <c r="V494" s="3">
        <f t="shared" si="98"/>
        <v>0</v>
      </c>
      <c r="X494" s="3" t="str">
        <f t="shared" si="99"/>
        <v/>
      </c>
      <c r="Y494" s="3" t="str">
        <f t="shared" si="100"/>
        <v/>
      </c>
      <c r="Z494" s="3" t="str">
        <f t="shared" si="101"/>
        <v/>
      </c>
      <c r="AA494" s="3" t="str">
        <f t="shared" si="111"/>
        <v/>
      </c>
      <c r="AB494" s="3" t="str">
        <f t="shared" si="102"/>
        <v/>
      </c>
      <c r="AC494" s="3" t="str">
        <f t="shared" si="103"/>
        <v/>
      </c>
      <c r="AD494" s="3" t="str">
        <f t="shared" si="104"/>
        <v/>
      </c>
      <c r="AE494" s="3" t="str">
        <f t="shared" si="105"/>
        <v/>
      </c>
      <c r="AF494" s="3" t="str">
        <f t="shared" si="106"/>
        <v/>
      </c>
      <c r="AG494" s="3" t="str">
        <f t="shared" si="107"/>
        <v/>
      </c>
      <c r="AH494" s="3" t="str">
        <f t="shared" si="108"/>
        <v/>
      </c>
      <c r="AI494" s="3" t="str">
        <f t="shared" si="109"/>
        <v/>
      </c>
      <c r="AJ494" s="3" t="str">
        <f t="shared" si="110"/>
        <v/>
      </c>
      <c r="AK494" s="3" t="str">
        <f>IF(V494=0,"",_xlfn.CONCAT(DADOS!$A$8,X494:AJ494,"
"))</f>
        <v/>
      </c>
    </row>
    <row r="495" spans="5:37" ht="15" customHeight="1" x14ac:dyDescent="0.25">
      <c r="E495" s="22"/>
      <c r="F495" s="22"/>
      <c r="G495" s="12"/>
      <c r="H495" s="22"/>
      <c r="I495" s="13"/>
      <c r="J495" s="14"/>
      <c r="K495" s="12"/>
      <c r="L495" s="15"/>
      <c r="M495" s="16"/>
      <c r="N495" s="15"/>
      <c r="O495" s="16"/>
      <c r="P495" s="17"/>
      <c r="Q495" s="15"/>
      <c r="R495" s="18"/>
      <c r="S495" s="20">
        <v>481</v>
      </c>
      <c r="V495" s="3">
        <f t="shared" si="98"/>
        <v>0</v>
      </c>
      <c r="X495" s="3" t="str">
        <f t="shared" si="99"/>
        <v/>
      </c>
      <c r="Y495" s="3" t="str">
        <f t="shared" si="100"/>
        <v/>
      </c>
      <c r="Z495" s="3" t="str">
        <f t="shared" si="101"/>
        <v/>
      </c>
      <c r="AA495" s="3" t="str">
        <f t="shared" si="111"/>
        <v/>
      </c>
      <c r="AB495" s="3" t="str">
        <f t="shared" si="102"/>
        <v/>
      </c>
      <c r="AC495" s="3" t="str">
        <f t="shared" si="103"/>
        <v/>
      </c>
      <c r="AD495" s="3" t="str">
        <f t="shared" si="104"/>
        <v/>
      </c>
      <c r="AE495" s="3" t="str">
        <f t="shared" si="105"/>
        <v/>
      </c>
      <c r="AF495" s="3" t="str">
        <f t="shared" si="106"/>
        <v/>
      </c>
      <c r="AG495" s="3" t="str">
        <f t="shared" si="107"/>
        <v/>
      </c>
      <c r="AH495" s="3" t="str">
        <f t="shared" si="108"/>
        <v/>
      </c>
      <c r="AI495" s="3" t="str">
        <f t="shared" si="109"/>
        <v/>
      </c>
      <c r="AJ495" s="3" t="str">
        <f t="shared" si="110"/>
        <v/>
      </c>
      <c r="AK495" s="3" t="str">
        <f>IF(V495=0,"",_xlfn.CONCAT(DADOS!$A$8,X495:AJ495,"
"))</f>
        <v/>
      </c>
    </row>
    <row r="496" spans="5:37" ht="15" customHeight="1" x14ac:dyDescent="0.25">
      <c r="E496" s="22"/>
      <c r="F496" s="22"/>
      <c r="G496" s="12"/>
      <c r="H496" s="22"/>
      <c r="I496" s="13"/>
      <c r="J496" s="14"/>
      <c r="K496" s="12"/>
      <c r="L496" s="15"/>
      <c r="M496" s="16"/>
      <c r="N496" s="15"/>
      <c r="O496" s="16"/>
      <c r="P496" s="17"/>
      <c r="Q496" s="15"/>
      <c r="R496" s="18"/>
      <c r="S496" s="20">
        <v>482</v>
      </c>
      <c r="V496" s="3">
        <f t="shared" si="98"/>
        <v>0</v>
      </c>
      <c r="X496" s="3" t="str">
        <f t="shared" si="99"/>
        <v/>
      </c>
      <c r="Y496" s="3" t="str">
        <f t="shared" si="100"/>
        <v/>
      </c>
      <c r="Z496" s="3" t="str">
        <f t="shared" si="101"/>
        <v/>
      </c>
      <c r="AA496" s="3" t="str">
        <f t="shared" si="111"/>
        <v/>
      </c>
      <c r="AB496" s="3" t="str">
        <f t="shared" si="102"/>
        <v/>
      </c>
      <c r="AC496" s="3" t="str">
        <f t="shared" si="103"/>
        <v/>
      </c>
      <c r="AD496" s="3" t="str">
        <f t="shared" si="104"/>
        <v/>
      </c>
      <c r="AE496" s="3" t="str">
        <f t="shared" si="105"/>
        <v/>
      </c>
      <c r="AF496" s="3" t="str">
        <f t="shared" si="106"/>
        <v/>
      </c>
      <c r="AG496" s="3" t="str">
        <f t="shared" si="107"/>
        <v/>
      </c>
      <c r="AH496" s="3" t="str">
        <f t="shared" si="108"/>
        <v/>
      </c>
      <c r="AI496" s="3" t="str">
        <f t="shared" si="109"/>
        <v/>
      </c>
      <c r="AJ496" s="3" t="str">
        <f t="shared" si="110"/>
        <v/>
      </c>
      <c r="AK496" s="3" t="str">
        <f>IF(V496=0,"",_xlfn.CONCAT(DADOS!$A$8,X496:AJ496,"
"))</f>
        <v/>
      </c>
    </row>
    <row r="497" spans="5:37" ht="15" customHeight="1" x14ac:dyDescent="0.25">
      <c r="E497" s="22"/>
      <c r="F497" s="22"/>
      <c r="G497" s="12"/>
      <c r="H497" s="22"/>
      <c r="I497" s="13"/>
      <c r="J497" s="14"/>
      <c r="K497" s="12"/>
      <c r="L497" s="15"/>
      <c r="M497" s="16"/>
      <c r="N497" s="15"/>
      <c r="O497" s="16"/>
      <c r="P497" s="17"/>
      <c r="Q497" s="15"/>
      <c r="R497" s="18"/>
      <c r="S497" s="20">
        <v>483</v>
      </c>
      <c r="V497" s="3">
        <f t="shared" si="98"/>
        <v>0</v>
      </c>
      <c r="X497" s="3" t="str">
        <f t="shared" si="99"/>
        <v/>
      </c>
      <c r="Y497" s="3" t="str">
        <f t="shared" si="100"/>
        <v/>
      </c>
      <c r="Z497" s="3" t="str">
        <f t="shared" si="101"/>
        <v/>
      </c>
      <c r="AA497" s="3" t="str">
        <f t="shared" si="111"/>
        <v/>
      </c>
      <c r="AB497" s="3" t="str">
        <f t="shared" si="102"/>
        <v/>
      </c>
      <c r="AC497" s="3" t="str">
        <f t="shared" si="103"/>
        <v/>
      </c>
      <c r="AD497" s="3" t="str">
        <f t="shared" si="104"/>
        <v/>
      </c>
      <c r="AE497" s="3" t="str">
        <f t="shared" si="105"/>
        <v/>
      </c>
      <c r="AF497" s="3" t="str">
        <f t="shared" si="106"/>
        <v/>
      </c>
      <c r="AG497" s="3" t="str">
        <f t="shared" si="107"/>
        <v/>
      </c>
      <c r="AH497" s="3" t="str">
        <f t="shared" si="108"/>
        <v/>
      </c>
      <c r="AI497" s="3" t="str">
        <f t="shared" si="109"/>
        <v/>
      </c>
      <c r="AJ497" s="3" t="str">
        <f t="shared" si="110"/>
        <v/>
      </c>
      <c r="AK497" s="3" t="str">
        <f>IF(V497=0,"",_xlfn.CONCAT(DADOS!$A$8,X497:AJ497,"
"))</f>
        <v/>
      </c>
    </row>
    <row r="498" spans="5:37" ht="15" customHeight="1" x14ac:dyDescent="0.25">
      <c r="E498" s="22"/>
      <c r="F498" s="22"/>
      <c r="G498" s="12"/>
      <c r="H498" s="22"/>
      <c r="I498" s="13"/>
      <c r="J498" s="14"/>
      <c r="K498" s="12"/>
      <c r="L498" s="15"/>
      <c r="M498" s="16"/>
      <c r="N498" s="15"/>
      <c r="O498" s="16"/>
      <c r="P498" s="17"/>
      <c r="Q498" s="15"/>
      <c r="R498" s="18"/>
      <c r="S498" s="20">
        <v>484</v>
      </c>
      <c r="V498" s="3">
        <f t="shared" si="98"/>
        <v>0</v>
      </c>
      <c r="X498" s="3" t="str">
        <f t="shared" si="99"/>
        <v/>
      </c>
      <c r="Y498" s="3" t="str">
        <f t="shared" si="100"/>
        <v/>
      </c>
      <c r="Z498" s="3" t="str">
        <f t="shared" si="101"/>
        <v/>
      </c>
      <c r="AA498" s="3" t="str">
        <f t="shared" si="111"/>
        <v/>
      </c>
      <c r="AB498" s="3" t="str">
        <f t="shared" si="102"/>
        <v/>
      </c>
      <c r="AC498" s="3" t="str">
        <f t="shared" si="103"/>
        <v/>
      </c>
      <c r="AD498" s="3" t="str">
        <f t="shared" si="104"/>
        <v/>
      </c>
      <c r="AE498" s="3" t="str">
        <f t="shared" si="105"/>
        <v/>
      </c>
      <c r="AF498" s="3" t="str">
        <f t="shared" si="106"/>
        <v/>
      </c>
      <c r="AG498" s="3" t="str">
        <f t="shared" si="107"/>
        <v/>
      </c>
      <c r="AH498" s="3" t="str">
        <f t="shared" si="108"/>
        <v/>
      </c>
      <c r="AI498" s="3" t="str">
        <f t="shared" si="109"/>
        <v/>
      </c>
      <c r="AJ498" s="3" t="str">
        <f t="shared" si="110"/>
        <v/>
      </c>
      <c r="AK498" s="3" t="str">
        <f>IF(V498=0,"",_xlfn.CONCAT(DADOS!$A$8,X498:AJ498,"
"))</f>
        <v/>
      </c>
    </row>
    <row r="499" spans="5:37" ht="15" customHeight="1" x14ac:dyDescent="0.25">
      <c r="E499" s="22"/>
      <c r="F499" s="22"/>
      <c r="G499" s="12"/>
      <c r="H499" s="22"/>
      <c r="I499" s="13"/>
      <c r="J499" s="14"/>
      <c r="K499" s="12"/>
      <c r="L499" s="15"/>
      <c r="M499" s="16"/>
      <c r="N499" s="15"/>
      <c r="O499" s="16"/>
      <c r="P499" s="17"/>
      <c r="Q499" s="15"/>
      <c r="R499" s="18"/>
      <c r="S499" s="20">
        <v>485</v>
      </c>
      <c r="V499" s="3">
        <f t="shared" si="98"/>
        <v>0</v>
      </c>
      <c r="X499" s="3" t="str">
        <f t="shared" si="99"/>
        <v/>
      </c>
      <c r="Y499" s="3" t="str">
        <f t="shared" si="100"/>
        <v/>
      </c>
      <c r="Z499" s="3" t="str">
        <f t="shared" si="101"/>
        <v/>
      </c>
      <c r="AA499" s="3" t="str">
        <f t="shared" si="111"/>
        <v/>
      </c>
      <c r="AB499" s="3" t="str">
        <f t="shared" si="102"/>
        <v/>
      </c>
      <c r="AC499" s="3" t="str">
        <f t="shared" si="103"/>
        <v/>
      </c>
      <c r="AD499" s="3" t="str">
        <f t="shared" si="104"/>
        <v/>
      </c>
      <c r="AE499" s="3" t="str">
        <f t="shared" si="105"/>
        <v/>
      </c>
      <c r="AF499" s="3" t="str">
        <f t="shared" si="106"/>
        <v/>
      </c>
      <c r="AG499" s="3" t="str">
        <f t="shared" si="107"/>
        <v/>
      </c>
      <c r="AH499" s="3" t="str">
        <f t="shared" si="108"/>
        <v/>
      </c>
      <c r="AI499" s="3" t="str">
        <f t="shared" si="109"/>
        <v/>
      </c>
      <c r="AJ499" s="3" t="str">
        <f t="shared" si="110"/>
        <v/>
      </c>
      <c r="AK499" s="3" t="str">
        <f>IF(V499=0,"",_xlfn.CONCAT(DADOS!$A$8,X499:AJ499,"
"))</f>
        <v/>
      </c>
    </row>
    <row r="500" spans="5:37" ht="15" customHeight="1" x14ac:dyDescent="0.25">
      <c r="E500" s="22"/>
      <c r="F500" s="22"/>
      <c r="G500" s="12"/>
      <c r="H500" s="22"/>
      <c r="I500" s="13"/>
      <c r="J500" s="14"/>
      <c r="K500" s="12"/>
      <c r="L500" s="15"/>
      <c r="M500" s="16"/>
      <c r="N500" s="15"/>
      <c r="O500" s="16"/>
      <c r="P500" s="17"/>
      <c r="Q500" s="15"/>
      <c r="R500" s="18"/>
      <c r="S500" s="20">
        <v>486</v>
      </c>
      <c r="V500" s="3">
        <f t="shared" si="98"/>
        <v>0</v>
      </c>
      <c r="X500" s="3" t="str">
        <f t="shared" si="99"/>
        <v/>
      </c>
      <c r="Y500" s="3" t="str">
        <f t="shared" si="100"/>
        <v/>
      </c>
      <c r="Z500" s="3" t="str">
        <f t="shared" si="101"/>
        <v/>
      </c>
      <c r="AA500" s="3" t="str">
        <f t="shared" si="111"/>
        <v/>
      </c>
      <c r="AB500" s="3" t="str">
        <f t="shared" si="102"/>
        <v/>
      </c>
      <c r="AC500" s="3" t="str">
        <f t="shared" si="103"/>
        <v/>
      </c>
      <c r="AD500" s="3" t="str">
        <f t="shared" si="104"/>
        <v/>
      </c>
      <c r="AE500" s="3" t="str">
        <f t="shared" si="105"/>
        <v/>
      </c>
      <c r="AF500" s="3" t="str">
        <f t="shared" si="106"/>
        <v/>
      </c>
      <c r="AG500" s="3" t="str">
        <f t="shared" si="107"/>
        <v/>
      </c>
      <c r="AH500" s="3" t="str">
        <f t="shared" si="108"/>
        <v/>
      </c>
      <c r="AI500" s="3" t="str">
        <f t="shared" si="109"/>
        <v/>
      </c>
      <c r="AJ500" s="3" t="str">
        <f t="shared" si="110"/>
        <v/>
      </c>
      <c r="AK500" s="3" t="str">
        <f>IF(V500=0,"",_xlfn.CONCAT(DADOS!$A$8,X500:AJ500,"
"))</f>
        <v/>
      </c>
    </row>
    <row r="501" spans="5:37" ht="15" customHeight="1" x14ac:dyDescent="0.25">
      <c r="E501" s="22"/>
      <c r="F501" s="22"/>
      <c r="G501" s="12"/>
      <c r="H501" s="22"/>
      <c r="I501" s="13"/>
      <c r="J501" s="14"/>
      <c r="K501" s="12"/>
      <c r="L501" s="15"/>
      <c r="M501" s="16"/>
      <c r="N501" s="15"/>
      <c r="O501" s="16"/>
      <c r="P501" s="17"/>
      <c r="Q501" s="15"/>
      <c r="R501" s="18"/>
      <c r="S501" s="20">
        <v>487</v>
      </c>
      <c r="V501" s="3">
        <f t="shared" si="98"/>
        <v>0</v>
      </c>
      <c r="X501" s="3" t="str">
        <f t="shared" si="99"/>
        <v/>
      </c>
      <c r="Y501" s="3" t="str">
        <f t="shared" si="100"/>
        <v/>
      </c>
      <c r="Z501" s="3" t="str">
        <f t="shared" si="101"/>
        <v/>
      </c>
      <c r="AA501" s="3" t="str">
        <f t="shared" si="111"/>
        <v/>
      </c>
      <c r="AB501" s="3" t="str">
        <f t="shared" si="102"/>
        <v/>
      </c>
      <c r="AC501" s="3" t="str">
        <f t="shared" si="103"/>
        <v/>
      </c>
      <c r="AD501" s="3" t="str">
        <f t="shared" si="104"/>
        <v/>
      </c>
      <c r="AE501" s="3" t="str">
        <f t="shared" si="105"/>
        <v/>
      </c>
      <c r="AF501" s="3" t="str">
        <f t="shared" si="106"/>
        <v/>
      </c>
      <c r="AG501" s="3" t="str">
        <f t="shared" si="107"/>
        <v/>
      </c>
      <c r="AH501" s="3" t="str">
        <f t="shared" si="108"/>
        <v/>
      </c>
      <c r="AI501" s="3" t="str">
        <f t="shared" si="109"/>
        <v/>
      </c>
      <c r="AJ501" s="3" t="str">
        <f t="shared" si="110"/>
        <v/>
      </c>
      <c r="AK501" s="3" t="str">
        <f>IF(V501=0,"",_xlfn.CONCAT(DADOS!$A$8,X501:AJ501,"
"))</f>
        <v/>
      </c>
    </row>
    <row r="502" spans="5:37" ht="15.6" customHeight="1" x14ac:dyDescent="0.25">
      <c r="E502" s="22"/>
      <c r="F502" s="22"/>
      <c r="G502" s="12"/>
      <c r="H502" s="22"/>
      <c r="I502" s="13"/>
      <c r="J502" s="14"/>
      <c r="K502" s="12"/>
      <c r="L502" s="15"/>
      <c r="M502" s="16"/>
      <c r="N502" s="15"/>
      <c r="O502" s="16"/>
      <c r="P502" s="17"/>
      <c r="Q502" s="15"/>
      <c r="R502" s="18"/>
      <c r="S502" s="20">
        <v>488</v>
      </c>
      <c r="V502" s="3">
        <f t="shared" si="98"/>
        <v>0</v>
      </c>
      <c r="X502" s="3" t="str">
        <f t="shared" si="99"/>
        <v/>
      </c>
      <c r="Y502" s="3" t="str">
        <f t="shared" si="100"/>
        <v/>
      </c>
      <c r="Z502" s="3" t="str">
        <f t="shared" si="101"/>
        <v/>
      </c>
      <c r="AA502" s="3" t="str">
        <f t="shared" si="111"/>
        <v/>
      </c>
      <c r="AB502" s="3" t="str">
        <f t="shared" si="102"/>
        <v/>
      </c>
      <c r="AC502" s="3" t="str">
        <f t="shared" si="103"/>
        <v/>
      </c>
      <c r="AD502" s="3" t="str">
        <f t="shared" si="104"/>
        <v/>
      </c>
      <c r="AE502" s="3" t="str">
        <f t="shared" si="105"/>
        <v/>
      </c>
      <c r="AF502" s="3" t="str">
        <f t="shared" si="106"/>
        <v/>
      </c>
      <c r="AG502" s="3" t="str">
        <f t="shared" si="107"/>
        <v/>
      </c>
      <c r="AH502" s="3" t="str">
        <f t="shared" si="108"/>
        <v/>
      </c>
      <c r="AI502" s="3" t="str">
        <f t="shared" si="109"/>
        <v/>
      </c>
      <c r="AJ502" s="3" t="str">
        <f t="shared" si="110"/>
        <v/>
      </c>
      <c r="AK502" s="3" t="str">
        <f>IF(V502=0,"",_xlfn.CONCAT(DADOS!$A$8,X502:AJ502,"
"))</f>
        <v/>
      </c>
    </row>
    <row r="503" spans="5:37" ht="15" customHeight="1" x14ac:dyDescent="0.25">
      <c r="E503" s="22"/>
      <c r="F503" s="22"/>
      <c r="G503" s="12"/>
      <c r="H503" s="22"/>
      <c r="I503" s="13"/>
      <c r="J503" s="14"/>
      <c r="K503" s="12"/>
      <c r="L503" s="15"/>
      <c r="M503" s="16"/>
      <c r="N503" s="15"/>
      <c r="O503" s="16"/>
      <c r="P503" s="17"/>
      <c r="Q503" s="15"/>
      <c r="R503" s="18"/>
      <c r="S503" s="20">
        <v>489</v>
      </c>
      <c r="V503" s="3">
        <f t="shared" si="98"/>
        <v>0</v>
      </c>
      <c r="X503" s="3" t="str">
        <f t="shared" si="99"/>
        <v/>
      </c>
      <c r="Y503" s="3" t="str">
        <f t="shared" si="100"/>
        <v/>
      </c>
      <c r="Z503" s="3" t="str">
        <f t="shared" si="101"/>
        <v/>
      </c>
      <c r="AA503" s="3" t="str">
        <f t="shared" si="111"/>
        <v/>
      </c>
      <c r="AB503" s="3" t="str">
        <f t="shared" si="102"/>
        <v/>
      </c>
      <c r="AC503" s="3" t="str">
        <f t="shared" si="103"/>
        <v/>
      </c>
      <c r="AD503" s="3" t="str">
        <f t="shared" si="104"/>
        <v/>
      </c>
      <c r="AE503" s="3" t="str">
        <f t="shared" si="105"/>
        <v/>
      </c>
      <c r="AF503" s="3" t="str">
        <f t="shared" si="106"/>
        <v/>
      </c>
      <c r="AG503" s="3" t="str">
        <f t="shared" si="107"/>
        <v/>
      </c>
      <c r="AH503" s="3" t="str">
        <f t="shared" si="108"/>
        <v/>
      </c>
      <c r="AI503" s="3" t="str">
        <f t="shared" si="109"/>
        <v/>
      </c>
      <c r="AJ503" s="3" t="str">
        <f t="shared" si="110"/>
        <v/>
      </c>
      <c r="AK503" s="3" t="str">
        <f>IF(V503=0,"",_xlfn.CONCAT(DADOS!$A$8,X503:AJ503,"
"))</f>
        <v/>
      </c>
    </row>
    <row r="504" spans="5:37" ht="15" customHeight="1" x14ac:dyDescent="0.25">
      <c r="E504" s="22"/>
      <c r="F504" s="22"/>
      <c r="G504" s="12"/>
      <c r="H504" s="22"/>
      <c r="I504" s="13"/>
      <c r="J504" s="14"/>
      <c r="K504" s="12"/>
      <c r="L504" s="15"/>
      <c r="M504" s="16"/>
      <c r="N504" s="15"/>
      <c r="O504" s="16"/>
      <c r="P504" s="17"/>
      <c r="Q504" s="15"/>
      <c r="R504" s="18"/>
      <c r="S504" s="20">
        <v>490</v>
      </c>
      <c r="V504" s="3">
        <f t="shared" si="98"/>
        <v>0</v>
      </c>
      <c r="X504" s="3" t="str">
        <f t="shared" si="99"/>
        <v/>
      </c>
      <c r="Y504" s="3" t="str">
        <f t="shared" si="100"/>
        <v/>
      </c>
      <c r="Z504" s="3" t="str">
        <f t="shared" si="101"/>
        <v/>
      </c>
      <c r="AA504" s="3" t="str">
        <f t="shared" si="111"/>
        <v/>
      </c>
      <c r="AB504" s="3" t="str">
        <f t="shared" si="102"/>
        <v/>
      </c>
      <c r="AC504" s="3" t="str">
        <f t="shared" si="103"/>
        <v/>
      </c>
      <c r="AD504" s="3" t="str">
        <f t="shared" si="104"/>
        <v/>
      </c>
      <c r="AE504" s="3" t="str">
        <f t="shared" si="105"/>
        <v/>
      </c>
      <c r="AF504" s="3" t="str">
        <f t="shared" si="106"/>
        <v/>
      </c>
      <c r="AG504" s="3" t="str">
        <f t="shared" si="107"/>
        <v/>
      </c>
      <c r="AH504" s="3" t="str">
        <f t="shared" si="108"/>
        <v/>
      </c>
      <c r="AI504" s="3" t="str">
        <f t="shared" si="109"/>
        <v/>
      </c>
      <c r="AJ504" s="3" t="str">
        <f t="shared" si="110"/>
        <v/>
      </c>
      <c r="AK504" s="3" t="str">
        <f>IF(V504=0,"",_xlfn.CONCAT(DADOS!$A$8,X504:AJ504,"
"))</f>
        <v/>
      </c>
    </row>
    <row r="505" spans="5:37" ht="15" customHeight="1" x14ac:dyDescent="0.25">
      <c r="E505" s="22"/>
      <c r="F505" s="22"/>
      <c r="G505" s="12"/>
      <c r="H505" s="22"/>
      <c r="I505" s="13"/>
      <c r="J505" s="14"/>
      <c r="K505" s="12"/>
      <c r="L505" s="15"/>
      <c r="M505" s="16"/>
      <c r="N505" s="15"/>
      <c r="O505" s="16"/>
      <c r="P505" s="17"/>
      <c r="Q505" s="15"/>
      <c r="R505" s="18"/>
      <c r="S505" s="20">
        <v>491</v>
      </c>
      <c r="V505" s="3">
        <f t="shared" si="98"/>
        <v>0</v>
      </c>
      <c r="X505" s="3" t="str">
        <f t="shared" si="99"/>
        <v/>
      </c>
      <c r="Y505" s="3" t="str">
        <f t="shared" si="100"/>
        <v/>
      </c>
      <c r="Z505" s="3" t="str">
        <f t="shared" si="101"/>
        <v/>
      </c>
      <c r="AA505" s="3" t="str">
        <f t="shared" si="111"/>
        <v/>
      </c>
      <c r="AB505" s="3" t="str">
        <f t="shared" si="102"/>
        <v/>
      </c>
      <c r="AC505" s="3" t="str">
        <f t="shared" si="103"/>
        <v/>
      </c>
      <c r="AD505" s="3" t="str">
        <f t="shared" si="104"/>
        <v/>
      </c>
      <c r="AE505" s="3" t="str">
        <f t="shared" si="105"/>
        <v/>
      </c>
      <c r="AF505" s="3" t="str">
        <f t="shared" si="106"/>
        <v/>
      </c>
      <c r="AG505" s="3" t="str">
        <f t="shared" si="107"/>
        <v/>
      </c>
      <c r="AH505" s="3" t="str">
        <f t="shared" si="108"/>
        <v/>
      </c>
      <c r="AI505" s="3" t="str">
        <f t="shared" si="109"/>
        <v/>
      </c>
      <c r="AJ505" s="3" t="str">
        <f t="shared" si="110"/>
        <v/>
      </c>
      <c r="AK505" s="3" t="str">
        <f>IF(V505=0,"",_xlfn.CONCAT(DADOS!$A$8,X505:AJ505,"
"))</f>
        <v/>
      </c>
    </row>
    <row r="506" spans="5:37" ht="15" customHeight="1" x14ac:dyDescent="0.25">
      <c r="E506" s="22"/>
      <c r="F506" s="22"/>
      <c r="G506" s="12"/>
      <c r="H506" s="22"/>
      <c r="I506" s="13"/>
      <c r="J506" s="14"/>
      <c r="K506" s="12"/>
      <c r="L506" s="15"/>
      <c r="M506" s="16"/>
      <c r="N506" s="15"/>
      <c r="O506" s="16"/>
      <c r="P506" s="17"/>
      <c r="Q506" s="15"/>
      <c r="R506" s="18"/>
      <c r="S506" s="20">
        <v>492</v>
      </c>
      <c r="V506" s="3">
        <f t="shared" si="98"/>
        <v>0</v>
      </c>
      <c r="X506" s="3" t="str">
        <f t="shared" si="99"/>
        <v/>
      </c>
      <c r="Y506" s="3" t="str">
        <f t="shared" si="100"/>
        <v/>
      </c>
      <c r="Z506" s="3" t="str">
        <f t="shared" si="101"/>
        <v/>
      </c>
      <c r="AA506" s="3" t="str">
        <f t="shared" si="111"/>
        <v/>
      </c>
      <c r="AB506" s="3" t="str">
        <f t="shared" si="102"/>
        <v/>
      </c>
      <c r="AC506" s="3" t="str">
        <f t="shared" si="103"/>
        <v/>
      </c>
      <c r="AD506" s="3" t="str">
        <f t="shared" si="104"/>
        <v/>
      </c>
      <c r="AE506" s="3" t="str">
        <f t="shared" si="105"/>
        <v/>
      </c>
      <c r="AF506" s="3" t="str">
        <f t="shared" si="106"/>
        <v/>
      </c>
      <c r="AG506" s="3" t="str">
        <f t="shared" si="107"/>
        <v/>
      </c>
      <c r="AH506" s="3" t="str">
        <f t="shared" si="108"/>
        <v/>
      </c>
      <c r="AI506" s="3" t="str">
        <f t="shared" si="109"/>
        <v/>
      </c>
      <c r="AJ506" s="3" t="str">
        <f t="shared" si="110"/>
        <v/>
      </c>
      <c r="AK506" s="3" t="str">
        <f>IF(V506=0,"",_xlfn.CONCAT(DADOS!$A$8,X506:AJ506,"
"))</f>
        <v/>
      </c>
    </row>
    <row r="507" spans="5:37" ht="15" customHeight="1" x14ac:dyDescent="0.25">
      <c r="E507" s="22"/>
      <c r="F507" s="22"/>
      <c r="G507" s="12"/>
      <c r="H507" s="22"/>
      <c r="I507" s="13"/>
      <c r="J507" s="14"/>
      <c r="K507" s="12"/>
      <c r="L507" s="15"/>
      <c r="M507" s="16"/>
      <c r="N507" s="15"/>
      <c r="O507" s="16"/>
      <c r="P507" s="17"/>
      <c r="Q507" s="15"/>
      <c r="R507" s="18"/>
      <c r="S507" s="20">
        <v>493</v>
      </c>
      <c r="V507" s="3">
        <f t="shared" si="98"/>
        <v>0</v>
      </c>
      <c r="X507" s="3" t="str">
        <f t="shared" si="99"/>
        <v/>
      </c>
      <c r="Y507" s="3" t="str">
        <f t="shared" si="100"/>
        <v/>
      </c>
      <c r="Z507" s="3" t="str">
        <f t="shared" si="101"/>
        <v/>
      </c>
      <c r="AA507" s="3" t="str">
        <f t="shared" si="111"/>
        <v/>
      </c>
      <c r="AB507" s="3" t="str">
        <f t="shared" si="102"/>
        <v/>
      </c>
      <c r="AC507" s="3" t="str">
        <f t="shared" si="103"/>
        <v/>
      </c>
      <c r="AD507" s="3" t="str">
        <f t="shared" si="104"/>
        <v/>
      </c>
      <c r="AE507" s="3" t="str">
        <f t="shared" si="105"/>
        <v/>
      </c>
      <c r="AF507" s="3" t="str">
        <f t="shared" si="106"/>
        <v/>
      </c>
      <c r="AG507" s="3" t="str">
        <f t="shared" si="107"/>
        <v/>
      </c>
      <c r="AH507" s="3" t="str">
        <f t="shared" si="108"/>
        <v/>
      </c>
      <c r="AI507" s="3" t="str">
        <f t="shared" si="109"/>
        <v/>
      </c>
      <c r="AJ507" s="3" t="str">
        <f t="shared" si="110"/>
        <v/>
      </c>
      <c r="AK507" s="3" t="str">
        <f>IF(V507=0,"",_xlfn.CONCAT(DADOS!$A$8,X507:AJ507,"
"))</f>
        <v/>
      </c>
    </row>
    <row r="508" spans="5:37" ht="15" customHeight="1" x14ac:dyDescent="0.25">
      <c r="E508" s="22"/>
      <c r="F508" s="22"/>
      <c r="G508" s="12"/>
      <c r="H508" s="22"/>
      <c r="I508" s="13"/>
      <c r="J508" s="14"/>
      <c r="K508" s="12"/>
      <c r="L508" s="15"/>
      <c r="M508" s="16"/>
      <c r="N508" s="15"/>
      <c r="O508" s="16"/>
      <c r="P508" s="17"/>
      <c r="Q508" s="15"/>
      <c r="R508" s="18"/>
      <c r="S508" s="20">
        <v>494</v>
      </c>
      <c r="V508" s="3">
        <f t="shared" si="98"/>
        <v>0</v>
      </c>
      <c r="X508" s="3" t="str">
        <f t="shared" si="99"/>
        <v/>
      </c>
      <c r="Y508" s="3" t="str">
        <f t="shared" si="100"/>
        <v/>
      </c>
      <c r="Z508" s="3" t="str">
        <f t="shared" si="101"/>
        <v/>
      </c>
      <c r="AA508" s="3" t="str">
        <f t="shared" si="111"/>
        <v/>
      </c>
      <c r="AB508" s="3" t="str">
        <f t="shared" si="102"/>
        <v/>
      </c>
      <c r="AC508" s="3" t="str">
        <f t="shared" si="103"/>
        <v/>
      </c>
      <c r="AD508" s="3" t="str">
        <f t="shared" si="104"/>
        <v/>
      </c>
      <c r="AE508" s="3" t="str">
        <f t="shared" si="105"/>
        <v/>
      </c>
      <c r="AF508" s="3" t="str">
        <f t="shared" si="106"/>
        <v/>
      </c>
      <c r="AG508" s="3" t="str">
        <f t="shared" si="107"/>
        <v/>
      </c>
      <c r="AH508" s="3" t="str">
        <f t="shared" si="108"/>
        <v/>
      </c>
      <c r="AI508" s="3" t="str">
        <f t="shared" si="109"/>
        <v/>
      </c>
      <c r="AJ508" s="3" t="str">
        <f t="shared" si="110"/>
        <v/>
      </c>
      <c r="AK508" s="3" t="str">
        <f>IF(V508=0,"",_xlfn.CONCAT(DADOS!$A$8,X508:AJ508,"
"))</f>
        <v/>
      </c>
    </row>
    <row r="509" spans="5:37" ht="15" customHeight="1" x14ac:dyDescent="0.25">
      <c r="E509" s="22"/>
      <c r="F509" s="22"/>
      <c r="G509" s="12"/>
      <c r="H509" s="22"/>
      <c r="I509" s="13"/>
      <c r="J509" s="14"/>
      <c r="K509" s="12"/>
      <c r="L509" s="15"/>
      <c r="M509" s="16"/>
      <c r="N509" s="15"/>
      <c r="O509" s="16"/>
      <c r="P509" s="17"/>
      <c r="Q509" s="15"/>
      <c r="R509" s="18"/>
      <c r="S509" s="20">
        <v>495</v>
      </c>
      <c r="V509" s="3">
        <f t="shared" si="98"/>
        <v>0</v>
      </c>
      <c r="X509" s="3" t="str">
        <f t="shared" si="99"/>
        <v/>
      </c>
      <c r="Y509" s="3" t="str">
        <f t="shared" si="100"/>
        <v/>
      </c>
      <c r="Z509" s="3" t="str">
        <f t="shared" si="101"/>
        <v/>
      </c>
      <c r="AA509" s="3" t="str">
        <f t="shared" si="111"/>
        <v/>
      </c>
      <c r="AB509" s="3" t="str">
        <f t="shared" si="102"/>
        <v/>
      </c>
      <c r="AC509" s="3" t="str">
        <f t="shared" si="103"/>
        <v/>
      </c>
      <c r="AD509" s="3" t="str">
        <f t="shared" si="104"/>
        <v/>
      </c>
      <c r="AE509" s="3" t="str">
        <f t="shared" si="105"/>
        <v/>
      </c>
      <c r="AF509" s="3" t="str">
        <f t="shared" si="106"/>
        <v/>
      </c>
      <c r="AG509" s="3" t="str">
        <f t="shared" si="107"/>
        <v/>
      </c>
      <c r="AH509" s="3" t="str">
        <f t="shared" si="108"/>
        <v/>
      </c>
      <c r="AI509" s="3" t="str">
        <f t="shared" si="109"/>
        <v/>
      </c>
      <c r="AJ509" s="3" t="str">
        <f t="shared" si="110"/>
        <v/>
      </c>
      <c r="AK509" s="3" t="str">
        <f>IF(V509=0,"",_xlfn.CONCAT(DADOS!$A$8,X509:AJ509,"
"))</f>
        <v/>
      </c>
    </row>
    <row r="510" spans="5:37" ht="15" customHeight="1" x14ac:dyDescent="0.25">
      <c r="E510" s="22"/>
      <c r="F510" s="22"/>
      <c r="G510" s="12"/>
      <c r="H510" s="22"/>
      <c r="I510" s="13"/>
      <c r="J510" s="14"/>
      <c r="K510" s="12"/>
      <c r="L510" s="15"/>
      <c r="M510" s="16"/>
      <c r="N510" s="15"/>
      <c r="O510" s="16"/>
      <c r="P510" s="17"/>
      <c r="Q510" s="15"/>
      <c r="R510" s="18"/>
      <c r="S510" s="20">
        <v>496</v>
      </c>
      <c r="V510" s="3">
        <f t="shared" si="98"/>
        <v>0</v>
      </c>
      <c r="X510" s="3" t="str">
        <f t="shared" si="99"/>
        <v/>
      </c>
      <c r="Y510" s="3" t="str">
        <f t="shared" si="100"/>
        <v/>
      </c>
      <c r="Z510" s="3" t="str">
        <f t="shared" si="101"/>
        <v/>
      </c>
      <c r="AA510" s="3" t="str">
        <f t="shared" si="111"/>
        <v/>
      </c>
      <c r="AB510" s="3" t="str">
        <f t="shared" si="102"/>
        <v/>
      </c>
      <c r="AC510" s="3" t="str">
        <f t="shared" si="103"/>
        <v/>
      </c>
      <c r="AD510" s="3" t="str">
        <f t="shared" si="104"/>
        <v/>
      </c>
      <c r="AE510" s="3" t="str">
        <f t="shared" si="105"/>
        <v/>
      </c>
      <c r="AF510" s="3" t="str">
        <f t="shared" si="106"/>
        <v/>
      </c>
      <c r="AG510" s="3" t="str">
        <f t="shared" si="107"/>
        <v/>
      </c>
      <c r="AH510" s="3" t="str">
        <f t="shared" si="108"/>
        <v/>
      </c>
      <c r="AI510" s="3" t="str">
        <f t="shared" si="109"/>
        <v/>
      </c>
      <c r="AJ510" s="3" t="str">
        <f t="shared" si="110"/>
        <v/>
      </c>
      <c r="AK510" s="3" t="str">
        <f>IF(V510=0,"",_xlfn.CONCAT(DADOS!$A$8,X510:AJ510,"
"))</f>
        <v/>
      </c>
    </row>
    <row r="511" spans="5:37" ht="15" customHeight="1" x14ac:dyDescent="0.25">
      <c r="E511" s="22"/>
      <c r="F511" s="22"/>
      <c r="G511" s="12"/>
      <c r="H511" s="22"/>
      <c r="I511" s="13"/>
      <c r="J511" s="14"/>
      <c r="K511" s="12"/>
      <c r="L511" s="15"/>
      <c r="M511" s="16"/>
      <c r="N511" s="15"/>
      <c r="O511" s="16"/>
      <c r="P511" s="17"/>
      <c r="Q511" s="15"/>
      <c r="R511" s="18"/>
      <c r="S511" s="20">
        <v>497</v>
      </c>
      <c r="V511" s="3">
        <f t="shared" si="98"/>
        <v>0</v>
      </c>
      <c r="X511" s="3" t="str">
        <f t="shared" si="99"/>
        <v/>
      </c>
      <c r="Y511" s="3" t="str">
        <f t="shared" si="100"/>
        <v/>
      </c>
      <c r="Z511" s="3" t="str">
        <f t="shared" si="101"/>
        <v/>
      </c>
      <c r="AA511" s="3" t="str">
        <f t="shared" si="111"/>
        <v/>
      </c>
      <c r="AB511" s="3" t="str">
        <f t="shared" si="102"/>
        <v/>
      </c>
      <c r="AC511" s="3" t="str">
        <f t="shared" si="103"/>
        <v/>
      </c>
      <c r="AD511" s="3" t="str">
        <f t="shared" si="104"/>
        <v/>
      </c>
      <c r="AE511" s="3" t="str">
        <f t="shared" si="105"/>
        <v/>
      </c>
      <c r="AF511" s="3" t="str">
        <f t="shared" si="106"/>
        <v/>
      </c>
      <c r="AG511" s="3" t="str">
        <f t="shared" si="107"/>
        <v/>
      </c>
      <c r="AH511" s="3" t="str">
        <f t="shared" si="108"/>
        <v/>
      </c>
      <c r="AI511" s="3" t="str">
        <f t="shared" si="109"/>
        <v/>
      </c>
      <c r="AJ511" s="3" t="str">
        <f t="shared" si="110"/>
        <v/>
      </c>
      <c r="AK511" s="3" t="str">
        <f>IF(V511=0,"",_xlfn.CONCAT(DADOS!$A$8,X511:AJ511,"
"))</f>
        <v/>
      </c>
    </row>
    <row r="512" spans="5:37" ht="15" customHeight="1" x14ac:dyDescent="0.25">
      <c r="E512" s="22"/>
      <c r="F512" s="22"/>
      <c r="G512" s="12"/>
      <c r="H512" s="22"/>
      <c r="I512" s="13"/>
      <c r="J512" s="14"/>
      <c r="K512" s="12"/>
      <c r="L512" s="15"/>
      <c r="M512" s="16"/>
      <c r="N512" s="15"/>
      <c r="O512" s="16"/>
      <c r="P512" s="17"/>
      <c r="Q512" s="15"/>
      <c r="R512" s="18"/>
      <c r="S512" s="20">
        <v>498</v>
      </c>
      <c r="V512" s="3">
        <f t="shared" si="98"/>
        <v>0</v>
      </c>
      <c r="X512" s="3" t="str">
        <f t="shared" si="99"/>
        <v/>
      </c>
      <c r="Y512" s="3" t="str">
        <f t="shared" si="100"/>
        <v/>
      </c>
      <c r="Z512" s="3" t="str">
        <f t="shared" si="101"/>
        <v/>
      </c>
      <c r="AA512" s="3" t="str">
        <f t="shared" si="111"/>
        <v/>
      </c>
      <c r="AB512" s="3" t="str">
        <f t="shared" si="102"/>
        <v/>
      </c>
      <c r="AC512" s="3" t="str">
        <f t="shared" si="103"/>
        <v/>
      </c>
      <c r="AD512" s="3" t="str">
        <f t="shared" si="104"/>
        <v/>
      </c>
      <c r="AE512" s="3" t="str">
        <f t="shared" si="105"/>
        <v/>
      </c>
      <c r="AF512" s="3" t="str">
        <f t="shared" si="106"/>
        <v/>
      </c>
      <c r="AG512" s="3" t="str">
        <f t="shared" si="107"/>
        <v/>
      </c>
      <c r="AH512" s="3" t="str">
        <f t="shared" si="108"/>
        <v/>
      </c>
      <c r="AI512" s="3" t="str">
        <f t="shared" si="109"/>
        <v/>
      </c>
      <c r="AJ512" s="3" t="str">
        <f t="shared" si="110"/>
        <v/>
      </c>
      <c r="AK512" s="3" t="str">
        <f>IF(V512=0,"",_xlfn.CONCAT(DADOS!$A$8,X512:AJ512,"
"))</f>
        <v/>
      </c>
    </row>
    <row r="513" spans="5:37" ht="15" customHeight="1" x14ac:dyDescent="0.25">
      <c r="E513" s="22"/>
      <c r="F513" s="22"/>
      <c r="G513" s="12"/>
      <c r="H513" s="22"/>
      <c r="I513" s="13"/>
      <c r="J513" s="14"/>
      <c r="K513" s="12"/>
      <c r="L513" s="15"/>
      <c r="M513" s="16"/>
      <c r="N513" s="15"/>
      <c r="O513" s="16"/>
      <c r="P513" s="17"/>
      <c r="Q513" s="15"/>
      <c r="R513" s="18"/>
      <c r="S513" s="20">
        <v>499</v>
      </c>
      <c r="V513" s="3">
        <f t="shared" si="98"/>
        <v>0</v>
      </c>
      <c r="X513" s="3" t="str">
        <f t="shared" si="99"/>
        <v/>
      </c>
      <c r="Y513" s="3" t="str">
        <f t="shared" si="100"/>
        <v/>
      </c>
      <c r="Z513" s="3" t="str">
        <f t="shared" si="101"/>
        <v/>
      </c>
      <c r="AA513" s="3" t="str">
        <f t="shared" si="111"/>
        <v/>
      </c>
      <c r="AB513" s="3" t="str">
        <f t="shared" si="102"/>
        <v/>
      </c>
      <c r="AC513" s="3" t="str">
        <f t="shared" si="103"/>
        <v/>
      </c>
      <c r="AD513" s="3" t="str">
        <f t="shared" si="104"/>
        <v/>
      </c>
      <c r="AE513" s="3" t="str">
        <f t="shared" si="105"/>
        <v/>
      </c>
      <c r="AF513" s="3" t="str">
        <f t="shared" si="106"/>
        <v/>
      </c>
      <c r="AG513" s="3" t="str">
        <f t="shared" si="107"/>
        <v/>
      </c>
      <c r="AH513" s="3" t="str">
        <f t="shared" si="108"/>
        <v/>
      </c>
      <c r="AI513" s="3" t="str">
        <f t="shared" si="109"/>
        <v/>
      </c>
      <c r="AJ513" s="3" t="str">
        <f t="shared" si="110"/>
        <v/>
      </c>
      <c r="AK513" s="3" t="str">
        <f>IF(V513=0,"",_xlfn.CONCAT(DADOS!$A$8,X513:AJ513,"
"))</f>
        <v/>
      </c>
    </row>
    <row r="514" spans="5:37" ht="15" customHeight="1" thickBot="1" x14ac:dyDescent="0.3">
      <c r="E514" s="22"/>
      <c r="F514" s="22"/>
      <c r="G514" s="12"/>
      <c r="H514" s="22"/>
      <c r="I514" s="13"/>
      <c r="J514" s="24"/>
      <c r="K514" s="25"/>
      <c r="L514" s="26"/>
      <c r="M514" s="27"/>
      <c r="N514" s="26"/>
      <c r="O514" s="27"/>
      <c r="P514" s="28"/>
      <c r="Q514" s="26"/>
      <c r="R514" s="18"/>
      <c r="S514" s="20">
        <v>500</v>
      </c>
      <c r="V514" s="3">
        <f t="shared" si="98"/>
        <v>0</v>
      </c>
      <c r="X514" s="3" t="str">
        <f t="shared" si="99"/>
        <v/>
      </c>
      <c r="Y514" s="3" t="str">
        <f t="shared" si="100"/>
        <v/>
      </c>
      <c r="Z514" s="3" t="str">
        <f t="shared" si="101"/>
        <v/>
      </c>
      <c r="AA514" s="3" t="str">
        <f t="shared" si="111"/>
        <v/>
      </c>
      <c r="AB514" s="3" t="str">
        <f t="shared" si="102"/>
        <v/>
      </c>
      <c r="AC514" s="3" t="str">
        <f t="shared" si="103"/>
        <v/>
      </c>
      <c r="AD514" s="3" t="str">
        <f t="shared" si="104"/>
        <v/>
      </c>
      <c r="AE514" s="3" t="str">
        <f t="shared" si="105"/>
        <v/>
      </c>
      <c r="AF514" s="3" t="str">
        <f t="shared" si="106"/>
        <v/>
      </c>
      <c r="AG514" s="3" t="str">
        <f t="shared" si="107"/>
        <v/>
      </c>
      <c r="AH514" s="3" t="str">
        <f t="shared" si="108"/>
        <v/>
      </c>
      <c r="AI514" s="3" t="str">
        <f>IF(V514=0,"",IF(I514=20,"",_xlfn.CONCAT(R514,"0")))</f>
        <v/>
      </c>
      <c r="AJ514" s="3" t="str">
        <f t="shared" si="110"/>
        <v/>
      </c>
      <c r="AK514" s="3" t="str">
        <f>IF(V514=0,"",_xlfn.CONCAT(DADOS!$A$8,X514:AJ514,"
"))</f>
        <v/>
      </c>
    </row>
    <row r="515" spans="5:37" ht="15" customHeight="1" x14ac:dyDescent="0.25"/>
  </sheetData>
  <sheetProtection algorithmName="SHA-512" hashValue="nBrxU5USHSeskm8j7a4OQLNGe0Qlqy0gNy7KxG8v4IMMAR0XB8p6LcVAln3vKDyjEz4protSX+6em4Lrx7Cnhg==" saltValue="UfJZsEg0ezp5LPEhx2pyUg==" spinCount="100000" sheet="1"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5:R514">
    <cfRule type="expression" dxfId="5" priority="10" stopIfTrue="1">
      <formula>IF($G15=2,$I15=20)</formula>
    </cfRule>
  </conditionalFormatting>
  <conditionalFormatting sqref="G16:G514">
    <cfRule type="expression" dxfId="4" priority="5">
      <formula>IF(OR(AND(OR(G15=0,G15=1),OR(G16=0,G16=2)),AND(OR(G15=2,G15=3),G16=1),AND(G15=3,G16=4),AND(G15=4,OR(G16=1,G16=4))),FALSE(),TRUE())</formula>
    </cfRule>
  </conditionalFormatting>
  <conditionalFormatting sqref="I15:I514">
    <cfRule type="expression" dxfId="3" priority="4" stopIfTrue="1">
      <formula>AND(OR($G15=1,$G15=3),IF($I15=8,FALSE(),TRUE()),IF($J15+$K15=0,FALSE(),TRUE()))</formula>
    </cfRule>
  </conditionalFormatting>
  <conditionalFormatting sqref="L15:L514">
    <cfRule type="expression" dxfId="2" priority="3">
      <formula>IF($I15=8,IF(OR($L15="D",$L15="E"),FALSE(),TRUE()),FALSE())</formula>
    </cfRule>
  </conditionalFormatting>
  <conditionalFormatting sqref="E15:S514">
    <cfRule type="expression" dxfId="1" priority="11">
      <formula>MOD(ROW(),2)=0</formula>
    </cfRule>
  </conditionalFormatting>
  <conditionalFormatting sqref="G15">
    <cfRule type="expression" dxfId="0" priority="2">
      <formula>IF(OR($G$15=1,$G$15=3,$G$15=""),FALSE(),TRUE())</formula>
    </cfRule>
  </conditionalFormatting>
  <dataValidations count="19">
    <dataValidation type="whole" allowBlank="1" showInputMessage="1" showErrorMessage="1" errorTitle="NÚMEROS DE 1 A 5" error="Não existe esse código de visada" sqref="G15:G514" xr:uid="{11763164-2152-4387-8EC3-B54978A08045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727A94BF-96D2-4035-9701-FFCAA709D766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85ACB05B-2656-43B0-93B7-987257FC6721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DF083850-82B0-4BCE-8A63-CEC81971433A}">
      <formula1>100</formula1>
    </dataValidation>
    <dataValidation type="whole" allowBlank="1" showInputMessage="1" showErrorMessage="1" errorTitle="Valor incoerente" error="A altura do aparelho deve estar em cm" sqref="H15:H514" xr:uid="{FF6DD70E-457D-435A-94E1-654D46D43696}">
      <formula1>100</formula1>
      <formula2>200</formula2>
    </dataValidation>
    <dataValidation type="whole" allowBlank="1" showInputMessage="1" showErrorMessage="1" errorTitle="CÓDIGO ERRADO" error="Apenas números" sqref="I15:I514" xr:uid="{EFBF975B-76F0-482F-B879-68F518A82EB6}">
      <formula1>0</formula1>
      <formula2>99</formula2>
    </dataValidation>
    <dataValidation type="list" allowBlank="1" showInputMessage="1" showErrorMessage="1" sqref="L15:L514" xr:uid="{467EF725-09F4-4B29-8F27-5B0FD99CB1EE}">
      <formula1>$L$11:$L$12</formula1>
    </dataValidation>
    <dataValidation type="list" allowBlank="1" showInputMessage="1" showErrorMessage="1" sqref="N4" xr:uid="{94193BBC-9A71-45B6-9E88-504FAACDFF90}">
      <formula1>$N$11:$N$12</formula1>
    </dataValidation>
    <dataValidation type="list" allowBlank="1" showInputMessage="1" showErrorMessage="1" sqref="O4" xr:uid="{3A35720E-642F-4C57-82CF-F329FBC55DFB}">
      <formula1>$O$10:$O$12</formula1>
    </dataValidation>
    <dataValidation type="whole" allowBlank="1" showInputMessage="1" showErrorMessage="1" errorTitle="Coloque valor correto" error="Favor coloque um valor sem vírgula" sqref="R4" xr:uid="{94968AF6-4CD7-48B3-9A91-8CA5F7E4CD3B}">
      <formula1>1</formula1>
      <formula2>300</formula2>
    </dataValidation>
    <dataValidation type="list" allowBlank="1" showInputMessage="1" showErrorMessage="1" sqref="P4" xr:uid="{D8D148DE-B60E-4D45-B374-DD1D8E2B4916}">
      <formula1>$P$8:$P$12</formula1>
    </dataValidation>
    <dataValidation type="whole" allowBlank="1" showInputMessage="1" showErrorMessage="1" errorTitle="ERRO DE NÚMERO" error="Favor colocar o código de cidade em 3 números" sqref="G4" xr:uid="{8C9750DF-C9CF-45C0-B800-919B036236E0}">
      <formula1>0</formula1>
      <formula2>999</formula2>
    </dataValidation>
    <dataValidation type="textLength" allowBlank="1" showInputMessage="1" showErrorMessage="1" sqref="E15:F514" xr:uid="{9908470F-7BEF-4E91-B43F-19F853B277BD}">
      <formula1>1</formula1>
      <formula2>3</formula2>
    </dataValidation>
    <dataValidation type="list" allowBlank="1" showInputMessage="1" showErrorMessage="1" sqref="Q4" xr:uid="{437BF515-55A9-472B-B70E-B225E3DF54AA}">
      <formula1>$Q$9:$Q$11</formula1>
    </dataValidation>
    <dataValidation type="textLength" operator="equal" allowBlank="1" showInputMessage="1" showErrorMessage="1" errorTitle="ERRADO" error="COLOCAR APENAS UMA LETRA" sqref="H4" xr:uid="{3D27FD01-6D01-466B-BB35-8F71145E58B8}">
      <formula1>1</formula1>
    </dataValidation>
    <dataValidation type="whole" allowBlank="1" showInputMessage="1" showErrorMessage="1" errorTitle="POSTE GRANDE" error="COLOQUE O POSTE EM METROS" sqref="I4" xr:uid="{52FEF68A-07EC-4393-96F4-D2BFF8BF8D32}">
      <formula1>5</formula1>
      <formula2>30</formula2>
    </dataValidation>
    <dataValidation type="whole" allowBlank="1" showInputMessage="1" showErrorMessage="1" errorTitle="POSTE MUITO GRANDE" error="COLOQUE A ALTURA EM METROS" sqref="H7:H9" xr:uid="{23BBE86C-7F08-4AC9-B48F-94B0F761E941}">
      <formula1>3</formula1>
      <formula2>30</formula2>
    </dataValidation>
    <dataValidation type="textLength" operator="equal" allowBlank="1" showInputMessage="1" showErrorMessage="1" errorTitle="ERRO" error="COLOCAR APENAS UMA LETRA" sqref="G7:G9" xr:uid="{A569F4FB-071B-4B9E-90A7-9DA58A43CBA9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17CFBC75-34DD-4050-8F46-660D1D79D73C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J1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c:\rdr\perfil\24456789.*</v>
      </c>
    </row>
    <row r="2" spans="1:1" hidden="1" x14ac:dyDescent="0.25">
      <c r="A2" s="1" t="str">
        <f>_xlfn.CONCAT("del c:\rdr\projeto\TR",DADOS!B3,".*")</f>
        <v>del c:\rdr\projeto\TR456789.*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D93C-8435-4277-8E47-35B77FD58859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RRRCCG{enter}500{enter}dwild{enter}24456789005{enter}
send, E0 1  11600809654E0904502600220{enter}{enter}
send, E0 V1 0000901002600440{enter}{enter}
send, V1 E0 216020{enter}
send, V1 2  11600804011D0912202600440{enter}{enter}
send, V1 TR 0090912002600880{enter}{enter}
return
^+A::
send, RRRCCP244567894M{enter}{enter}
return
^+B::
send, RRRCM24456789T1FS4M{enter}{enter}
return
^+C::
send, RRRCP244567891FS4M{enter}{enter}
return
^+V::
send, RRRTF24456789{enter}{enter}
return
^Q::
send, RRRCCG{enter}500{enter}dwild{enter}24456789005{enter}
send, E0 1  11600809654E0904502600220{enter}{enter}
send, E0 V1 0000901002600440{enter}{enter}
send, V1 E0 216020{enter}
send, V1 2  11600804011D0912202600440{enter}{enter}
send, V1 TR 0090912002600880{enter}{enter}
send, RRRCCP244567894M{enter}{enter}
send, RRRCM24456789T1FS4M{enter}{enter}
send, RRRCP244567891FS4M{enter}{enter}
send, RRRTF24456789{enter}{enter}
return
^+L::
send, RRRLL6562024456789Td1124456789OG{enter}1013.8CAA034010N{enter}{enter}09654ED11300D11300u1{enter}u3{enter}0202A120{enter}123456789{enter}N
return
^W::
send, RRRLL6562024456789Td1124456789OG{enter}1013.8CAA034010N{enter}{enter}09654ED11300D11300u1{enter}u3{enter}0202A120{enter}123456789{enter}N
return
^+T::
send, RRRLETTR456789SI4M1S{enter}S
return
^+M::
send, RRRLMATR456789I4M{enter}
return
^R::
send, RRRLETTR456789SI4M1S{enter}S
send, RRRLMATR456789I4M{enter}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2024-06-12T17:05:06Z</dcterms:modified>
</cp:coreProperties>
</file>