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always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ofia.bozzon.ENGESELTSERVSE2\Desktop\"/>
    </mc:Choice>
  </mc:AlternateContent>
  <xr:revisionPtr revIDLastSave="0" documentId="13_ncr:1_{BCCEC219-22AA-4D4E-8336-8AE770A81E65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transformado" sheetId="5" r:id="rId1"/>
    <sheet name="BD" sheetId="4" r:id="rId2"/>
    <sheet name="DADOS" sheetId="1" r:id="rId3"/>
    <sheet name="BAT" sheetId="2" r:id="rId4"/>
    <sheet name="PROG" sheetId="3" r:id="rId5"/>
  </sheets>
  <externalReferences>
    <externalReference r:id="rId6"/>
  </externalReferences>
  <definedNames>
    <definedName name="_xlnm._FilterDatabase" localSheetId="2" hidden="1">DADOS!$A$1:$W$514</definedName>
    <definedName name="A">#REF!</definedName>
    <definedName name="DADOS">OFFSET(#REF!,0,0,COUNTA(#REF!),COUNTA(#REF!))</definedName>
    <definedName name="DadosExternos_1" localSheetId="0" hidden="1">transformado!$A$1:$P$502</definedName>
    <definedName name="Empreiteiras">#REF!</definedName>
    <definedName name="Excel_BuiltIn__FilterDatabase_4">#REF!</definedName>
    <definedName name="NotasMP">#REF!</definedName>
    <definedName name="NS">#REF!</definedName>
    <definedName name="Relação">#REF!</definedName>
    <definedName name="Residencial">#REF!</definedName>
    <definedName name="Técnico">#REF!</definedName>
    <definedName name="Tecnicos">#REF!</definedName>
    <definedName name="U">DADOS!$V$1</definedName>
    <definedName name="Universalização">#REF!</definedName>
    <definedName name="Usuarios">#REF!</definedName>
    <definedName name="VISTORIA">OFFSET(#REF!,0,0,COUNTA(#REF!),COUNTA(#REF!))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5" i="4"/>
  <c r="D14" i="4"/>
  <c r="D13" i="4"/>
  <c r="D12" i="4"/>
  <c r="A55" i="4" l="1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B20" i="4"/>
  <c r="B19" i="4"/>
  <c r="B18" i="4"/>
  <c r="B17" i="4"/>
  <c r="B22" i="4"/>
  <c r="B21" i="4"/>
  <c r="B25" i="4" l="1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A56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A57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A58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A59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A60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A61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A62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A63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A64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A65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A66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A67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A68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A69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A70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A71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A72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A73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A74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A75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A76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A77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A78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A79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A80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A81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A82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A83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A84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A85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A86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A87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A88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A89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A90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A91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A92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A93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A94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A95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A96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A97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A98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A99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A100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A101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A102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A103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A104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A105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A106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A107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A108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A109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A110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A111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A112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A113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A114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A115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A116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A117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A118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A119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A120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A121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A122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A123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A124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A125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A126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A127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A128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A129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A130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A131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A132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A133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A134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O134" i="4"/>
  <c r="P134" i="4"/>
  <c r="A135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A136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A137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A138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A139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A140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A141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A142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A143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A144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A145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A146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A147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A148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A149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A150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A151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A152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A153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A154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A155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A156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A157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A158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A159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A160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A161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A162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A163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A164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A165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A166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A167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A168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A169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A170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A171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A172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A173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A174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A175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A176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A177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A178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A179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A180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A181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A182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A183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A184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A185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A186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A187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A188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A189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A190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A191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A192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A193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A194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A195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A196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A197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A198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A199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A200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A201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A202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A203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A204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A205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A206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A207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A208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A209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A210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A211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A212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A213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A214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A215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A216" i="4"/>
  <c r="B216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A217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A218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A219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A220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A221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A222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A223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A224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A225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A226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A227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A228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A229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A230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A231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A232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A233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A234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A235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A236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A237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A238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A239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A240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A241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A242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A243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A244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A245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A246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A247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A248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A249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A250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A251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A252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A253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A254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A255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A256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A257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A258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A259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A260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A261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A262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A263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A264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A265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A266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A267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A268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A269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A270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A271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A272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A273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A274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A275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A276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A277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A278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A279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A280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A281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A282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A283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A284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A285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A286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A287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A288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A289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A290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A291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A292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A293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A294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A295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A296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A297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A298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A299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A300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A301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A302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A303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A304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A305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A306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A307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A308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A309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A310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A311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A312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A313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A314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A315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A316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A317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A318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A319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A320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A321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A322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A323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A324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A325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A326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A327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A328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A329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A330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A331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A332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A333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A334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A335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A336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A337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A338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A339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A340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A341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A342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A343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A344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O344" i="4"/>
  <c r="P344" i="4"/>
  <c r="A345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O345" i="4"/>
  <c r="P345" i="4"/>
  <c r="A346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O346" i="4"/>
  <c r="P346" i="4"/>
  <c r="A347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A348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A349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A350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A351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A352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A353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A354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A355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A356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A357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A358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A359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A360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A361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A362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A363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A364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A365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A366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A367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A368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A369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A370" i="4"/>
  <c r="B370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A371" i="4"/>
  <c r="B371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A372" i="4"/>
  <c r="B372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A373" i="4"/>
  <c r="B373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A374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A375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A376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A377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A378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A379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A380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A381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A382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A383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O383" i="4"/>
  <c r="P383" i="4"/>
  <c r="A384" i="4"/>
  <c r="B384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O384" i="4"/>
  <c r="P384" i="4"/>
  <c r="A385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O385" i="4"/>
  <c r="P385" i="4"/>
  <c r="A386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O386" i="4"/>
  <c r="P386" i="4"/>
  <c r="A387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A388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A389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A390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A391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A392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A393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A394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A395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A396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A397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A398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A399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A400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A401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A402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A403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A404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A405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A406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A407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A408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P408" i="4"/>
  <c r="A409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P409" i="4"/>
  <c r="A410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P410" i="4"/>
  <c r="A411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P411" i="4"/>
  <c r="A412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P412" i="4"/>
  <c r="A413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P413" i="4"/>
  <c r="A414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P414" i="4"/>
  <c r="A415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P415" i="4"/>
  <c r="A416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P416" i="4"/>
  <c r="A417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P417" i="4"/>
  <c r="A418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P418" i="4"/>
  <c r="A419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P419" i="4"/>
  <c r="A420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P420" i="4"/>
  <c r="A421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P421" i="4"/>
  <c r="A422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P422" i="4"/>
  <c r="A423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P423" i="4"/>
  <c r="A424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P424" i="4"/>
  <c r="A425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P425" i="4"/>
  <c r="A426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P426" i="4"/>
  <c r="A427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P427" i="4"/>
  <c r="A428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P428" i="4"/>
  <c r="A429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P429" i="4"/>
  <c r="A430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P430" i="4"/>
  <c r="A431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P431" i="4"/>
  <c r="A432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P432" i="4"/>
  <c r="A433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P433" i="4"/>
  <c r="A434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P434" i="4"/>
  <c r="A435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P435" i="4"/>
  <c r="A436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P436" i="4"/>
  <c r="A437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P437" i="4"/>
  <c r="A438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P438" i="4"/>
  <c r="A439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P439" i="4"/>
  <c r="A440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P440" i="4"/>
  <c r="A441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P441" i="4"/>
  <c r="A442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P442" i="4"/>
  <c r="A443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P443" i="4"/>
  <c r="A444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P444" i="4"/>
  <c r="A445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P445" i="4"/>
  <c r="A446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P446" i="4"/>
  <c r="A447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P447" i="4"/>
  <c r="A448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P448" i="4"/>
  <c r="A449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P449" i="4"/>
  <c r="A450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P450" i="4"/>
  <c r="A451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P451" i="4"/>
  <c r="A452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P452" i="4"/>
  <c r="A453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P453" i="4"/>
  <c r="A454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P454" i="4"/>
  <c r="A455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P455" i="4"/>
  <c r="A456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P456" i="4"/>
  <c r="A457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P457" i="4"/>
  <c r="A458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P458" i="4"/>
  <c r="A459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P459" i="4"/>
  <c r="A460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P460" i="4"/>
  <c r="A461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P461" i="4"/>
  <c r="A462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A463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P463" i="4"/>
  <c r="A464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P464" i="4"/>
  <c r="A465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A466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A467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A468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A469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A470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A471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A472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A473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A474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A475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A476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A477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A478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A479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A480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A481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A482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P482" i="4"/>
  <c r="A483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P483" i="4"/>
  <c r="A484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P484" i="4"/>
  <c r="A485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P485" i="4"/>
  <c r="A486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P486" i="4"/>
  <c r="A487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P487" i="4"/>
  <c r="A488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P488" i="4"/>
  <c r="A489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P489" i="4"/>
  <c r="A490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P490" i="4"/>
  <c r="A491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P491" i="4"/>
  <c r="A492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P492" i="4"/>
  <c r="A493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P493" i="4"/>
  <c r="A494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P494" i="4"/>
  <c r="A495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P495" i="4"/>
  <c r="A496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P496" i="4"/>
  <c r="A497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P497" i="4"/>
  <c r="A498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P498" i="4"/>
  <c r="A499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P499" i="4"/>
  <c r="A500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P500" i="4"/>
  <c r="A501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P501" i="4"/>
  <c r="A502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P502" i="4"/>
  <c r="A503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P503" i="4"/>
  <c r="A504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P504" i="4"/>
  <c r="A505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P505" i="4"/>
  <c r="A506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P50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B12" i="4"/>
  <c r="C12" i="4"/>
  <c r="E12" i="4"/>
  <c r="F12" i="4"/>
  <c r="G12" i="4"/>
  <c r="H12" i="4"/>
  <c r="I12" i="4"/>
  <c r="J12" i="4"/>
  <c r="K12" i="4"/>
  <c r="L12" i="4"/>
  <c r="M12" i="4"/>
  <c r="N12" i="4"/>
  <c r="O12" i="4"/>
  <c r="P12" i="4"/>
  <c r="B13" i="4"/>
  <c r="C13" i="4"/>
  <c r="E13" i="4"/>
  <c r="F13" i="4"/>
  <c r="G13" i="4"/>
  <c r="H13" i="4"/>
  <c r="I13" i="4"/>
  <c r="J13" i="4"/>
  <c r="K13" i="4"/>
  <c r="L13" i="4"/>
  <c r="M13" i="4"/>
  <c r="N13" i="4"/>
  <c r="O13" i="4"/>
  <c r="P13" i="4"/>
  <c r="B14" i="4"/>
  <c r="C14" i="4"/>
  <c r="E14" i="4"/>
  <c r="F14" i="4"/>
  <c r="G14" i="4"/>
  <c r="H14" i="4"/>
  <c r="I14" i="4"/>
  <c r="J14" i="4"/>
  <c r="K14" i="4"/>
  <c r="L14" i="4"/>
  <c r="M14" i="4"/>
  <c r="N14" i="4"/>
  <c r="O14" i="4"/>
  <c r="P14" i="4"/>
  <c r="B15" i="4"/>
  <c r="C15" i="4"/>
  <c r="E15" i="4"/>
  <c r="F15" i="4"/>
  <c r="G15" i="4"/>
  <c r="H15" i="4"/>
  <c r="I15" i="4"/>
  <c r="J15" i="4"/>
  <c r="K15" i="4"/>
  <c r="L15" i="4"/>
  <c r="M15" i="4"/>
  <c r="N15" i="4"/>
  <c r="O15" i="4"/>
  <c r="P15" i="4"/>
  <c r="B16" i="4"/>
  <c r="C16" i="4"/>
  <c r="E16" i="4"/>
  <c r="F16" i="4"/>
  <c r="G16" i="4"/>
  <c r="H16" i="4"/>
  <c r="I16" i="4"/>
  <c r="J16" i="4"/>
  <c r="K16" i="4"/>
  <c r="L16" i="4"/>
  <c r="M16" i="4"/>
  <c r="N16" i="4"/>
  <c r="O16" i="4"/>
  <c r="P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N2" i="4"/>
  <c r="L1" i="4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15" i="1"/>
  <c r="X15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16" i="1"/>
  <c r="AB17" i="1"/>
  <c r="AB18" i="1"/>
  <c r="AB15" i="1"/>
  <c r="E5" i="1"/>
  <c r="Q12" i="1"/>
  <c r="AF15" i="1"/>
  <c r="W15" i="1"/>
  <c r="AG15" i="1" s="1"/>
  <c r="AK14" i="1"/>
  <c r="W17" i="1"/>
  <c r="AJ17" i="1" s="1"/>
  <c r="AD17" i="1"/>
  <c r="AE17" i="1"/>
  <c r="AF17" i="1"/>
  <c r="W18" i="1"/>
  <c r="AJ18" i="1" s="1"/>
  <c r="AD18" i="1"/>
  <c r="AE18" i="1"/>
  <c r="AF18" i="1"/>
  <c r="W19" i="1"/>
  <c r="AJ19" i="1" s="1"/>
  <c r="AD19" i="1"/>
  <c r="AE19" i="1"/>
  <c r="AF19" i="1"/>
  <c r="W20" i="1"/>
  <c r="AJ20" i="1" s="1"/>
  <c r="AD20" i="1"/>
  <c r="AE20" i="1"/>
  <c r="AF20" i="1"/>
  <c r="W21" i="1"/>
  <c r="AJ21" i="1" s="1"/>
  <c r="AD21" i="1"/>
  <c r="AE21" i="1"/>
  <c r="AF21" i="1"/>
  <c r="W22" i="1"/>
  <c r="AJ22" i="1" s="1"/>
  <c r="AD22" i="1"/>
  <c r="AE22" i="1"/>
  <c r="AF22" i="1"/>
  <c r="W23" i="1"/>
  <c r="AJ23" i="1" s="1"/>
  <c r="AD23" i="1"/>
  <c r="AE23" i="1"/>
  <c r="AF23" i="1"/>
  <c r="W24" i="1"/>
  <c r="AJ24" i="1" s="1"/>
  <c r="AD24" i="1"/>
  <c r="AE24" i="1"/>
  <c r="AF24" i="1"/>
  <c r="W25" i="1"/>
  <c r="AJ25" i="1" s="1"/>
  <c r="AD25" i="1"/>
  <c r="AE25" i="1"/>
  <c r="AF25" i="1"/>
  <c r="W26" i="1"/>
  <c r="AJ26" i="1" s="1"/>
  <c r="AD26" i="1"/>
  <c r="AE26" i="1"/>
  <c r="AF26" i="1"/>
  <c r="W27" i="1"/>
  <c r="AJ27" i="1" s="1"/>
  <c r="AD27" i="1"/>
  <c r="AE27" i="1"/>
  <c r="AF27" i="1"/>
  <c r="W28" i="1"/>
  <c r="AJ28" i="1" s="1"/>
  <c r="AD28" i="1"/>
  <c r="AE28" i="1"/>
  <c r="AF28" i="1"/>
  <c r="W29" i="1"/>
  <c r="AJ29" i="1" s="1"/>
  <c r="AD29" i="1"/>
  <c r="AE29" i="1"/>
  <c r="AF29" i="1"/>
  <c r="W30" i="1"/>
  <c r="AJ30" i="1" s="1"/>
  <c r="AD30" i="1"/>
  <c r="AE30" i="1"/>
  <c r="AF30" i="1"/>
  <c r="W31" i="1"/>
  <c r="AJ31" i="1" s="1"/>
  <c r="AD31" i="1"/>
  <c r="AE31" i="1"/>
  <c r="AF31" i="1"/>
  <c r="W32" i="1"/>
  <c r="AJ32" i="1" s="1"/>
  <c r="AD32" i="1"/>
  <c r="AE32" i="1"/>
  <c r="AF32" i="1"/>
  <c r="W33" i="1"/>
  <c r="AJ33" i="1" s="1"/>
  <c r="AD33" i="1"/>
  <c r="AE33" i="1"/>
  <c r="AF33" i="1"/>
  <c r="W34" i="1"/>
  <c r="AJ34" i="1" s="1"/>
  <c r="AD34" i="1"/>
  <c r="AE34" i="1"/>
  <c r="AF34" i="1"/>
  <c r="W35" i="1"/>
  <c r="AJ35" i="1" s="1"/>
  <c r="AD35" i="1"/>
  <c r="AE35" i="1"/>
  <c r="AF35" i="1"/>
  <c r="W36" i="1"/>
  <c r="AJ36" i="1" s="1"/>
  <c r="AD36" i="1"/>
  <c r="AE36" i="1"/>
  <c r="AF36" i="1"/>
  <c r="W37" i="1"/>
  <c r="AJ37" i="1" s="1"/>
  <c r="AD37" i="1"/>
  <c r="AE37" i="1"/>
  <c r="AF37" i="1"/>
  <c r="W38" i="1"/>
  <c r="AJ38" i="1" s="1"/>
  <c r="AD38" i="1"/>
  <c r="AE38" i="1"/>
  <c r="AF38" i="1"/>
  <c r="W39" i="1"/>
  <c r="AJ39" i="1" s="1"/>
  <c r="AD39" i="1"/>
  <c r="AE39" i="1"/>
  <c r="AF39" i="1"/>
  <c r="W40" i="1"/>
  <c r="AJ40" i="1" s="1"/>
  <c r="AD40" i="1"/>
  <c r="AE40" i="1"/>
  <c r="AF40" i="1"/>
  <c r="W41" i="1"/>
  <c r="AA41" i="1" s="1"/>
  <c r="AD41" i="1"/>
  <c r="AE41" i="1"/>
  <c r="AF41" i="1"/>
  <c r="W42" i="1"/>
  <c r="AJ42" i="1" s="1"/>
  <c r="AD42" i="1"/>
  <c r="AE42" i="1"/>
  <c r="AF42" i="1"/>
  <c r="W43" i="1"/>
  <c r="AJ43" i="1" s="1"/>
  <c r="AD43" i="1"/>
  <c r="AE43" i="1"/>
  <c r="AF43" i="1"/>
  <c r="W44" i="1"/>
  <c r="AJ44" i="1" s="1"/>
  <c r="AD44" i="1"/>
  <c r="AE44" i="1"/>
  <c r="AF44" i="1"/>
  <c r="W45" i="1"/>
  <c r="AJ45" i="1" s="1"/>
  <c r="AD45" i="1"/>
  <c r="AE45" i="1"/>
  <c r="AF45" i="1"/>
  <c r="W46" i="1"/>
  <c r="AJ46" i="1" s="1"/>
  <c r="AD46" i="1"/>
  <c r="AE46" i="1"/>
  <c r="AF46" i="1"/>
  <c r="W47" i="1"/>
  <c r="AJ47" i="1" s="1"/>
  <c r="AD47" i="1"/>
  <c r="AE47" i="1"/>
  <c r="AF47" i="1"/>
  <c r="W48" i="1"/>
  <c r="AJ48" i="1" s="1"/>
  <c r="AD48" i="1"/>
  <c r="AE48" i="1"/>
  <c r="AF48" i="1"/>
  <c r="W49" i="1"/>
  <c r="AJ49" i="1" s="1"/>
  <c r="AD49" i="1"/>
  <c r="AE49" i="1"/>
  <c r="AF49" i="1"/>
  <c r="W50" i="1"/>
  <c r="AJ50" i="1" s="1"/>
  <c r="AD50" i="1"/>
  <c r="AE50" i="1"/>
  <c r="AF50" i="1"/>
  <c r="W51" i="1"/>
  <c r="AJ51" i="1" s="1"/>
  <c r="AD51" i="1"/>
  <c r="AE51" i="1"/>
  <c r="AF51" i="1"/>
  <c r="W52" i="1"/>
  <c r="AJ52" i="1" s="1"/>
  <c r="AD52" i="1"/>
  <c r="AE52" i="1"/>
  <c r="AF52" i="1"/>
  <c r="W53" i="1"/>
  <c r="AJ53" i="1" s="1"/>
  <c r="AD53" i="1"/>
  <c r="AE53" i="1"/>
  <c r="AF53" i="1"/>
  <c r="W54" i="1"/>
  <c r="AJ54" i="1" s="1"/>
  <c r="AD54" i="1"/>
  <c r="AE54" i="1"/>
  <c r="AF54" i="1"/>
  <c r="W55" i="1"/>
  <c r="AJ55" i="1" s="1"/>
  <c r="AD55" i="1"/>
  <c r="AE55" i="1"/>
  <c r="AF55" i="1"/>
  <c r="W56" i="1"/>
  <c r="AJ56" i="1" s="1"/>
  <c r="AD56" i="1"/>
  <c r="AE56" i="1"/>
  <c r="AF56" i="1"/>
  <c r="W57" i="1"/>
  <c r="AJ57" i="1" s="1"/>
  <c r="AD57" i="1"/>
  <c r="AE57" i="1"/>
  <c r="AF57" i="1"/>
  <c r="W58" i="1"/>
  <c r="AJ58" i="1" s="1"/>
  <c r="AD58" i="1"/>
  <c r="AE58" i="1"/>
  <c r="AF58" i="1"/>
  <c r="W59" i="1"/>
  <c r="AJ59" i="1" s="1"/>
  <c r="AF59" i="1"/>
  <c r="W60" i="1"/>
  <c r="AJ60" i="1" s="1"/>
  <c r="AD60" i="1"/>
  <c r="AE60" i="1"/>
  <c r="AF60" i="1"/>
  <c r="W61" i="1"/>
  <c r="AJ61" i="1" s="1"/>
  <c r="AD61" i="1"/>
  <c r="AE61" i="1"/>
  <c r="AF61" i="1"/>
  <c r="W62" i="1"/>
  <c r="AJ62" i="1" s="1"/>
  <c r="AD62" i="1"/>
  <c r="AE62" i="1"/>
  <c r="AF62" i="1"/>
  <c r="W63" i="1"/>
  <c r="AJ63" i="1" s="1"/>
  <c r="AD63" i="1"/>
  <c r="AE63" i="1"/>
  <c r="AF63" i="1"/>
  <c r="W64" i="1"/>
  <c r="AJ64" i="1" s="1"/>
  <c r="AD64" i="1"/>
  <c r="AE64" i="1"/>
  <c r="AF64" i="1"/>
  <c r="W65" i="1"/>
  <c r="AJ65" i="1" s="1"/>
  <c r="AD65" i="1"/>
  <c r="AE65" i="1"/>
  <c r="AF65" i="1"/>
  <c r="W66" i="1"/>
  <c r="AJ66" i="1" s="1"/>
  <c r="AD66" i="1"/>
  <c r="AE66" i="1"/>
  <c r="AF66" i="1"/>
  <c r="W67" i="1"/>
  <c r="AJ67" i="1" s="1"/>
  <c r="AD67" i="1"/>
  <c r="AE67" i="1"/>
  <c r="AF67" i="1"/>
  <c r="W68" i="1"/>
  <c r="AJ68" i="1" s="1"/>
  <c r="AD68" i="1"/>
  <c r="AE68" i="1"/>
  <c r="AF68" i="1"/>
  <c r="W69" i="1"/>
  <c r="AJ69" i="1" s="1"/>
  <c r="AD69" i="1"/>
  <c r="AE69" i="1"/>
  <c r="AF69" i="1"/>
  <c r="W70" i="1"/>
  <c r="AJ70" i="1" s="1"/>
  <c r="AE70" i="1"/>
  <c r="AF70" i="1"/>
  <c r="W71" i="1"/>
  <c r="AJ71" i="1" s="1"/>
  <c r="AD71" i="1"/>
  <c r="AE71" i="1"/>
  <c r="AF71" i="1"/>
  <c r="W72" i="1"/>
  <c r="AJ72" i="1" s="1"/>
  <c r="AD72" i="1"/>
  <c r="AE72" i="1"/>
  <c r="AF72" i="1"/>
  <c r="W73" i="1"/>
  <c r="AJ73" i="1" s="1"/>
  <c r="AD73" i="1"/>
  <c r="AE73" i="1"/>
  <c r="AF73" i="1"/>
  <c r="W74" i="1"/>
  <c r="AJ74" i="1" s="1"/>
  <c r="AD74" i="1"/>
  <c r="AE74" i="1"/>
  <c r="AF74" i="1"/>
  <c r="W75" i="1"/>
  <c r="AJ75" i="1" s="1"/>
  <c r="AD75" i="1"/>
  <c r="AE75" i="1"/>
  <c r="AF75" i="1"/>
  <c r="W76" i="1"/>
  <c r="AJ76" i="1" s="1"/>
  <c r="AD76" i="1"/>
  <c r="AE76" i="1"/>
  <c r="AF76" i="1"/>
  <c r="W77" i="1"/>
  <c r="AJ77" i="1" s="1"/>
  <c r="AD77" i="1"/>
  <c r="AE77" i="1"/>
  <c r="AF77" i="1"/>
  <c r="W78" i="1"/>
  <c r="AJ78" i="1" s="1"/>
  <c r="AD78" i="1"/>
  <c r="AE78" i="1"/>
  <c r="AF78" i="1"/>
  <c r="W79" i="1"/>
  <c r="AJ79" i="1" s="1"/>
  <c r="AD79" i="1"/>
  <c r="AE79" i="1"/>
  <c r="AF79" i="1"/>
  <c r="W80" i="1"/>
  <c r="AJ80" i="1" s="1"/>
  <c r="AD80" i="1"/>
  <c r="AE80" i="1"/>
  <c r="AF80" i="1"/>
  <c r="W81" i="1"/>
  <c r="AH81" i="1" s="1"/>
  <c r="AD81" i="1"/>
  <c r="AE81" i="1"/>
  <c r="AF81" i="1"/>
  <c r="W82" i="1"/>
  <c r="AJ82" i="1" s="1"/>
  <c r="AD82" i="1"/>
  <c r="AE82" i="1"/>
  <c r="AF82" i="1"/>
  <c r="W83" i="1"/>
  <c r="AJ83" i="1" s="1"/>
  <c r="AD83" i="1"/>
  <c r="AE83" i="1"/>
  <c r="AF83" i="1"/>
  <c r="W84" i="1"/>
  <c r="AJ84" i="1" s="1"/>
  <c r="AD84" i="1"/>
  <c r="AE84" i="1"/>
  <c r="AF84" i="1"/>
  <c r="W85" i="1"/>
  <c r="AJ85" i="1" s="1"/>
  <c r="AD85" i="1"/>
  <c r="AE85" i="1"/>
  <c r="AF85" i="1"/>
  <c r="W86" i="1"/>
  <c r="AJ86" i="1" s="1"/>
  <c r="AD86" i="1"/>
  <c r="AE86" i="1"/>
  <c r="AF86" i="1"/>
  <c r="W87" i="1"/>
  <c r="AJ87" i="1" s="1"/>
  <c r="AD87" i="1"/>
  <c r="AE87" i="1"/>
  <c r="AF87" i="1"/>
  <c r="W88" i="1"/>
  <c r="AJ88" i="1" s="1"/>
  <c r="AD88" i="1"/>
  <c r="AE88" i="1"/>
  <c r="AF88" i="1"/>
  <c r="W89" i="1"/>
  <c r="AJ89" i="1" s="1"/>
  <c r="AD89" i="1"/>
  <c r="AE89" i="1"/>
  <c r="AF89" i="1"/>
  <c r="W90" i="1"/>
  <c r="AJ90" i="1" s="1"/>
  <c r="AD90" i="1"/>
  <c r="AE90" i="1"/>
  <c r="AF90" i="1"/>
  <c r="W91" i="1"/>
  <c r="AJ91" i="1" s="1"/>
  <c r="AD91" i="1"/>
  <c r="AE91" i="1"/>
  <c r="AF91" i="1"/>
  <c r="W92" i="1"/>
  <c r="AJ92" i="1" s="1"/>
  <c r="AD92" i="1"/>
  <c r="AE92" i="1"/>
  <c r="AF92" i="1"/>
  <c r="W93" i="1"/>
  <c r="AJ93" i="1" s="1"/>
  <c r="AD93" i="1"/>
  <c r="AE93" i="1"/>
  <c r="AF93" i="1"/>
  <c r="W94" i="1"/>
  <c r="AJ94" i="1" s="1"/>
  <c r="AD94" i="1"/>
  <c r="AE94" i="1"/>
  <c r="AF94" i="1"/>
  <c r="W95" i="1"/>
  <c r="AJ95" i="1" s="1"/>
  <c r="AD95" i="1"/>
  <c r="AE95" i="1"/>
  <c r="AF95" i="1"/>
  <c r="W96" i="1"/>
  <c r="AJ96" i="1" s="1"/>
  <c r="AD96" i="1"/>
  <c r="AE96" i="1"/>
  <c r="AF96" i="1"/>
  <c r="W97" i="1"/>
  <c r="AJ97" i="1" s="1"/>
  <c r="AD97" i="1"/>
  <c r="AE97" i="1"/>
  <c r="AF97" i="1"/>
  <c r="W98" i="1"/>
  <c r="AJ98" i="1" s="1"/>
  <c r="AD98" i="1"/>
  <c r="AE98" i="1"/>
  <c r="AF98" i="1"/>
  <c r="W99" i="1"/>
  <c r="AJ99" i="1" s="1"/>
  <c r="AD99" i="1"/>
  <c r="AE99" i="1"/>
  <c r="AF99" i="1"/>
  <c r="W100" i="1"/>
  <c r="AJ100" i="1" s="1"/>
  <c r="AD100" i="1"/>
  <c r="AE100" i="1"/>
  <c r="AF100" i="1"/>
  <c r="W101" i="1"/>
  <c r="AJ101" i="1" s="1"/>
  <c r="AD101" i="1"/>
  <c r="AE101" i="1"/>
  <c r="AF101" i="1"/>
  <c r="W102" i="1"/>
  <c r="AJ102" i="1" s="1"/>
  <c r="AD102" i="1"/>
  <c r="AE102" i="1"/>
  <c r="AF102" i="1"/>
  <c r="W103" i="1"/>
  <c r="AJ103" i="1" s="1"/>
  <c r="AD103" i="1"/>
  <c r="AE103" i="1"/>
  <c r="AF103" i="1"/>
  <c r="W104" i="1"/>
  <c r="AJ104" i="1" s="1"/>
  <c r="AD104" i="1"/>
  <c r="AE104" i="1"/>
  <c r="AF104" i="1"/>
  <c r="W105" i="1"/>
  <c r="AJ105" i="1" s="1"/>
  <c r="AD105" i="1"/>
  <c r="AE105" i="1"/>
  <c r="AF105" i="1"/>
  <c r="W106" i="1"/>
  <c r="AJ106" i="1" s="1"/>
  <c r="AD106" i="1"/>
  <c r="AE106" i="1"/>
  <c r="AF106" i="1"/>
  <c r="W107" i="1"/>
  <c r="AJ107" i="1" s="1"/>
  <c r="AD107" i="1"/>
  <c r="AE107" i="1"/>
  <c r="AF107" i="1"/>
  <c r="W108" i="1"/>
  <c r="AJ108" i="1" s="1"/>
  <c r="AD108" i="1"/>
  <c r="AE108" i="1"/>
  <c r="AF108" i="1"/>
  <c r="W109" i="1"/>
  <c r="AJ109" i="1" s="1"/>
  <c r="AD109" i="1"/>
  <c r="AE109" i="1"/>
  <c r="AF109" i="1"/>
  <c r="W110" i="1"/>
  <c r="AJ110" i="1" s="1"/>
  <c r="AD110" i="1"/>
  <c r="AE110" i="1"/>
  <c r="AF110" i="1"/>
  <c r="W111" i="1"/>
  <c r="AJ111" i="1" s="1"/>
  <c r="AD111" i="1"/>
  <c r="AE111" i="1"/>
  <c r="AF111" i="1"/>
  <c r="W112" i="1"/>
  <c r="AJ112" i="1" s="1"/>
  <c r="AD112" i="1"/>
  <c r="AE112" i="1"/>
  <c r="AF112" i="1"/>
  <c r="W113" i="1"/>
  <c r="AJ113" i="1" s="1"/>
  <c r="AD113" i="1"/>
  <c r="AE113" i="1"/>
  <c r="AF113" i="1"/>
  <c r="W114" i="1"/>
  <c r="AJ114" i="1" s="1"/>
  <c r="AD114" i="1"/>
  <c r="AE114" i="1"/>
  <c r="AF114" i="1"/>
  <c r="W115" i="1"/>
  <c r="AJ115" i="1" s="1"/>
  <c r="AD115" i="1"/>
  <c r="AE115" i="1"/>
  <c r="AF115" i="1"/>
  <c r="W116" i="1"/>
  <c r="AJ116" i="1" s="1"/>
  <c r="AD116" i="1"/>
  <c r="AE116" i="1"/>
  <c r="AF116" i="1"/>
  <c r="W117" i="1"/>
  <c r="AJ117" i="1" s="1"/>
  <c r="AD117" i="1"/>
  <c r="AE117" i="1"/>
  <c r="AF117" i="1"/>
  <c r="W118" i="1"/>
  <c r="AJ118" i="1" s="1"/>
  <c r="AD118" i="1"/>
  <c r="AE118" i="1"/>
  <c r="AF118" i="1"/>
  <c r="W119" i="1"/>
  <c r="AJ119" i="1" s="1"/>
  <c r="AD119" i="1"/>
  <c r="AE119" i="1"/>
  <c r="AF119" i="1"/>
  <c r="W120" i="1"/>
  <c r="AJ120" i="1" s="1"/>
  <c r="AD120" i="1"/>
  <c r="AE120" i="1"/>
  <c r="AF120" i="1"/>
  <c r="W121" i="1"/>
  <c r="AL121" i="1" s="1"/>
  <c r="AD121" i="1"/>
  <c r="AE121" i="1"/>
  <c r="AF121" i="1"/>
  <c r="W122" i="1"/>
  <c r="AJ122" i="1" s="1"/>
  <c r="AD122" i="1"/>
  <c r="AE122" i="1"/>
  <c r="AF122" i="1"/>
  <c r="W123" i="1"/>
  <c r="AJ123" i="1" s="1"/>
  <c r="AD123" i="1"/>
  <c r="AE123" i="1"/>
  <c r="AF123" i="1"/>
  <c r="W124" i="1"/>
  <c r="AG124" i="1" s="1"/>
  <c r="AD124" i="1"/>
  <c r="AE124" i="1"/>
  <c r="AF124" i="1"/>
  <c r="W125" i="1"/>
  <c r="AH125" i="1" s="1"/>
  <c r="AD125" i="1"/>
  <c r="AE125" i="1"/>
  <c r="AF125" i="1"/>
  <c r="W126" i="1"/>
  <c r="AJ126" i="1" s="1"/>
  <c r="AD126" i="1"/>
  <c r="AE126" i="1"/>
  <c r="AF126" i="1"/>
  <c r="W127" i="1"/>
  <c r="AJ127" i="1" s="1"/>
  <c r="AD127" i="1"/>
  <c r="AE127" i="1"/>
  <c r="AF127" i="1"/>
  <c r="W128" i="1"/>
  <c r="AJ128" i="1" s="1"/>
  <c r="AD128" i="1"/>
  <c r="AE128" i="1"/>
  <c r="AF128" i="1"/>
  <c r="W129" i="1"/>
  <c r="AJ129" i="1" s="1"/>
  <c r="AD129" i="1"/>
  <c r="AE129" i="1"/>
  <c r="AF129" i="1"/>
  <c r="W130" i="1"/>
  <c r="AJ130" i="1" s="1"/>
  <c r="AD130" i="1"/>
  <c r="AE130" i="1"/>
  <c r="AF130" i="1"/>
  <c r="W131" i="1"/>
  <c r="AJ131" i="1" s="1"/>
  <c r="AD131" i="1"/>
  <c r="AE131" i="1"/>
  <c r="AF131" i="1"/>
  <c r="W132" i="1"/>
  <c r="AK132" i="1" s="1"/>
  <c r="AD132" i="1"/>
  <c r="AE132" i="1"/>
  <c r="AF132" i="1"/>
  <c r="W133" i="1"/>
  <c r="AJ133" i="1" s="1"/>
  <c r="AD133" i="1"/>
  <c r="AE133" i="1"/>
  <c r="AF133" i="1"/>
  <c r="W134" i="1"/>
  <c r="AJ134" i="1" s="1"/>
  <c r="AD134" i="1"/>
  <c r="AE134" i="1"/>
  <c r="AF134" i="1"/>
  <c r="W135" i="1"/>
  <c r="AJ135" i="1" s="1"/>
  <c r="AD135" i="1"/>
  <c r="AE135" i="1"/>
  <c r="AF135" i="1"/>
  <c r="W136" i="1"/>
  <c r="AK136" i="1" s="1"/>
  <c r="AD136" i="1"/>
  <c r="AE136" i="1"/>
  <c r="AF136" i="1"/>
  <c r="W137" i="1"/>
  <c r="AJ137" i="1" s="1"/>
  <c r="AD137" i="1"/>
  <c r="AE137" i="1"/>
  <c r="AF137" i="1"/>
  <c r="W138" i="1"/>
  <c r="AJ138" i="1" s="1"/>
  <c r="AD138" i="1"/>
  <c r="AE138" i="1"/>
  <c r="AF138" i="1"/>
  <c r="W139" i="1"/>
  <c r="AJ139" i="1" s="1"/>
  <c r="AD139" i="1"/>
  <c r="AE139" i="1"/>
  <c r="AF139" i="1"/>
  <c r="W140" i="1"/>
  <c r="AJ140" i="1" s="1"/>
  <c r="AD140" i="1"/>
  <c r="AE140" i="1"/>
  <c r="AF140" i="1"/>
  <c r="W141" i="1"/>
  <c r="AJ141" i="1" s="1"/>
  <c r="AD141" i="1"/>
  <c r="AE141" i="1"/>
  <c r="AF141" i="1"/>
  <c r="W142" i="1"/>
  <c r="AJ142" i="1" s="1"/>
  <c r="AD142" i="1"/>
  <c r="AE142" i="1"/>
  <c r="AF142" i="1"/>
  <c r="W143" i="1"/>
  <c r="AL143" i="1" s="1"/>
  <c r="AD143" i="1"/>
  <c r="AE143" i="1"/>
  <c r="AF143" i="1"/>
  <c r="W144" i="1"/>
  <c r="AK144" i="1" s="1"/>
  <c r="AD144" i="1"/>
  <c r="AE144" i="1"/>
  <c r="AF144" i="1"/>
  <c r="W145" i="1"/>
  <c r="AJ145" i="1" s="1"/>
  <c r="AD145" i="1"/>
  <c r="AE145" i="1"/>
  <c r="AF145" i="1"/>
  <c r="W146" i="1"/>
  <c r="AJ146" i="1" s="1"/>
  <c r="AD146" i="1"/>
  <c r="AE146" i="1"/>
  <c r="AF146" i="1"/>
  <c r="W147" i="1"/>
  <c r="AJ147" i="1" s="1"/>
  <c r="AD147" i="1"/>
  <c r="AE147" i="1"/>
  <c r="AF147" i="1"/>
  <c r="W148" i="1"/>
  <c r="AJ148" i="1" s="1"/>
  <c r="AD148" i="1"/>
  <c r="AE148" i="1"/>
  <c r="AF148" i="1"/>
  <c r="W149" i="1"/>
  <c r="AJ149" i="1" s="1"/>
  <c r="AD149" i="1"/>
  <c r="AE149" i="1"/>
  <c r="AF149" i="1"/>
  <c r="W150" i="1"/>
  <c r="AJ150" i="1" s="1"/>
  <c r="AD150" i="1"/>
  <c r="AE150" i="1"/>
  <c r="AF150" i="1"/>
  <c r="W151" i="1"/>
  <c r="AJ151" i="1" s="1"/>
  <c r="AD151" i="1"/>
  <c r="AE151" i="1"/>
  <c r="AF151" i="1"/>
  <c r="W152" i="1"/>
  <c r="AJ152" i="1" s="1"/>
  <c r="AD152" i="1"/>
  <c r="AE152" i="1"/>
  <c r="AF152" i="1"/>
  <c r="W153" i="1"/>
  <c r="AJ153" i="1" s="1"/>
  <c r="AD153" i="1"/>
  <c r="AE153" i="1"/>
  <c r="AF153" i="1"/>
  <c r="W154" i="1"/>
  <c r="AJ154" i="1" s="1"/>
  <c r="AD154" i="1"/>
  <c r="AE154" i="1"/>
  <c r="AF154" i="1"/>
  <c r="W155" i="1"/>
  <c r="AJ155" i="1" s="1"/>
  <c r="AD155" i="1"/>
  <c r="AE155" i="1"/>
  <c r="AF155" i="1"/>
  <c r="W156" i="1"/>
  <c r="AJ156" i="1" s="1"/>
  <c r="AD156" i="1"/>
  <c r="AE156" i="1"/>
  <c r="AF156" i="1"/>
  <c r="W157" i="1"/>
  <c r="AJ157" i="1" s="1"/>
  <c r="AD157" i="1"/>
  <c r="AE157" i="1"/>
  <c r="AF157" i="1"/>
  <c r="W158" i="1"/>
  <c r="AJ158" i="1" s="1"/>
  <c r="AD158" i="1"/>
  <c r="AE158" i="1"/>
  <c r="AF158" i="1"/>
  <c r="W159" i="1"/>
  <c r="AJ159" i="1" s="1"/>
  <c r="AD159" i="1"/>
  <c r="AE159" i="1"/>
  <c r="AF159" i="1"/>
  <c r="W160" i="1"/>
  <c r="AJ160" i="1" s="1"/>
  <c r="AD160" i="1"/>
  <c r="AE160" i="1"/>
  <c r="AF160" i="1"/>
  <c r="W161" i="1"/>
  <c r="AJ161" i="1" s="1"/>
  <c r="AD161" i="1"/>
  <c r="AE161" i="1"/>
  <c r="AF161" i="1"/>
  <c r="W162" i="1"/>
  <c r="AJ162" i="1" s="1"/>
  <c r="AD162" i="1"/>
  <c r="AE162" i="1"/>
  <c r="AF162" i="1"/>
  <c r="W163" i="1"/>
  <c r="AJ163" i="1" s="1"/>
  <c r="AD163" i="1"/>
  <c r="AE163" i="1"/>
  <c r="AF163" i="1"/>
  <c r="W164" i="1"/>
  <c r="AK164" i="1" s="1"/>
  <c r="AD164" i="1"/>
  <c r="AE164" i="1"/>
  <c r="AF164" i="1"/>
  <c r="W165" i="1"/>
  <c r="AL165" i="1" s="1"/>
  <c r="AD165" i="1"/>
  <c r="AE165" i="1"/>
  <c r="AF165" i="1"/>
  <c r="W166" i="1"/>
  <c r="AJ166" i="1" s="1"/>
  <c r="AD166" i="1"/>
  <c r="AE166" i="1"/>
  <c r="AF166" i="1"/>
  <c r="W167" i="1"/>
  <c r="AJ167" i="1" s="1"/>
  <c r="AD167" i="1"/>
  <c r="AE167" i="1"/>
  <c r="AF167" i="1"/>
  <c r="W168" i="1"/>
  <c r="AK168" i="1" s="1"/>
  <c r="AD168" i="1"/>
  <c r="AE168" i="1"/>
  <c r="AF168" i="1"/>
  <c r="W169" i="1"/>
  <c r="AJ169" i="1" s="1"/>
  <c r="AD169" i="1"/>
  <c r="AE169" i="1"/>
  <c r="AF169" i="1"/>
  <c r="W170" i="1"/>
  <c r="AJ170" i="1" s="1"/>
  <c r="AD170" i="1"/>
  <c r="AE170" i="1"/>
  <c r="AF170" i="1"/>
  <c r="W171" i="1"/>
  <c r="AJ171" i="1" s="1"/>
  <c r="AD171" i="1"/>
  <c r="AE171" i="1"/>
  <c r="AF171" i="1"/>
  <c r="W172" i="1"/>
  <c r="AK172" i="1" s="1"/>
  <c r="AD172" i="1"/>
  <c r="AE172" i="1"/>
  <c r="AF172" i="1"/>
  <c r="W173" i="1"/>
  <c r="AJ173" i="1" s="1"/>
  <c r="AD173" i="1"/>
  <c r="AE173" i="1"/>
  <c r="AF173" i="1"/>
  <c r="W174" i="1"/>
  <c r="AG174" i="1" s="1"/>
  <c r="AD174" i="1"/>
  <c r="AE174" i="1"/>
  <c r="AF174" i="1"/>
  <c r="W175" i="1"/>
  <c r="AJ175" i="1" s="1"/>
  <c r="AD175" i="1"/>
  <c r="AE175" i="1"/>
  <c r="AF175" i="1"/>
  <c r="W176" i="1"/>
  <c r="AK176" i="1" s="1"/>
  <c r="AD176" i="1"/>
  <c r="AE176" i="1"/>
  <c r="AF176" i="1"/>
  <c r="W177" i="1"/>
  <c r="AJ177" i="1" s="1"/>
  <c r="AD177" i="1"/>
  <c r="AE177" i="1"/>
  <c r="AF177" i="1"/>
  <c r="W178" i="1"/>
  <c r="AJ178" i="1" s="1"/>
  <c r="AD178" i="1"/>
  <c r="AE178" i="1"/>
  <c r="AF178" i="1"/>
  <c r="W179" i="1"/>
  <c r="AJ179" i="1" s="1"/>
  <c r="AD179" i="1"/>
  <c r="AE179" i="1"/>
  <c r="AF179" i="1"/>
  <c r="W180" i="1"/>
  <c r="AJ180" i="1" s="1"/>
  <c r="AD180" i="1"/>
  <c r="AE180" i="1"/>
  <c r="AF180" i="1"/>
  <c r="W181" i="1"/>
  <c r="AJ181" i="1" s="1"/>
  <c r="AD181" i="1"/>
  <c r="AE181" i="1"/>
  <c r="AF181" i="1"/>
  <c r="W182" i="1"/>
  <c r="AJ182" i="1" s="1"/>
  <c r="AD182" i="1"/>
  <c r="AE182" i="1"/>
  <c r="AF182" i="1"/>
  <c r="W183" i="1"/>
  <c r="AJ183" i="1" s="1"/>
  <c r="AD183" i="1"/>
  <c r="AE183" i="1"/>
  <c r="AF183" i="1"/>
  <c r="W184" i="1"/>
  <c r="AJ184" i="1" s="1"/>
  <c r="AD184" i="1"/>
  <c r="AE184" i="1"/>
  <c r="AF184" i="1"/>
  <c r="W185" i="1"/>
  <c r="AJ185" i="1" s="1"/>
  <c r="AD185" i="1"/>
  <c r="AE185" i="1"/>
  <c r="AF185" i="1"/>
  <c r="W186" i="1"/>
  <c r="AJ186" i="1" s="1"/>
  <c r="AD186" i="1"/>
  <c r="AE186" i="1"/>
  <c r="AF186" i="1"/>
  <c r="W187" i="1"/>
  <c r="AJ187" i="1" s="1"/>
  <c r="AD187" i="1"/>
  <c r="AE187" i="1"/>
  <c r="AF187" i="1"/>
  <c r="W188" i="1"/>
  <c r="AK188" i="1" s="1"/>
  <c r="AD188" i="1"/>
  <c r="AE188" i="1"/>
  <c r="AF188" i="1"/>
  <c r="W189" i="1"/>
  <c r="AJ189" i="1" s="1"/>
  <c r="AD189" i="1"/>
  <c r="AE189" i="1"/>
  <c r="AF189" i="1"/>
  <c r="W190" i="1"/>
  <c r="AJ190" i="1" s="1"/>
  <c r="AD190" i="1"/>
  <c r="AE190" i="1"/>
  <c r="AF190" i="1"/>
  <c r="W191" i="1"/>
  <c r="AJ191" i="1" s="1"/>
  <c r="AD191" i="1"/>
  <c r="AE191" i="1"/>
  <c r="AF191" i="1"/>
  <c r="W192" i="1"/>
  <c r="AJ192" i="1" s="1"/>
  <c r="AD192" i="1"/>
  <c r="AE192" i="1"/>
  <c r="AF192" i="1"/>
  <c r="W193" i="1"/>
  <c r="AJ193" i="1" s="1"/>
  <c r="AD193" i="1"/>
  <c r="AE193" i="1"/>
  <c r="AF193" i="1"/>
  <c r="W194" i="1"/>
  <c r="AJ194" i="1" s="1"/>
  <c r="AD194" i="1"/>
  <c r="AE194" i="1"/>
  <c r="AF194" i="1"/>
  <c r="W195" i="1"/>
  <c r="AJ195" i="1" s="1"/>
  <c r="AD195" i="1"/>
  <c r="AE195" i="1"/>
  <c r="AF195" i="1"/>
  <c r="W196" i="1"/>
  <c r="AK196" i="1" s="1"/>
  <c r="AD196" i="1"/>
  <c r="AE196" i="1"/>
  <c r="AF196" i="1"/>
  <c r="W197" i="1"/>
  <c r="AJ197" i="1" s="1"/>
  <c r="AD197" i="1"/>
  <c r="AE197" i="1"/>
  <c r="AF197" i="1"/>
  <c r="W198" i="1"/>
  <c r="AJ198" i="1" s="1"/>
  <c r="AD198" i="1"/>
  <c r="AE198" i="1"/>
  <c r="AF198" i="1"/>
  <c r="W199" i="1"/>
  <c r="AJ199" i="1" s="1"/>
  <c r="AD199" i="1"/>
  <c r="AE199" i="1"/>
  <c r="AF199" i="1"/>
  <c r="W200" i="1"/>
  <c r="AK200" i="1" s="1"/>
  <c r="AD200" i="1"/>
  <c r="AE200" i="1"/>
  <c r="AF200" i="1"/>
  <c r="W201" i="1"/>
  <c r="AJ201" i="1" s="1"/>
  <c r="AD201" i="1"/>
  <c r="AE201" i="1"/>
  <c r="AF201" i="1"/>
  <c r="W202" i="1"/>
  <c r="AJ202" i="1" s="1"/>
  <c r="AD202" i="1"/>
  <c r="AE202" i="1"/>
  <c r="AF202" i="1"/>
  <c r="W203" i="1"/>
  <c r="AJ203" i="1" s="1"/>
  <c r="AD203" i="1"/>
  <c r="AE203" i="1"/>
  <c r="AF203" i="1"/>
  <c r="W204" i="1"/>
  <c r="AK204" i="1" s="1"/>
  <c r="AD204" i="1"/>
  <c r="AE204" i="1"/>
  <c r="AF204" i="1"/>
  <c r="W205" i="1"/>
  <c r="AJ205" i="1" s="1"/>
  <c r="AD205" i="1"/>
  <c r="AE205" i="1"/>
  <c r="AF205" i="1"/>
  <c r="W206" i="1"/>
  <c r="AJ206" i="1" s="1"/>
  <c r="AD206" i="1"/>
  <c r="AE206" i="1"/>
  <c r="AF206" i="1"/>
  <c r="W207" i="1"/>
  <c r="AJ207" i="1" s="1"/>
  <c r="AD207" i="1"/>
  <c r="AE207" i="1"/>
  <c r="AF207" i="1"/>
  <c r="W208" i="1"/>
  <c r="AK208" i="1" s="1"/>
  <c r="AD208" i="1"/>
  <c r="AE208" i="1"/>
  <c r="AF208" i="1"/>
  <c r="W209" i="1"/>
  <c r="AJ209" i="1" s="1"/>
  <c r="AD209" i="1"/>
  <c r="AE209" i="1"/>
  <c r="AF209" i="1"/>
  <c r="W210" i="1"/>
  <c r="AJ210" i="1" s="1"/>
  <c r="AD210" i="1"/>
  <c r="AE210" i="1"/>
  <c r="AF210" i="1"/>
  <c r="W211" i="1"/>
  <c r="AJ211" i="1" s="1"/>
  <c r="AD211" i="1"/>
  <c r="AE211" i="1"/>
  <c r="AF211" i="1"/>
  <c r="W212" i="1"/>
  <c r="AJ212" i="1" s="1"/>
  <c r="AD212" i="1"/>
  <c r="AE212" i="1"/>
  <c r="AF212" i="1"/>
  <c r="W213" i="1"/>
  <c r="AJ213" i="1" s="1"/>
  <c r="AD213" i="1"/>
  <c r="AE213" i="1"/>
  <c r="AF213" i="1"/>
  <c r="W214" i="1"/>
  <c r="AJ214" i="1" s="1"/>
  <c r="AD214" i="1"/>
  <c r="AE214" i="1"/>
  <c r="AF214" i="1"/>
  <c r="W215" i="1"/>
  <c r="AJ215" i="1" s="1"/>
  <c r="AD215" i="1"/>
  <c r="AE215" i="1"/>
  <c r="AF215" i="1"/>
  <c r="W216" i="1"/>
  <c r="AJ216" i="1" s="1"/>
  <c r="AD216" i="1"/>
  <c r="AE216" i="1"/>
  <c r="AF216" i="1"/>
  <c r="W217" i="1"/>
  <c r="AJ217" i="1" s="1"/>
  <c r="AD217" i="1"/>
  <c r="AE217" i="1"/>
  <c r="AF217" i="1"/>
  <c r="W218" i="1"/>
  <c r="AJ218" i="1" s="1"/>
  <c r="AD218" i="1"/>
  <c r="AE218" i="1"/>
  <c r="AF218" i="1"/>
  <c r="W219" i="1"/>
  <c r="AJ219" i="1" s="1"/>
  <c r="AD219" i="1"/>
  <c r="AE219" i="1"/>
  <c r="AF219" i="1"/>
  <c r="W220" i="1"/>
  <c r="AK220" i="1" s="1"/>
  <c r="AD220" i="1"/>
  <c r="AE220" i="1"/>
  <c r="AF220" i="1"/>
  <c r="W221" i="1"/>
  <c r="AJ221" i="1" s="1"/>
  <c r="AD221" i="1"/>
  <c r="AE221" i="1"/>
  <c r="AF221" i="1"/>
  <c r="W222" i="1"/>
  <c r="AJ222" i="1" s="1"/>
  <c r="AD222" i="1"/>
  <c r="AE222" i="1"/>
  <c r="AF222" i="1"/>
  <c r="W223" i="1"/>
  <c r="AJ223" i="1" s="1"/>
  <c r="AD223" i="1"/>
  <c r="AE223" i="1"/>
  <c r="AF223" i="1"/>
  <c r="W224" i="1"/>
  <c r="AJ224" i="1" s="1"/>
  <c r="AD224" i="1"/>
  <c r="AE224" i="1"/>
  <c r="AF224" i="1"/>
  <c r="W225" i="1"/>
  <c r="AJ225" i="1" s="1"/>
  <c r="AD225" i="1"/>
  <c r="AE225" i="1"/>
  <c r="AF225" i="1"/>
  <c r="W226" i="1"/>
  <c r="AJ226" i="1" s="1"/>
  <c r="AD226" i="1"/>
  <c r="AE226" i="1"/>
  <c r="AF226" i="1"/>
  <c r="W227" i="1"/>
  <c r="AJ227" i="1" s="1"/>
  <c r="AD227" i="1"/>
  <c r="AE227" i="1"/>
  <c r="AF227" i="1"/>
  <c r="W228" i="1"/>
  <c r="AK228" i="1" s="1"/>
  <c r="AD228" i="1"/>
  <c r="AE228" i="1"/>
  <c r="AF228" i="1"/>
  <c r="W229" i="1"/>
  <c r="AL229" i="1" s="1"/>
  <c r="AD229" i="1"/>
  <c r="AE229" i="1"/>
  <c r="AF229" i="1"/>
  <c r="W230" i="1"/>
  <c r="AJ230" i="1" s="1"/>
  <c r="AD230" i="1"/>
  <c r="AE230" i="1"/>
  <c r="AF230" i="1"/>
  <c r="W231" i="1"/>
  <c r="AJ231" i="1" s="1"/>
  <c r="AD231" i="1"/>
  <c r="AE231" i="1"/>
  <c r="AF231" i="1"/>
  <c r="W232" i="1"/>
  <c r="AK232" i="1" s="1"/>
  <c r="AD232" i="1"/>
  <c r="AE232" i="1"/>
  <c r="AF232" i="1"/>
  <c r="W233" i="1"/>
  <c r="AJ233" i="1" s="1"/>
  <c r="AD233" i="1"/>
  <c r="AE233" i="1"/>
  <c r="AF233" i="1"/>
  <c r="W234" i="1"/>
  <c r="AJ234" i="1" s="1"/>
  <c r="AD234" i="1"/>
  <c r="AE234" i="1"/>
  <c r="AF234" i="1"/>
  <c r="W235" i="1"/>
  <c r="AJ235" i="1" s="1"/>
  <c r="AD235" i="1"/>
  <c r="AE235" i="1"/>
  <c r="AF235" i="1"/>
  <c r="W236" i="1"/>
  <c r="AK236" i="1" s="1"/>
  <c r="AD236" i="1"/>
  <c r="AE236" i="1"/>
  <c r="AF236" i="1"/>
  <c r="W237" i="1"/>
  <c r="AJ237" i="1" s="1"/>
  <c r="AD237" i="1"/>
  <c r="AE237" i="1"/>
  <c r="AF237" i="1"/>
  <c r="W238" i="1"/>
  <c r="AJ238" i="1" s="1"/>
  <c r="AD238" i="1"/>
  <c r="AE238" i="1"/>
  <c r="AF238" i="1"/>
  <c r="W239" i="1"/>
  <c r="AJ239" i="1" s="1"/>
  <c r="AD239" i="1"/>
  <c r="AE239" i="1"/>
  <c r="AF239" i="1"/>
  <c r="W240" i="1"/>
  <c r="AK240" i="1" s="1"/>
  <c r="AD240" i="1"/>
  <c r="AE240" i="1"/>
  <c r="AF240" i="1"/>
  <c r="W241" i="1"/>
  <c r="AJ241" i="1" s="1"/>
  <c r="AD241" i="1"/>
  <c r="AE241" i="1"/>
  <c r="AF241" i="1"/>
  <c r="W242" i="1"/>
  <c r="AJ242" i="1" s="1"/>
  <c r="AD242" i="1"/>
  <c r="AE242" i="1"/>
  <c r="AF242" i="1"/>
  <c r="W243" i="1"/>
  <c r="AJ243" i="1" s="1"/>
  <c r="AD243" i="1"/>
  <c r="AE243" i="1"/>
  <c r="AF243" i="1"/>
  <c r="W244" i="1"/>
  <c r="AJ244" i="1" s="1"/>
  <c r="AD244" i="1"/>
  <c r="AE244" i="1"/>
  <c r="AF244" i="1"/>
  <c r="W245" i="1"/>
  <c r="AJ245" i="1" s="1"/>
  <c r="AD245" i="1"/>
  <c r="AE245" i="1"/>
  <c r="AF245" i="1"/>
  <c r="W246" i="1"/>
  <c r="AJ246" i="1" s="1"/>
  <c r="AD246" i="1"/>
  <c r="AE246" i="1"/>
  <c r="AF246" i="1"/>
  <c r="W247" i="1"/>
  <c r="AJ247" i="1" s="1"/>
  <c r="AD247" i="1"/>
  <c r="AE247" i="1"/>
  <c r="AF247" i="1"/>
  <c r="W248" i="1"/>
  <c r="AJ248" i="1" s="1"/>
  <c r="AD248" i="1"/>
  <c r="AE248" i="1"/>
  <c r="AF248" i="1"/>
  <c r="W249" i="1"/>
  <c r="AJ249" i="1" s="1"/>
  <c r="AD249" i="1"/>
  <c r="AE249" i="1"/>
  <c r="AF249" i="1"/>
  <c r="W250" i="1"/>
  <c r="AJ250" i="1" s="1"/>
  <c r="AD250" i="1"/>
  <c r="AE250" i="1"/>
  <c r="AF250" i="1"/>
  <c r="W251" i="1"/>
  <c r="AJ251" i="1" s="1"/>
  <c r="AD251" i="1"/>
  <c r="AE251" i="1"/>
  <c r="AF251" i="1"/>
  <c r="W252" i="1"/>
  <c r="AK252" i="1" s="1"/>
  <c r="AD252" i="1"/>
  <c r="AE252" i="1"/>
  <c r="AF252" i="1"/>
  <c r="W253" i="1"/>
  <c r="AJ253" i="1" s="1"/>
  <c r="AD253" i="1"/>
  <c r="AE253" i="1"/>
  <c r="AF253" i="1"/>
  <c r="W254" i="1"/>
  <c r="AJ254" i="1" s="1"/>
  <c r="AD254" i="1"/>
  <c r="AE254" i="1"/>
  <c r="AF254" i="1"/>
  <c r="W255" i="1"/>
  <c r="AJ255" i="1" s="1"/>
  <c r="AD255" i="1"/>
  <c r="AE255" i="1"/>
  <c r="AF255" i="1"/>
  <c r="W256" i="1"/>
  <c r="AJ256" i="1" s="1"/>
  <c r="AD256" i="1"/>
  <c r="AE256" i="1"/>
  <c r="AF256" i="1"/>
  <c r="W257" i="1"/>
  <c r="AJ257" i="1" s="1"/>
  <c r="AD257" i="1"/>
  <c r="AE257" i="1"/>
  <c r="AF257" i="1"/>
  <c r="W258" i="1"/>
  <c r="AJ258" i="1" s="1"/>
  <c r="AD258" i="1"/>
  <c r="AE258" i="1"/>
  <c r="AF258" i="1"/>
  <c r="W259" i="1"/>
  <c r="AJ259" i="1" s="1"/>
  <c r="AD259" i="1"/>
  <c r="AE259" i="1"/>
  <c r="AF259" i="1"/>
  <c r="W260" i="1"/>
  <c r="AK260" i="1" s="1"/>
  <c r="AD260" i="1"/>
  <c r="AE260" i="1"/>
  <c r="AF260" i="1"/>
  <c r="W261" i="1"/>
  <c r="AJ261" i="1" s="1"/>
  <c r="AD261" i="1"/>
  <c r="AE261" i="1"/>
  <c r="AF261" i="1"/>
  <c r="W262" i="1"/>
  <c r="AJ262" i="1" s="1"/>
  <c r="AD262" i="1"/>
  <c r="AE262" i="1"/>
  <c r="AF262" i="1"/>
  <c r="W263" i="1"/>
  <c r="AJ263" i="1" s="1"/>
  <c r="AD263" i="1"/>
  <c r="AE263" i="1"/>
  <c r="AF263" i="1"/>
  <c r="W264" i="1"/>
  <c r="AK264" i="1" s="1"/>
  <c r="AD264" i="1"/>
  <c r="AE264" i="1"/>
  <c r="AF264" i="1"/>
  <c r="W265" i="1"/>
  <c r="AJ265" i="1" s="1"/>
  <c r="AD265" i="1"/>
  <c r="AE265" i="1"/>
  <c r="AF265" i="1"/>
  <c r="W266" i="1"/>
  <c r="AJ266" i="1" s="1"/>
  <c r="AD266" i="1"/>
  <c r="AE266" i="1"/>
  <c r="AF266" i="1"/>
  <c r="W267" i="1"/>
  <c r="AJ267" i="1" s="1"/>
  <c r="AD267" i="1"/>
  <c r="AE267" i="1"/>
  <c r="AF267" i="1"/>
  <c r="W268" i="1"/>
  <c r="AK268" i="1" s="1"/>
  <c r="AD268" i="1"/>
  <c r="AE268" i="1"/>
  <c r="AF268" i="1"/>
  <c r="W269" i="1"/>
  <c r="AJ269" i="1" s="1"/>
  <c r="AD269" i="1"/>
  <c r="AE269" i="1"/>
  <c r="AF269" i="1"/>
  <c r="W270" i="1"/>
  <c r="AJ270" i="1" s="1"/>
  <c r="AD270" i="1"/>
  <c r="AE270" i="1"/>
  <c r="AF270" i="1"/>
  <c r="W271" i="1"/>
  <c r="AJ271" i="1" s="1"/>
  <c r="AD271" i="1"/>
  <c r="AE271" i="1"/>
  <c r="AF271" i="1"/>
  <c r="W272" i="1"/>
  <c r="AK272" i="1" s="1"/>
  <c r="AD272" i="1"/>
  <c r="AE272" i="1"/>
  <c r="AF272" i="1"/>
  <c r="W273" i="1"/>
  <c r="AJ273" i="1" s="1"/>
  <c r="AD273" i="1"/>
  <c r="AE273" i="1"/>
  <c r="AF273" i="1"/>
  <c r="W274" i="1"/>
  <c r="AJ274" i="1" s="1"/>
  <c r="AD274" i="1"/>
  <c r="AE274" i="1"/>
  <c r="AF274" i="1"/>
  <c r="W275" i="1"/>
  <c r="AJ275" i="1" s="1"/>
  <c r="AD275" i="1"/>
  <c r="AE275" i="1"/>
  <c r="AF275" i="1"/>
  <c r="W276" i="1"/>
  <c r="AJ276" i="1" s="1"/>
  <c r="AD276" i="1"/>
  <c r="AE276" i="1"/>
  <c r="AF276" i="1"/>
  <c r="W277" i="1"/>
  <c r="AJ277" i="1" s="1"/>
  <c r="AD277" i="1"/>
  <c r="AE277" i="1"/>
  <c r="AF277" i="1"/>
  <c r="W278" i="1"/>
  <c r="AJ278" i="1" s="1"/>
  <c r="AD278" i="1"/>
  <c r="AE278" i="1"/>
  <c r="AF278" i="1"/>
  <c r="W279" i="1"/>
  <c r="AJ279" i="1" s="1"/>
  <c r="AD279" i="1"/>
  <c r="AE279" i="1"/>
  <c r="AF279" i="1"/>
  <c r="W280" i="1"/>
  <c r="AJ280" i="1" s="1"/>
  <c r="AD280" i="1"/>
  <c r="AE280" i="1"/>
  <c r="AF280" i="1"/>
  <c r="W281" i="1"/>
  <c r="AJ281" i="1" s="1"/>
  <c r="AD281" i="1"/>
  <c r="AE281" i="1"/>
  <c r="AF281" i="1"/>
  <c r="W282" i="1"/>
  <c r="AJ282" i="1" s="1"/>
  <c r="AD282" i="1"/>
  <c r="AE282" i="1"/>
  <c r="AF282" i="1"/>
  <c r="W283" i="1"/>
  <c r="AJ283" i="1" s="1"/>
  <c r="AD283" i="1"/>
  <c r="AE283" i="1"/>
  <c r="AF283" i="1"/>
  <c r="W284" i="1"/>
  <c r="AK284" i="1" s="1"/>
  <c r="AD284" i="1"/>
  <c r="AE284" i="1"/>
  <c r="AF284" i="1"/>
  <c r="W285" i="1"/>
  <c r="AJ285" i="1" s="1"/>
  <c r="AD285" i="1"/>
  <c r="AE285" i="1"/>
  <c r="AF285" i="1"/>
  <c r="W286" i="1"/>
  <c r="AJ286" i="1" s="1"/>
  <c r="AD286" i="1"/>
  <c r="AE286" i="1"/>
  <c r="AF286" i="1"/>
  <c r="W287" i="1"/>
  <c r="AJ287" i="1" s="1"/>
  <c r="AD287" i="1"/>
  <c r="AE287" i="1"/>
  <c r="AF287" i="1"/>
  <c r="W288" i="1"/>
  <c r="AJ288" i="1" s="1"/>
  <c r="AD288" i="1"/>
  <c r="AE288" i="1"/>
  <c r="AF288" i="1"/>
  <c r="W289" i="1"/>
  <c r="AJ289" i="1" s="1"/>
  <c r="AD289" i="1"/>
  <c r="AE289" i="1"/>
  <c r="AF289" i="1"/>
  <c r="W290" i="1"/>
  <c r="AJ290" i="1" s="1"/>
  <c r="AD290" i="1"/>
  <c r="AE290" i="1"/>
  <c r="AF290" i="1"/>
  <c r="W291" i="1"/>
  <c r="AJ291" i="1" s="1"/>
  <c r="AD291" i="1"/>
  <c r="AE291" i="1"/>
  <c r="AF291" i="1"/>
  <c r="W292" i="1"/>
  <c r="AK292" i="1" s="1"/>
  <c r="AD292" i="1"/>
  <c r="AE292" i="1"/>
  <c r="AF292" i="1"/>
  <c r="W293" i="1"/>
  <c r="AJ293" i="1" s="1"/>
  <c r="AD293" i="1"/>
  <c r="AE293" i="1"/>
  <c r="AF293" i="1"/>
  <c r="W294" i="1"/>
  <c r="AJ294" i="1" s="1"/>
  <c r="AD294" i="1"/>
  <c r="AE294" i="1"/>
  <c r="AF294" i="1"/>
  <c r="W295" i="1"/>
  <c r="AJ295" i="1" s="1"/>
  <c r="AD295" i="1"/>
  <c r="AE295" i="1"/>
  <c r="AF295" i="1"/>
  <c r="W296" i="1"/>
  <c r="AK296" i="1" s="1"/>
  <c r="AD296" i="1"/>
  <c r="AE296" i="1"/>
  <c r="AF296" i="1"/>
  <c r="W297" i="1"/>
  <c r="AJ297" i="1" s="1"/>
  <c r="AD297" i="1"/>
  <c r="AE297" i="1"/>
  <c r="AF297" i="1"/>
  <c r="W298" i="1"/>
  <c r="AJ298" i="1" s="1"/>
  <c r="AD298" i="1"/>
  <c r="AE298" i="1"/>
  <c r="AF298" i="1"/>
  <c r="W299" i="1"/>
  <c r="AJ299" i="1" s="1"/>
  <c r="AD299" i="1"/>
  <c r="AE299" i="1"/>
  <c r="AF299" i="1"/>
  <c r="W300" i="1"/>
  <c r="AK300" i="1" s="1"/>
  <c r="AD300" i="1"/>
  <c r="AE300" i="1"/>
  <c r="AF300" i="1"/>
  <c r="W301" i="1"/>
  <c r="AJ301" i="1" s="1"/>
  <c r="AD301" i="1"/>
  <c r="AE301" i="1"/>
  <c r="AF301" i="1"/>
  <c r="W302" i="1"/>
  <c r="AJ302" i="1" s="1"/>
  <c r="AD302" i="1"/>
  <c r="AE302" i="1"/>
  <c r="AF302" i="1"/>
  <c r="W303" i="1"/>
  <c r="AG303" i="1" s="1"/>
  <c r="AD303" i="1"/>
  <c r="AE303" i="1"/>
  <c r="AF303" i="1"/>
  <c r="W304" i="1"/>
  <c r="AK304" i="1" s="1"/>
  <c r="AD304" i="1"/>
  <c r="AE304" i="1"/>
  <c r="AF304" i="1"/>
  <c r="W305" i="1"/>
  <c r="AJ305" i="1" s="1"/>
  <c r="AD305" i="1"/>
  <c r="AE305" i="1"/>
  <c r="AF305" i="1"/>
  <c r="W306" i="1"/>
  <c r="AJ306" i="1" s="1"/>
  <c r="AD306" i="1"/>
  <c r="AE306" i="1"/>
  <c r="AF306" i="1"/>
  <c r="W307" i="1"/>
  <c r="AJ307" i="1" s="1"/>
  <c r="AD307" i="1"/>
  <c r="AE307" i="1"/>
  <c r="AF307" i="1"/>
  <c r="W308" i="1"/>
  <c r="AJ308" i="1" s="1"/>
  <c r="AD308" i="1"/>
  <c r="AE308" i="1"/>
  <c r="AF308" i="1"/>
  <c r="W309" i="1"/>
  <c r="AJ309" i="1" s="1"/>
  <c r="AD309" i="1"/>
  <c r="AE309" i="1"/>
  <c r="AF309" i="1"/>
  <c r="W310" i="1"/>
  <c r="AJ310" i="1" s="1"/>
  <c r="AD310" i="1"/>
  <c r="AE310" i="1"/>
  <c r="AF310" i="1"/>
  <c r="W311" i="1"/>
  <c r="AJ311" i="1" s="1"/>
  <c r="AD311" i="1"/>
  <c r="AE311" i="1"/>
  <c r="AF311" i="1"/>
  <c r="W312" i="1"/>
  <c r="AJ312" i="1" s="1"/>
  <c r="AD312" i="1"/>
  <c r="AE312" i="1"/>
  <c r="AF312" i="1"/>
  <c r="W313" i="1"/>
  <c r="AL313" i="1" s="1"/>
  <c r="AD313" i="1"/>
  <c r="AE313" i="1"/>
  <c r="AF313" i="1"/>
  <c r="W314" i="1"/>
  <c r="AJ314" i="1" s="1"/>
  <c r="AD314" i="1"/>
  <c r="AE314" i="1"/>
  <c r="AF314" i="1"/>
  <c r="W315" i="1"/>
  <c r="AJ315" i="1" s="1"/>
  <c r="AD315" i="1"/>
  <c r="AE315" i="1"/>
  <c r="AF315" i="1"/>
  <c r="W316" i="1"/>
  <c r="AK316" i="1" s="1"/>
  <c r="AD316" i="1"/>
  <c r="AE316" i="1"/>
  <c r="AF316" i="1"/>
  <c r="W317" i="1"/>
  <c r="AJ317" i="1" s="1"/>
  <c r="AD317" i="1"/>
  <c r="AE317" i="1"/>
  <c r="AF317" i="1"/>
  <c r="W318" i="1"/>
  <c r="AJ318" i="1" s="1"/>
  <c r="AD318" i="1"/>
  <c r="AE318" i="1"/>
  <c r="AF318" i="1"/>
  <c r="W319" i="1"/>
  <c r="AJ319" i="1" s="1"/>
  <c r="AD319" i="1"/>
  <c r="AE319" i="1"/>
  <c r="AF319" i="1"/>
  <c r="W320" i="1"/>
  <c r="AJ320" i="1" s="1"/>
  <c r="AD320" i="1"/>
  <c r="AE320" i="1"/>
  <c r="AF320" i="1"/>
  <c r="W321" i="1"/>
  <c r="AJ321" i="1" s="1"/>
  <c r="AD321" i="1"/>
  <c r="AE321" i="1"/>
  <c r="AF321" i="1"/>
  <c r="W322" i="1"/>
  <c r="AJ322" i="1" s="1"/>
  <c r="AD322" i="1"/>
  <c r="AE322" i="1"/>
  <c r="AF322" i="1"/>
  <c r="W323" i="1"/>
  <c r="AJ323" i="1" s="1"/>
  <c r="AD323" i="1"/>
  <c r="AE323" i="1"/>
  <c r="AF323" i="1"/>
  <c r="W324" i="1"/>
  <c r="AK324" i="1" s="1"/>
  <c r="AD324" i="1"/>
  <c r="AE324" i="1"/>
  <c r="AF324" i="1"/>
  <c r="W325" i="1"/>
  <c r="AJ325" i="1" s="1"/>
  <c r="AD325" i="1"/>
  <c r="AE325" i="1"/>
  <c r="AF325" i="1"/>
  <c r="W326" i="1"/>
  <c r="AJ326" i="1" s="1"/>
  <c r="AD326" i="1"/>
  <c r="AE326" i="1"/>
  <c r="AF326" i="1"/>
  <c r="W327" i="1"/>
  <c r="AJ327" i="1" s="1"/>
  <c r="AD327" i="1"/>
  <c r="AE327" i="1"/>
  <c r="AF327" i="1"/>
  <c r="W328" i="1"/>
  <c r="AJ328" i="1" s="1"/>
  <c r="AD328" i="1"/>
  <c r="AE328" i="1"/>
  <c r="AF328" i="1"/>
  <c r="W329" i="1"/>
  <c r="AJ329" i="1" s="1"/>
  <c r="AD329" i="1"/>
  <c r="AE329" i="1"/>
  <c r="AF329" i="1"/>
  <c r="W330" i="1"/>
  <c r="AJ330" i="1" s="1"/>
  <c r="AD330" i="1"/>
  <c r="AE330" i="1"/>
  <c r="AF330" i="1"/>
  <c r="W331" i="1"/>
  <c r="AJ331" i="1" s="1"/>
  <c r="AD331" i="1"/>
  <c r="AE331" i="1"/>
  <c r="AF331" i="1"/>
  <c r="W332" i="1"/>
  <c r="AK332" i="1" s="1"/>
  <c r="AD332" i="1"/>
  <c r="AE332" i="1"/>
  <c r="AF332" i="1"/>
  <c r="W333" i="1"/>
  <c r="AJ333" i="1" s="1"/>
  <c r="AD333" i="1"/>
  <c r="AE333" i="1"/>
  <c r="AF333" i="1"/>
  <c r="W334" i="1"/>
  <c r="AJ334" i="1" s="1"/>
  <c r="AD334" i="1"/>
  <c r="AE334" i="1"/>
  <c r="AF334" i="1"/>
  <c r="W335" i="1"/>
  <c r="AJ335" i="1" s="1"/>
  <c r="AD335" i="1"/>
  <c r="AE335" i="1"/>
  <c r="AF335" i="1"/>
  <c r="W336" i="1"/>
  <c r="AJ336" i="1" s="1"/>
  <c r="AD336" i="1"/>
  <c r="AE336" i="1"/>
  <c r="AF336" i="1"/>
  <c r="W337" i="1"/>
  <c r="AJ337" i="1" s="1"/>
  <c r="AD337" i="1"/>
  <c r="AE337" i="1"/>
  <c r="AF337" i="1"/>
  <c r="W338" i="1"/>
  <c r="AJ338" i="1" s="1"/>
  <c r="AD338" i="1"/>
  <c r="AE338" i="1"/>
  <c r="AF338" i="1"/>
  <c r="W339" i="1"/>
  <c r="AJ339" i="1" s="1"/>
  <c r="AD339" i="1"/>
  <c r="AE339" i="1"/>
  <c r="AF339" i="1"/>
  <c r="W340" i="1"/>
  <c r="AK340" i="1" s="1"/>
  <c r="AD340" i="1"/>
  <c r="AE340" i="1"/>
  <c r="AF340" i="1"/>
  <c r="W341" i="1"/>
  <c r="AK341" i="1" s="1"/>
  <c r="AD341" i="1"/>
  <c r="AE341" i="1"/>
  <c r="AF341" i="1"/>
  <c r="W342" i="1"/>
  <c r="AJ342" i="1" s="1"/>
  <c r="AD342" i="1"/>
  <c r="AE342" i="1"/>
  <c r="AF342" i="1"/>
  <c r="W343" i="1"/>
  <c r="AJ343" i="1" s="1"/>
  <c r="AD343" i="1"/>
  <c r="AE343" i="1"/>
  <c r="AF343" i="1"/>
  <c r="W344" i="1"/>
  <c r="AJ344" i="1" s="1"/>
  <c r="AD344" i="1"/>
  <c r="AE344" i="1"/>
  <c r="AF344" i="1"/>
  <c r="W345" i="1"/>
  <c r="AK345" i="1" s="1"/>
  <c r="AD345" i="1"/>
  <c r="AE345" i="1"/>
  <c r="AF345" i="1"/>
  <c r="W346" i="1"/>
  <c r="AJ346" i="1" s="1"/>
  <c r="AD346" i="1"/>
  <c r="AE346" i="1"/>
  <c r="AF346" i="1"/>
  <c r="W347" i="1"/>
  <c r="AJ347" i="1" s="1"/>
  <c r="AD347" i="1"/>
  <c r="AE347" i="1"/>
  <c r="AF347" i="1"/>
  <c r="W348" i="1"/>
  <c r="AJ348" i="1" s="1"/>
  <c r="AD348" i="1"/>
  <c r="AE348" i="1"/>
  <c r="AF348" i="1"/>
  <c r="W349" i="1"/>
  <c r="AK349" i="1" s="1"/>
  <c r="AD349" i="1"/>
  <c r="AE349" i="1"/>
  <c r="AF349" i="1"/>
  <c r="W350" i="1"/>
  <c r="AJ350" i="1" s="1"/>
  <c r="AD350" i="1"/>
  <c r="AE350" i="1"/>
  <c r="AF350" i="1"/>
  <c r="W351" i="1"/>
  <c r="AJ351" i="1" s="1"/>
  <c r="AD351" i="1"/>
  <c r="AE351" i="1"/>
  <c r="AF351" i="1"/>
  <c r="W352" i="1"/>
  <c r="AJ352" i="1" s="1"/>
  <c r="AD352" i="1"/>
  <c r="AE352" i="1"/>
  <c r="AF352" i="1"/>
  <c r="W353" i="1"/>
  <c r="AJ353" i="1" s="1"/>
  <c r="AD353" i="1"/>
  <c r="AE353" i="1"/>
  <c r="AF353" i="1"/>
  <c r="W354" i="1"/>
  <c r="AJ354" i="1" s="1"/>
  <c r="AD354" i="1"/>
  <c r="AE354" i="1"/>
  <c r="AF354" i="1"/>
  <c r="W355" i="1"/>
  <c r="AK355" i="1" s="1"/>
  <c r="AD355" i="1"/>
  <c r="AE355" i="1"/>
  <c r="AF355" i="1"/>
  <c r="W356" i="1"/>
  <c r="AK356" i="1" s="1"/>
  <c r="AD356" i="1"/>
  <c r="AE356" i="1"/>
  <c r="AF356" i="1"/>
  <c r="W357" i="1"/>
  <c r="AJ357" i="1" s="1"/>
  <c r="AD357" i="1"/>
  <c r="AE357" i="1"/>
  <c r="AF357" i="1"/>
  <c r="W358" i="1"/>
  <c r="AJ358" i="1" s="1"/>
  <c r="AD358" i="1"/>
  <c r="AE358" i="1"/>
  <c r="AF358" i="1"/>
  <c r="W359" i="1"/>
  <c r="AK359" i="1" s="1"/>
  <c r="AD359" i="1"/>
  <c r="AE359" i="1"/>
  <c r="AF359" i="1"/>
  <c r="W360" i="1"/>
  <c r="AJ360" i="1" s="1"/>
  <c r="AD360" i="1"/>
  <c r="AE360" i="1"/>
  <c r="AF360" i="1"/>
  <c r="W361" i="1"/>
  <c r="AJ361" i="1" s="1"/>
  <c r="AD361" i="1"/>
  <c r="AE361" i="1"/>
  <c r="AF361" i="1"/>
  <c r="W362" i="1"/>
  <c r="AJ362" i="1" s="1"/>
  <c r="AD362" i="1"/>
  <c r="AE362" i="1"/>
  <c r="AF362" i="1"/>
  <c r="W363" i="1"/>
  <c r="AK363" i="1" s="1"/>
  <c r="AD363" i="1"/>
  <c r="AE363" i="1"/>
  <c r="AF363" i="1"/>
  <c r="W364" i="1"/>
  <c r="AK364" i="1" s="1"/>
  <c r="AD364" i="1"/>
  <c r="AE364" i="1"/>
  <c r="AF364" i="1"/>
  <c r="W365" i="1"/>
  <c r="AK365" i="1" s="1"/>
  <c r="AD365" i="1"/>
  <c r="AE365" i="1"/>
  <c r="AF365" i="1"/>
  <c r="W366" i="1"/>
  <c r="AJ366" i="1" s="1"/>
  <c r="AD366" i="1"/>
  <c r="AE366" i="1"/>
  <c r="AF366" i="1"/>
  <c r="W367" i="1"/>
  <c r="AJ367" i="1" s="1"/>
  <c r="AD367" i="1"/>
  <c r="AE367" i="1"/>
  <c r="AF367" i="1"/>
  <c r="W368" i="1"/>
  <c r="AJ368" i="1" s="1"/>
  <c r="AD368" i="1"/>
  <c r="AE368" i="1"/>
  <c r="AF368" i="1"/>
  <c r="W369" i="1"/>
  <c r="AJ369" i="1" s="1"/>
  <c r="AD369" i="1"/>
  <c r="AE369" i="1"/>
  <c r="AF369" i="1"/>
  <c r="W370" i="1"/>
  <c r="AJ370" i="1" s="1"/>
  <c r="AD370" i="1"/>
  <c r="AE370" i="1"/>
  <c r="AF370" i="1"/>
  <c r="W371" i="1"/>
  <c r="AJ371" i="1" s="1"/>
  <c r="AD371" i="1"/>
  <c r="AE371" i="1"/>
  <c r="AF371" i="1"/>
  <c r="W372" i="1"/>
  <c r="AK372" i="1" s="1"/>
  <c r="AD372" i="1"/>
  <c r="AE372" i="1"/>
  <c r="AF372" i="1"/>
  <c r="W373" i="1"/>
  <c r="AK373" i="1" s="1"/>
  <c r="AD373" i="1"/>
  <c r="AE373" i="1"/>
  <c r="AF373" i="1"/>
  <c r="W374" i="1"/>
  <c r="AJ374" i="1" s="1"/>
  <c r="AD374" i="1"/>
  <c r="AE374" i="1"/>
  <c r="AF374" i="1"/>
  <c r="W375" i="1"/>
  <c r="AK375" i="1" s="1"/>
  <c r="AD375" i="1"/>
  <c r="AE375" i="1"/>
  <c r="AF375" i="1"/>
  <c r="W376" i="1"/>
  <c r="AJ376" i="1" s="1"/>
  <c r="AD376" i="1"/>
  <c r="AE376" i="1"/>
  <c r="AF376" i="1"/>
  <c r="W377" i="1"/>
  <c r="AK377" i="1" s="1"/>
  <c r="AD377" i="1"/>
  <c r="AE377" i="1"/>
  <c r="AF377" i="1"/>
  <c r="W378" i="1"/>
  <c r="AJ378" i="1" s="1"/>
  <c r="AD378" i="1"/>
  <c r="AE378" i="1"/>
  <c r="AF378" i="1"/>
  <c r="W379" i="1"/>
  <c r="AL379" i="1" s="1"/>
  <c r="AD379" i="1"/>
  <c r="AE379" i="1"/>
  <c r="AF379" i="1"/>
  <c r="W380" i="1"/>
  <c r="AJ380" i="1" s="1"/>
  <c r="AD380" i="1"/>
  <c r="AE380" i="1"/>
  <c r="AF380" i="1"/>
  <c r="W381" i="1"/>
  <c r="AJ381" i="1" s="1"/>
  <c r="AD381" i="1"/>
  <c r="AE381" i="1"/>
  <c r="AF381" i="1"/>
  <c r="W382" i="1"/>
  <c r="AJ382" i="1" s="1"/>
  <c r="AD382" i="1"/>
  <c r="AE382" i="1"/>
  <c r="AF382" i="1"/>
  <c r="W383" i="1"/>
  <c r="AL383" i="1" s="1"/>
  <c r="AD383" i="1"/>
  <c r="AE383" i="1"/>
  <c r="AF383" i="1"/>
  <c r="W384" i="1"/>
  <c r="AK384" i="1" s="1"/>
  <c r="AD384" i="1"/>
  <c r="AE384" i="1"/>
  <c r="AF384" i="1"/>
  <c r="W385" i="1"/>
  <c r="AJ385" i="1" s="1"/>
  <c r="AD385" i="1"/>
  <c r="AE385" i="1"/>
  <c r="AF385" i="1"/>
  <c r="W386" i="1"/>
  <c r="AJ386" i="1" s="1"/>
  <c r="AD386" i="1"/>
  <c r="AE386" i="1"/>
  <c r="AF386" i="1"/>
  <c r="W387" i="1"/>
  <c r="AJ387" i="1" s="1"/>
  <c r="AD387" i="1"/>
  <c r="AE387" i="1"/>
  <c r="AF387" i="1"/>
  <c r="W388" i="1"/>
  <c r="AK388" i="1" s="1"/>
  <c r="AD388" i="1"/>
  <c r="AE388" i="1"/>
  <c r="AF388" i="1"/>
  <c r="W389" i="1"/>
  <c r="AJ389" i="1" s="1"/>
  <c r="AD389" i="1"/>
  <c r="AE389" i="1"/>
  <c r="AF389" i="1"/>
  <c r="W390" i="1"/>
  <c r="AG390" i="1" s="1"/>
  <c r="AD390" i="1"/>
  <c r="AE390" i="1"/>
  <c r="AF390" i="1"/>
  <c r="W391" i="1"/>
  <c r="AL391" i="1" s="1"/>
  <c r="AD391" i="1"/>
  <c r="AE391" i="1"/>
  <c r="AF391" i="1"/>
  <c r="W392" i="1"/>
  <c r="AJ392" i="1" s="1"/>
  <c r="AD392" i="1"/>
  <c r="AE392" i="1"/>
  <c r="AF392" i="1"/>
  <c r="W393" i="1"/>
  <c r="AJ393" i="1" s="1"/>
  <c r="AD393" i="1"/>
  <c r="AE393" i="1"/>
  <c r="AF393" i="1"/>
  <c r="W394" i="1"/>
  <c r="AJ394" i="1" s="1"/>
  <c r="AD394" i="1"/>
  <c r="AE394" i="1"/>
  <c r="AF394" i="1"/>
  <c r="W395" i="1"/>
  <c r="AL395" i="1" s="1"/>
  <c r="AD395" i="1"/>
  <c r="AE395" i="1"/>
  <c r="AF395" i="1"/>
  <c r="W396" i="1"/>
  <c r="AK396" i="1" s="1"/>
  <c r="AD396" i="1"/>
  <c r="AE396" i="1"/>
  <c r="AF396" i="1"/>
  <c r="W397" i="1"/>
  <c r="AL397" i="1" s="1"/>
  <c r="AD397" i="1"/>
  <c r="AE397" i="1"/>
  <c r="AF397" i="1"/>
  <c r="W398" i="1"/>
  <c r="AJ398" i="1" s="1"/>
  <c r="AD398" i="1"/>
  <c r="AE398" i="1"/>
  <c r="AF398" i="1"/>
  <c r="W399" i="1"/>
  <c r="AI399" i="1" s="1"/>
  <c r="AD399" i="1"/>
  <c r="AE399" i="1"/>
  <c r="AF399" i="1"/>
  <c r="W400" i="1"/>
  <c r="AJ400" i="1" s="1"/>
  <c r="AD400" i="1"/>
  <c r="AE400" i="1"/>
  <c r="AF400" i="1"/>
  <c r="W401" i="1"/>
  <c r="AJ401" i="1" s="1"/>
  <c r="AD401" i="1"/>
  <c r="AE401" i="1"/>
  <c r="AF401" i="1"/>
  <c r="W402" i="1"/>
  <c r="AJ402" i="1" s="1"/>
  <c r="AD402" i="1"/>
  <c r="AE402" i="1"/>
  <c r="AF402" i="1"/>
  <c r="W403" i="1"/>
  <c r="AJ403" i="1" s="1"/>
  <c r="AD403" i="1"/>
  <c r="AE403" i="1"/>
  <c r="AF403" i="1"/>
  <c r="W404" i="1"/>
  <c r="AJ404" i="1" s="1"/>
  <c r="AD404" i="1"/>
  <c r="AE404" i="1"/>
  <c r="AF404" i="1"/>
  <c r="W405" i="1"/>
  <c r="AG405" i="1" s="1"/>
  <c r="AD405" i="1"/>
  <c r="AE405" i="1"/>
  <c r="AF405" i="1"/>
  <c r="W406" i="1"/>
  <c r="AJ406" i="1" s="1"/>
  <c r="AD406" i="1"/>
  <c r="AE406" i="1"/>
  <c r="AF406" i="1"/>
  <c r="W407" i="1"/>
  <c r="AJ407" i="1" s="1"/>
  <c r="AD407" i="1"/>
  <c r="AE407" i="1"/>
  <c r="AF407" i="1"/>
  <c r="W408" i="1"/>
  <c r="AK408" i="1" s="1"/>
  <c r="AD408" i="1"/>
  <c r="AE408" i="1"/>
  <c r="AF408" i="1"/>
  <c r="W409" i="1"/>
  <c r="AJ409" i="1" s="1"/>
  <c r="AD409" i="1"/>
  <c r="AE409" i="1"/>
  <c r="AF409" i="1"/>
  <c r="W410" i="1"/>
  <c r="AJ410" i="1" s="1"/>
  <c r="AD410" i="1"/>
  <c r="AE410" i="1"/>
  <c r="AF410" i="1"/>
  <c r="W411" i="1"/>
  <c r="AL411" i="1" s="1"/>
  <c r="AD411" i="1"/>
  <c r="AE411" i="1"/>
  <c r="AF411" i="1"/>
  <c r="W412" i="1"/>
  <c r="AJ412" i="1" s="1"/>
  <c r="AD412" i="1"/>
  <c r="AE412" i="1"/>
  <c r="AF412" i="1"/>
  <c r="W413" i="1"/>
  <c r="AK413" i="1" s="1"/>
  <c r="AD413" i="1"/>
  <c r="AE413" i="1"/>
  <c r="AF413" i="1"/>
  <c r="W414" i="1"/>
  <c r="AJ414" i="1" s="1"/>
  <c r="AD414" i="1"/>
  <c r="AE414" i="1"/>
  <c r="AF414" i="1"/>
  <c r="W415" i="1"/>
  <c r="AJ415" i="1" s="1"/>
  <c r="AD415" i="1"/>
  <c r="AE415" i="1"/>
  <c r="AF415" i="1"/>
  <c r="W416" i="1"/>
  <c r="AK416" i="1" s="1"/>
  <c r="AD416" i="1"/>
  <c r="AE416" i="1"/>
  <c r="AF416" i="1"/>
  <c r="W417" i="1"/>
  <c r="AL417" i="1" s="1"/>
  <c r="AD417" i="1"/>
  <c r="AE417" i="1"/>
  <c r="AF417" i="1"/>
  <c r="W418" i="1"/>
  <c r="AJ418" i="1" s="1"/>
  <c r="AD418" i="1"/>
  <c r="AE418" i="1"/>
  <c r="AF418" i="1"/>
  <c r="W419" i="1"/>
  <c r="AJ419" i="1" s="1"/>
  <c r="AD419" i="1"/>
  <c r="AE419" i="1"/>
  <c r="AF419" i="1"/>
  <c r="W420" i="1"/>
  <c r="AJ420" i="1" s="1"/>
  <c r="AD420" i="1"/>
  <c r="AE420" i="1"/>
  <c r="AF420" i="1"/>
  <c r="W421" i="1"/>
  <c r="AL421" i="1" s="1"/>
  <c r="AD421" i="1"/>
  <c r="AE421" i="1"/>
  <c r="AF421" i="1"/>
  <c r="W422" i="1"/>
  <c r="AJ422" i="1" s="1"/>
  <c r="AD422" i="1"/>
  <c r="AE422" i="1"/>
  <c r="AF422" i="1"/>
  <c r="W423" i="1"/>
  <c r="AL423" i="1" s="1"/>
  <c r="AD423" i="1"/>
  <c r="AE423" i="1"/>
  <c r="AF423" i="1"/>
  <c r="W424" i="1"/>
  <c r="AK424" i="1" s="1"/>
  <c r="AD424" i="1"/>
  <c r="AE424" i="1"/>
  <c r="AF424" i="1"/>
  <c r="W425" i="1"/>
  <c r="AL425" i="1" s="1"/>
  <c r="AD425" i="1"/>
  <c r="AE425" i="1"/>
  <c r="AF425" i="1"/>
  <c r="W426" i="1"/>
  <c r="AH426" i="1" s="1"/>
  <c r="AD426" i="1"/>
  <c r="AE426" i="1"/>
  <c r="AF426" i="1"/>
  <c r="W427" i="1"/>
  <c r="AJ427" i="1" s="1"/>
  <c r="AD427" i="1"/>
  <c r="AE427" i="1"/>
  <c r="AF427" i="1"/>
  <c r="W428" i="1"/>
  <c r="AK428" i="1" s="1"/>
  <c r="AD428" i="1"/>
  <c r="AE428" i="1"/>
  <c r="AF428" i="1"/>
  <c r="W429" i="1"/>
  <c r="AJ429" i="1" s="1"/>
  <c r="AD429" i="1"/>
  <c r="AE429" i="1"/>
  <c r="AF429" i="1"/>
  <c r="W430" i="1"/>
  <c r="AJ430" i="1" s="1"/>
  <c r="AD430" i="1"/>
  <c r="AE430" i="1"/>
  <c r="AF430" i="1"/>
  <c r="W431" i="1"/>
  <c r="AJ431" i="1" s="1"/>
  <c r="AD431" i="1"/>
  <c r="AE431" i="1"/>
  <c r="AF431" i="1"/>
  <c r="W432" i="1"/>
  <c r="AK432" i="1" s="1"/>
  <c r="AD432" i="1"/>
  <c r="AE432" i="1"/>
  <c r="AF432" i="1"/>
  <c r="W433" i="1"/>
  <c r="AL433" i="1" s="1"/>
  <c r="AD433" i="1"/>
  <c r="AE433" i="1"/>
  <c r="AF433" i="1"/>
  <c r="W434" i="1"/>
  <c r="AJ434" i="1" s="1"/>
  <c r="AD434" i="1"/>
  <c r="AE434" i="1"/>
  <c r="AF434" i="1"/>
  <c r="W435" i="1"/>
  <c r="AJ435" i="1" s="1"/>
  <c r="AD435" i="1"/>
  <c r="AE435" i="1"/>
  <c r="AF435" i="1"/>
  <c r="W436" i="1"/>
  <c r="AJ436" i="1" s="1"/>
  <c r="AD436" i="1"/>
  <c r="AE436" i="1"/>
  <c r="AF436" i="1"/>
  <c r="W437" i="1"/>
  <c r="AL437" i="1" s="1"/>
  <c r="AD437" i="1"/>
  <c r="AE437" i="1"/>
  <c r="AF437" i="1"/>
  <c r="W438" i="1"/>
  <c r="AJ438" i="1" s="1"/>
  <c r="AD438" i="1"/>
  <c r="AE438" i="1"/>
  <c r="AF438" i="1"/>
  <c r="W439" i="1"/>
  <c r="AK439" i="1" s="1"/>
  <c r="AD439" i="1"/>
  <c r="AE439" i="1"/>
  <c r="AF439" i="1"/>
  <c r="W440" i="1"/>
  <c r="AK440" i="1" s="1"/>
  <c r="AD440" i="1"/>
  <c r="AE440" i="1"/>
  <c r="AF440" i="1"/>
  <c r="W441" i="1"/>
  <c r="AI441" i="1" s="1"/>
  <c r="AD441" i="1"/>
  <c r="AE441" i="1"/>
  <c r="AF441" i="1"/>
  <c r="W442" i="1"/>
  <c r="AJ442" i="1" s="1"/>
  <c r="AD442" i="1"/>
  <c r="AE442" i="1"/>
  <c r="AF442" i="1"/>
  <c r="W443" i="1"/>
  <c r="AJ443" i="1" s="1"/>
  <c r="AD443" i="1"/>
  <c r="AE443" i="1"/>
  <c r="AF443" i="1"/>
  <c r="W444" i="1"/>
  <c r="AJ444" i="1" s="1"/>
  <c r="AD444" i="1"/>
  <c r="AE444" i="1"/>
  <c r="AF444" i="1"/>
  <c r="W445" i="1"/>
  <c r="AL445" i="1" s="1"/>
  <c r="AD445" i="1"/>
  <c r="AE445" i="1"/>
  <c r="AF445" i="1"/>
  <c r="W446" i="1"/>
  <c r="AJ446" i="1" s="1"/>
  <c r="AD446" i="1"/>
  <c r="AE446" i="1"/>
  <c r="AF446" i="1"/>
  <c r="W447" i="1"/>
  <c r="AJ447" i="1" s="1"/>
  <c r="AD447" i="1"/>
  <c r="AE447" i="1"/>
  <c r="AF447" i="1"/>
  <c r="W448" i="1"/>
  <c r="AK448" i="1" s="1"/>
  <c r="AD448" i="1"/>
  <c r="AE448" i="1"/>
  <c r="AF448" i="1"/>
  <c r="W449" i="1"/>
  <c r="AJ449" i="1" s="1"/>
  <c r="AD449" i="1"/>
  <c r="AE449" i="1"/>
  <c r="AF449" i="1"/>
  <c r="W450" i="1"/>
  <c r="AJ450" i="1" s="1"/>
  <c r="AD450" i="1"/>
  <c r="AE450" i="1"/>
  <c r="AF450" i="1"/>
  <c r="W451" i="1"/>
  <c r="AJ451" i="1" s="1"/>
  <c r="AD451" i="1"/>
  <c r="AE451" i="1"/>
  <c r="AF451" i="1"/>
  <c r="W452" i="1"/>
  <c r="AJ452" i="1" s="1"/>
  <c r="AD452" i="1"/>
  <c r="AE452" i="1"/>
  <c r="AF452" i="1"/>
  <c r="W453" i="1"/>
  <c r="AK453" i="1" s="1"/>
  <c r="AD453" i="1"/>
  <c r="AE453" i="1"/>
  <c r="AF453" i="1"/>
  <c r="W454" i="1"/>
  <c r="AJ454" i="1" s="1"/>
  <c r="AD454" i="1"/>
  <c r="AE454" i="1"/>
  <c r="AF454" i="1"/>
  <c r="W455" i="1"/>
  <c r="AJ455" i="1" s="1"/>
  <c r="AD455" i="1"/>
  <c r="AE455" i="1"/>
  <c r="AF455" i="1"/>
  <c r="W456" i="1"/>
  <c r="AJ456" i="1" s="1"/>
  <c r="AD456" i="1"/>
  <c r="AE456" i="1"/>
  <c r="AF456" i="1"/>
  <c r="W457" i="1"/>
  <c r="AJ457" i="1" s="1"/>
  <c r="AD457" i="1"/>
  <c r="AE457" i="1"/>
  <c r="AF457" i="1"/>
  <c r="W458" i="1"/>
  <c r="AJ458" i="1" s="1"/>
  <c r="AD458" i="1"/>
  <c r="AE458" i="1"/>
  <c r="AF458" i="1"/>
  <c r="W459" i="1"/>
  <c r="AJ459" i="1" s="1"/>
  <c r="AD459" i="1"/>
  <c r="AE459" i="1"/>
  <c r="AF459" i="1"/>
  <c r="W460" i="1"/>
  <c r="AJ460" i="1" s="1"/>
  <c r="AD460" i="1"/>
  <c r="AE460" i="1"/>
  <c r="AF460" i="1"/>
  <c r="W461" i="1"/>
  <c r="AJ461" i="1" s="1"/>
  <c r="AD461" i="1"/>
  <c r="AE461" i="1"/>
  <c r="AF461" i="1"/>
  <c r="W462" i="1"/>
  <c r="AJ462" i="1" s="1"/>
  <c r="AD462" i="1"/>
  <c r="AE462" i="1"/>
  <c r="AF462" i="1"/>
  <c r="W463" i="1"/>
  <c r="AA463" i="1" s="1"/>
  <c r="AD463" i="1"/>
  <c r="AE463" i="1"/>
  <c r="AF463" i="1"/>
  <c r="W464" i="1"/>
  <c r="AJ464" i="1" s="1"/>
  <c r="AD464" i="1"/>
  <c r="AE464" i="1"/>
  <c r="AF464" i="1"/>
  <c r="W465" i="1"/>
  <c r="AJ465" i="1" s="1"/>
  <c r="AD465" i="1"/>
  <c r="AE465" i="1"/>
  <c r="AF465" i="1"/>
  <c r="W466" i="1"/>
  <c r="AJ466" i="1" s="1"/>
  <c r="AD466" i="1"/>
  <c r="AE466" i="1"/>
  <c r="AF466" i="1"/>
  <c r="W467" i="1"/>
  <c r="AJ467" i="1" s="1"/>
  <c r="AD467" i="1"/>
  <c r="AE467" i="1"/>
  <c r="AF467" i="1"/>
  <c r="W468" i="1"/>
  <c r="AJ468" i="1" s="1"/>
  <c r="AD468" i="1"/>
  <c r="AE468" i="1"/>
  <c r="AF468" i="1"/>
  <c r="W469" i="1"/>
  <c r="AJ469" i="1" s="1"/>
  <c r="AD469" i="1"/>
  <c r="AE469" i="1"/>
  <c r="AF469" i="1"/>
  <c r="W470" i="1"/>
  <c r="AJ470" i="1" s="1"/>
  <c r="AD470" i="1"/>
  <c r="AE470" i="1"/>
  <c r="AF470" i="1"/>
  <c r="W471" i="1"/>
  <c r="AJ471" i="1" s="1"/>
  <c r="AD471" i="1"/>
  <c r="AE471" i="1"/>
  <c r="AF471" i="1"/>
  <c r="W472" i="1"/>
  <c r="AK472" i="1" s="1"/>
  <c r="AD472" i="1"/>
  <c r="AE472" i="1"/>
  <c r="AF472" i="1"/>
  <c r="W473" i="1"/>
  <c r="AJ473" i="1" s="1"/>
  <c r="AD473" i="1"/>
  <c r="AE473" i="1"/>
  <c r="AF473" i="1"/>
  <c r="W474" i="1"/>
  <c r="AJ474" i="1" s="1"/>
  <c r="AD474" i="1"/>
  <c r="AE474" i="1"/>
  <c r="AF474" i="1"/>
  <c r="W475" i="1"/>
  <c r="AK475" i="1" s="1"/>
  <c r="AD475" i="1"/>
  <c r="AE475" i="1"/>
  <c r="AF475" i="1"/>
  <c r="W476" i="1"/>
  <c r="AK476" i="1" s="1"/>
  <c r="AD476" i="1"/>
  <c r="AE476" i="1"/>
  <c r="AF476" i="1"/>
  <c r="W477" i="1"/>
  <c r="AJ477" i="1" s="1"/>
  <c r="AD477" i="1"/>
  <c r="AE477" i="1"/>
  <c r="AF477" i="1"/>
  <c r="W478" i="1"/>
  <c r="AJ478" i="1" s="1"/>
  <c r="AD478" i="1"/>
  <c r="AE478" i="1"/>
  <c r="AF478" i="1"/>
  <c r="W479" i="1"/>
  <c r="AJ479" i="1" s="1"/>
  <c r="AD479" i="1"/>
  <c r="AE479" i="1"/>
  <c r="AF479" i="1"/>
  <c r="W480" i="1"/>
  <c r="AK480" i="1" s="1"/>
  <c r="AD480" i="1"/>
  <c r="AE480" i="1"/>
  <c r="AF480" i="1"/>
  <c r="W481" i="1"/>
  <c r="AJ481" i="1" s="1"/>
  <c r="AD481" i="1"/>
  <c r="AE481" i="1"/>
  <c r="AF481" i="1"/>
  <c r="W482" i="1"/>
  <c r="AJ482" i="1" s="1"/>
  <c r="AD482" i="1"/>
  <c r="AE482" i="1"/>
  <c r="AF482" i="1"/>
  <c r="W483" i="1"/>
  <c r="AJ483" i="1" s="1"/>
  <c r="AD483" i="1"/>
  <c r="AE483" i="1"/>
  <c r="AF483" i="1"/>
  <c r="W484" i="1"/>
  <c r="AJ484" i="1" s="1"/>
  <c r="AD484" i="1"/>
  <c r="AE484" i="1"/>
  <c r="AF484" i="1"/>
  <c r="W485" i="1"/>
  <c r="AG485" i="1" s="1"/>
  <c r="AD485" i="1"/>
  <c r="AE485" i="1"/>
  <c r="AF485" i="1"/>
  <c r="W486" i="1"/>
  <c r="AJ486" i="1" s="1"/>
  <c r="AD486" i="1"/>
  <c r="AE486" i="1"/>
  <c r="AF486" i="1"/>
  <c r="W487" i="1"/>
  <c r="AJ487" i="1" s="1"/>
  <c r="AD487" i="1"/>
  <c r="AE487" i="1"/>
  <c r="AF487" i="1"/>
  <c r="W488" i="1"/>
  <c r="AJ488" i="1" s="1"/>
  <c r="AD488" i="1"/>
  <c r="AE488" i="1"/>
  <c r="AF488" i="1"/>
  <c r="W489" i="1"/>
  <c r="AK489" i="1" s="1"/>
  <c r="AD489" i="1"/>
  <c r="AE489" i="1"/>
  <c r="AF489" i="1"/>
  <c r="W490" i="1"/>
  <c r="AJ490" i="1" s="1"/>
  <c r="AD490" i="1"/>
  <c r="AE490" i="1"/>
  <c r="AF490" i="1"/>
  <c r="W491" i="1"/>
  <c r="AJ491" i="1" s="1"/>
  <c r="AD491" i="1"/>
  <c r="AE491" i="1"/>
  <c r="AF491" i="1"/>
  <c r="W492" i="1"/>
  <c r="AK492" i="1" s="1"/>
  <c r="AD492" i="1"/>
  <c r="AE492" i="1"/>
  <c r="AF492" i="1"/>
  <c r="W493" i="1"/>
  <c r="AJ493" i="1" s="1"/>
  <c r="AD493" i="1"/>
  <c r="AE493" i="1"/>
  <c r="AF493" i="1"/>
  <c r="W494" i="1"/>
  <c r="AJ494" i="1" s="1"/>
  <c r="AD494" i="1"/>
  <c r="AE494" i="1"/>
  <c r="AF494" i="1"/>
  <c r="W495" i="1"/>
  <c r="AJ495" i="1" s="1"/>
  <c r="AD495" i="1"/>
  <c r="AE495" i="1"/>
  <c r="AF495" i="1"/>
  <c r="W496" i="1"/>
  <c r="AJ496" i="1" s="1"/>
  <c r="AD496" i="1"/>
  <c r="AE496" i="1"/>
  <c r="AF496" i="1"/>
  <c r="W497" i="1"/>
  <c r="AJ497" i="1" s="1"/>
  <c r="AD497" i="1"/>
  <c r="AE497" i="1"/>
  <c r="AF497" i="1"/>
  <c r="W498" i="1"/>
  <c r="AJ498" i="1" s="1"/>
  <c r="AD498" i="1"/>
  <c r="AE498" i="1"/>
  <c r="AF498" i="1"/>
  <c r="W499" i="1"/>
  <c r="AJ499" i="1" s="1"/>
  <c r="AD499" i="1"/>
  <c r="AE499" i="1"/>
  <c r="AF499" i="1"/>
  <c r="W500" i="1"/>
  <c r="AJ500" i="1" s="1"/>
  <c r="AD500" i="1"/>
  <c r="AE500" i="1"/>
  <c r="AF500" i="1"/>
  <c r="W501" i="1"/>
  <c r="AJ501" i="1" s="1"/>
  <c r="AD501" i="1"/>
  <c r="AE501" i="1"/>
  <c r="AF501" i="1"/>
  <c r="W502" i="1"/>
  <c r="AJ502" i="1" s="1"/>
  <c r="AD502" i="1"/>
  <c r="AE502" i="1"/>
  <c r="AF502" i="1"/>
  <c r="W503" i="1"/>
  <c r="AK503" i="1" s="1"/>
  <c r="AD503" i="1"/>
  <c r="AE503" i="1"/>
  <c r="AF503" i="1"/>
  <c r="W504" i="1"/>
  <c r="AK504" i="1" s="1"/>
  <c r="AD504" i="1"/>
  <c r="AE504" i="1"/>
  <c r="AF504" i="1"/>
  <c r="W505" i="1"/>
  <c r="AG505" i="1" s="1"/>
  <c r="AD505" i="1"/>
  <c r="AE505" i="1"/>
  <c r="AF505" i="1"/>
  <c r="W506" i="1"/>
  <c r="AJ506" i="1" s="1"/>
  <c r="AD506" i="1"/>
  <c r="AE506" i="1"/>
  <c r="AF506" i="1"/>
  <c r="W507" i="1"/>
  <c r="AK507" i="1" s="1"/>
  <c r="AD507" i="1"/>
  <c r="AE507" i="1"/>
  <c r="AF507" i="1"/>
  <c r="W508" i="1"/>
  <c r="AJ508" i="1" s="1"/>
  <c r="AD508" i="1"/>
  <c r="AE508" i="1"/>
  <c r="AF508" i="1"/>
  <c r="W509" i="1"/>
  <c r="AJ509" i="1" s="1"/>
  <c r="AD509" i="1"/>
  <c r="AE509" i="1"/>
  <c r="AF509" i="1"/>
  <c r="W510" i="1"/>
  <c r="AJ510" i="1" s="1"/>
  <c r="AD510" i="1"/>
  <c r="AE510" i="1"/>
  <c r="AF510" i="1"/>
  <c r="W511" i="1"/>
  <c r="AJ511" i="1" s="1"/>
  <c r="AD511" i="1"/>
  <c r="AE511" i="1"/>
  <c r="AF511" i="1"/>
  <c r="W512" i="1"/>
  <c r="AK512" i="1" s="1"/>
  <c r="AD512" i="1"/>
  <c r="AE512" i="1"/>
  <c r="AF512" i="1"/>
  <c r="W513" i="1"/>
  <c r="AJ513" i="1" s="1"/>
  <c r="AD513" i="1"/>
  <c r="AE513" i="1"/>
  <c r="AF513" i="1"/>
  <c r="W514" i="1"/>
  <c r="AJ514" i="1" s="1"/>
  <c r="AD514" i="1"/>
  <c r="AE514" i="1"/>
  <c r="AF514" i="1"/>
  <c r="W16" i="1"/>
  <c r="AJ16" i="1" s="1"/>
  <c r="AD16" i="1"/>
  <c r="AE16" i="1"/>
  <c r="AF16" i="1"/>
  <c r="Q3" i="1"/>
  <c r="AD15" i="1"/>
  <c r="AE15" i="1"/>
  <c r="I10" i="1"/>
  <c r="G10" i="1"/>
  <c r="I8" i="1"/>
  <c r="G8" i="1"/>
  <c r="A8" i="1"/>
  <c r="U3" i="1"/>
  <c r="N3" i="1"/>
  <c r="C3" i="1"/>
  <c r="B3" i="1"/>
  <c r="H10" i="1"/>
  <c r="H8" i="1"/>
  <c r="I3" i="1"/>
  <c r="P3" i="1"/>
  <c r="AD59" i="1"/>
  <c r="S8" i="1"/>
  <c r="R3" i="1"/>
  <c r="Z43" i="1"/>
  <c r="Z75" i="1"/>
  <c r="Z107" i="1"/>
  <c r="Z139" i="1"/>
  <c r="Z171" i="1"/>
  <c r="Z203" i="1"/>
  <c r="Z235" i="1"/>
  <c r="Z267" i="1"/>
  <c r="Z299" i="1"/>
  <c r="Z331" i="1"/>
  <c r="Z363" i="1"/>
  <c r="Z395" i="1"/>
  <c r="Z427" i="1"/>
  <c r="Z459" i="1"/>
  <c r="Z491" i="1"/>
  <c r="Y46" i="1"/>
  <c r="Y78" i="1"/>
  <c r="Y110" i="1"/>
  <c r="Y142" i="1"/>
  <c r="Y174" i="1"/>
  <c r="Y206" i="1"/>
  <c r="Y238" i="1"/>
  <c r="Y270" i="1"/>
  <c r="Y302" i="1"/>
  <c r="Y334" i="1"/>
  <c r="Y366" i="1"/>
  <c r="Y398" i="1"/>
  <c r="Y430" i="1"/>
  <c r="Y462" i="1"/>
  <c r="Z26" i="1"/>
  <c r="Z58" i="1"/>
  <c r="Z90" i="1"/>
  <c r="Z122" i="1"/>
  <c r="Z154" i="1"/>
  <c r="Z186" i="1"/>
  <c r="Z218" i="1"/>
  <c r="Z250" i="1"/>
  <c r="Z282" i="1"/>
  <c r="Z314" i="1"/>
  <c r="Z346" i="1"/>
  <c r="Z378" i="1"/>
  <c r="Z410" i="1"/>
  <c r="Z442" i="1"/>
  <c r="Z474" i="1"/>
  <c r="Y41" i="1"/>
  <c r="Y73" i="1"/>
  <c r="Y105" i="1"/>
  <c r="Y137" i="1"/>
  <c r="Y169" i="1"/>
  <c r="Y201" i="1"/>
  <c r="Y233" i="1"/>
  <c r="Y265" i="1"/>
  <c r="Y297" i="1"/>
  <c r="Y329" i="1"/>
  <c r="Y361" i="1"/>
  <c r="Y393" i="1"/>
  <c r="Y425" i="1"/>
  <c r="Y457" i="1"/>
  <c r="Z29" i="1"/>
  <c r="Z61" i="1"/>
  <c r="Z93" i="1"/>
  <c r="Z125" i="1"/>
  <c r="Z157" i="1"/>
  <c r="Z189" i="1"/>
  <c r="Z221" i="1"/>
  <c r="Z253" i="1"/>
  <c r="Z285" i="1"/>
  <c r="Z317" i="1"/>
  <c r="Z349" i="1"/>
  <c r="Z381" i="1"/>
  <c r="Z413" i="1"/>
  <c r="Z445" i="1"/>
  <c r="Y48" i="1"/>
  <c r="Y80" i="1"/>
  <c r="Y112" i="1"/>
  <c r="Y144" i="1"/>
  <c r="Y176" i="1"/>
  <c r="Y208" i="1"/>
  <c r="Y240" i="1"/>
  <c r="Y272" i="1"/>
  <c r="Y304" i="1"/>
  <c r="Y336" i="1"/>
  <c r="Y368" i="1"/>
  <c r="Y400" i="1"/>
  <c r="Y432" i="1"/>
  <c r="Y464" i="1"/>
  <c r="Y496" i="1"/>
  <c r="Y35" i="1"/>
  <c r="Y67" i="1"/>
  <c r="Y99" i="1"/>
  <c r="Y131" i="1"/>
  <c r="Y163" i="1"/>
  <c r="Y195" i="1"/>
  <c r="Y227" i="1"/>
  <c r="Y259" i="1"/>
  <c r="Y291" i="1"/>
  <c r="Y323" i="1"/>
  <c r="Y355" i="1"/>
  <c r="Y387" i="1"/>
  <c r="Y419" i="1"/>
  <c r="Y451" i="1"/>
  <c r="Y483" i="1"/>
  <c r="Y16" i="1"/>
  <c r="Z208" i="1"/>
  <c r="Z512" i="1"/>
  <c r="Z244" i="1"/>
  <c r="Z465" i="1"/>
  <c r="Z15" i="1"/>
  <c r="Z152" i="1"/>
  <c r="Z408" i="1"/>
  <c r="Y15" i="1"/>
  <c r="Z188" i="1"/>
  <c r="Z444" i="1"/>
  <c r="Z504" i="1"/>
  <c r="Z96" i="1"/>
  <c r="Z352" i="1"/>
  <c r="Z514" i="1"/>
  <c r="Z132" i="1"/>
  <c r="Z388" i="1"/>
  <c r="Z510" i="1"/>
  <c r="Z428" i="1"/>
  <c r="Z200" i="1"/>
  <c r="Z452" i="1"/>
  <c r="Y509" i="1"/>
  <c r="AE59" i="1"/>
  <c r="O8" i="1"/>
  <c r="O3" i="1"/>
  <c r="Z47" i="1"/>
  <c r="Z79" i="1"/>
  <c r="Z111" i="1"/>
  <c r="Z143" i="1"/>
  <c r="Z175" i="1"/>
  <c r="Z207" i="1"/>
  <c r="Z239" i="1"/>
  <c r="Z271" i="1"/>
  <c r="Z303" i="1"/>
  <c r="Z335" i="1"/>
  <c r="Z367" i="1"/>
  <c r="Z399" i="1"/>
  <c r="Z431" i="1"/>
  <c r="Z463" i="1"/>
  <c r="Y18" i="1"/>
  <c r="Y50" i="1"/>
  <c r="Y82" i="1"/>
  <c r="Y114" i="1"/>
  <c r="Y146" i="1"/>
  <c r="Y178" i="1"/>
  <c r="Y210" i="1"/>
  <c r="Y242" i="1"/>
  <c r="Y274" i="1"/>
  <c r="Y306" i="1"/>
  <c r="Y338" i="1"/>
  <c r="Y370" i="1"/>
  <c r="Y402" i="1"/>
  <c r="Y434" i="1"/>
  <c r="Y466" i="1"/>
  <c r="Z30" i="1"/>
  <c r="Z62" i="1"/>
  <c r="Z94" i="1"/>
  <c r="Z126" i="1"/>
  <c r="Z158" i="1"/>
  <c r="Z190" i="1"/>
  <c r="Z222" i="1"/>
  <c r="Z254" i="1"/>
  <c r="Z286" i="1"/>
  <c r="Z318" i="1"/>
  <c r="Z350" i="1"/>
  <c r="Z382" i="1"/>
  <c r="Z414" i="1"/>
  <c r="Z446" i="1"/>
  <c r="Z478" i="1"/>
  <c r="Y45" i="1"/>
  <c r="Y77" i="1"/>
  <c r="Y109" i="1"/>
  <c r="Y141" i="1"/>
  <c r="Y173" i="1"/>
  <c r="Y205" i="1"/>
  <c r="Y237" i="1"/>
  <c r="Y269" i="1"/>
  <c r="Y301" i="1"/>
  <c r="Y333" i="1"/>
  <c r="Y365" i="1"/>
  <c r="Y397" i="1"/>
  <c r="Y429" i="1"/>
  <c r="Y461" i="1"/>
  <c r="Z33" i="1"/>
  <c r="Z65" i="1"/>
  <c r="Z97" i="1"/>
  <c r="Z129" i="1"/>
  <c r="Z161" i="1"/>
  <c r="Z193" i="1"/>
  <c r="Z225" i="1"/>
  <c r="Z257" i="1"/>
  <c r="Z289" i="1"/>
  <c r="Z321" i="1"/>
  <c r="Z353" i="1"/>
  <c r="Z385" i="1"/>
  <c r="Z417" i="1"/>
  <c r="Y20" i="1"/>
  <c r="Y52" i="1"/>
  <c r="Y84" i="1"/>
  <c r="Y116" i="1"/>
  <c r="Y148" i="1"/>
  <c r="Y180" i="1"/>
  <c r="Y212" i="1"/>
  <c r="Y244" i="1"/>
  <c r="Y276" i="1"/>
  <c r="Y308" i="1"/>
  <c r="Y340" i="1"/>
  <c r="Y372" i="1"/>
  <c r="Y404" i="1"/>
  <c r="Y436" i="1"/>
  <c r="Y468" i="1"/>
  <c r="Y500" i="1"/>
  <c r="Y39" i="1"/>
  <c r="Y71" i="1"/>
  <c r="Y103" i="1"/>
  <c r="Y135" i="1"/>
  <c r="Y167" i="1"/>
  <c r="Y199" i="1"/>
  <c r="Y231" i="1"/>
  <c r="Y263" i="1"/>
  <c r="Y295" i="1"/>
  <c r="Y327" i="1"/>
  <c r="Y359" i="1"/>
  <c r="Y391" i="1"/>
  <c r="Y423" i="1"/>
  <c r="Y455" i="1"/>
  <c r="Y487" i="1"/>
  <c r="Z495" i="1"/>
  <c r="Z240" i="1"/>
  <c r="Z20" i="1"/>
  <c r="AD70" i="1"/>
  <c r="Z23" i="1"/>
  <c r="Z55" i="1"/>
  <c r="Z87" i="1"/>
  <c r="Z119" i="1"/>
  <c r="Z151" i="1"/>
  <c r="Z183" i="1"/>
  <c r="Z215" i="1"/>
  <c r="Z247" i="1"/>
  <c r="Z279" i="1"/>
  <c r="Z311" i="1"/>
  <c r="Z343" i="1"/>
  <c r="Z375" i="1"/>
  <c r="Z407" i="1"/>
  <c r="Z439" i="1"/>
  <c r="Z471" i="1"/>
  <c r="Y26" i="1"/>
  <c r="Y58" i="1"/>
  <c r="Y90" i="1"/>
  <c r="Y122" i="1"/>
  <c r="Y154" i="1"/>
  <c r="Y186" i="1"/>
  <c r="Y218" i="1"/>
  <c r="Y250" i="1"/>
  <c r="Y282" i="1"/>
  <c r="Y314" i="1"/>
  <c r="Y346" i="1"/>
  <c r="Y378" i="1"/>
  <c r="Y410" i="1"/>
  <c r="Y442" i="1"/>
  <c r="Y474" i="1"/>
  <c r="Z38" i="1"/>
  <c r="Z70" i="1"/>
  <c r="Z102" i="1"/>
  <c r="Z134" i="1"/>
  <c r="Z166" i="1"/>
  <c r="Z198" i="1"/>
  <c r="Z230" i="1"/>
  <c r="Z262" i="1"/>
  <c r="Z294" i="1"/>
  <c r="Z326" i="1"/>
  <c r="Z358" i="1"/>
  <c r="Z390" i="1"/>
  <c r="Z422" i="1"/>
  <c r="Z454" i="1"/>
  <c r="Y21" i="1"/>
  <c r="Y53" i="1"/>
  <c r="Y85" i="1"/>
  <c r="Y117" i="1"/>
  <c r="Y149" i="1"/>
  <c r="Y181" i="1"/>
  <c r="Y213" i="1"/>
  <c r="Y245" i="1"/>
  <c r="Y277" i="1"/>
  <c r="Y309" i="1"/>
  <c r="Y341" i="1"/>
  <c r="Y373" i="1"/>
  <c r="Y405" i="1"/>
  <c r="Y437" i="1"/>
  <c r="Y469" i="1"/>
  <c r="Z41" i="1"/>
  <c r="Z73" i="1"/>
  <c r="Z105" i="1"/>
  <c r="Z137" i="1"/>
  <c r="Z169" i="1"/>
  <c r="Z201" i="1"/>
  <c r="Z233" i="1"/>
  <c r="Z265" i="1"/>
  <c r="Z297" i="1"/>
  <c r="Z329" i="1"/>
  <c r="Z361" i="1"/>
  <c r="Z393" i="1"/>
  <c r="Z425" i="1"/>
  <c r="Y28" i="1"/>
  <c r="Y60" i="1"/>
  <c r="Y92" i="1"/>
  <c r="Y124" i="1"/>
  <c r="Y156" i="1"/>
  <c r="Y188" i="1"/>
  <c r="Y220" i="1"/>
  <c r="Y252" i="1"/>
  <c r="Y284" i="1"/>
  <c r="Y316" i="1"/>
  <c r="Y348" i="1"/>
  <c r="Y380" i="1"/>
  <c r="Y412" i="1"/>
  <c r="Y444" i="1"/>
  <c r="Y476" i="1"/>
  <c r="Y508" i="1"/>
  <c r="Y47" i="1"/>
  <c r="Y79" i="1"/>
  <c r="Y111" i="1"/>
  <c r="Y143" i="1"/>
  <c r="Y175" i="1"/>
  <c r="Y207" i="1"/>
  <c r="Y239" i="1"/>
  <c r="Y271" i="1"/>
  <c r="Y303" i="1"/>
  <c r="Y335" i="1"/>
  <c r="Y367" i="1"/>
  <c r="Y399" i="1"/>
  <c r="Y431" i="1"/>
  <c r="Y463" i="1"/>
  <c r="Y495" i="1"/>
  <c r="Z48" i="1"/>
  <c r="Z304" i="1"/>
  <c r="Z84" i="1"/>
  <c r="Z340" i="1"/>
  <c r="Z493" i="1"/>
  <c r="Y505" i="1"/>
  <c r="Z248" i="1"/>
  <c r="Z476" i="1"/>
  <c r="Z28" i="1"/>
  <c r="Z284" i="1"/>
  <c r="Z481" i="1"/>
  <c r="Y510" i="1"/>
  <c r="Z192" i="1"/>
  <c r="Z448" i="1"/>
  <c r="Z472" i="1"/>
  <c r="Z228" i="1"/>
  <c r="Z473" i="1"/>
  <c r="Z108" i="1"/>
  <c r="Z40" i="1"/>
  <c r="Z296" i="1"/>
  <c r="Z488" i="1"/>
  <c r="Z27" i="1"/>
  <c r="Z59" i="1"/>
  <c r="Z91" i="1"/>
  <c r="Z123" i="1"/>
  <c r="Z155" i="1"/>
  <c r="Z187" i="1"/>
  <c r="Z219" i="1"/>
  <c r="Z251" i="1"/>
  <c r="Z283" i="1"/>
  <c r="Z315" i="1"/>
  <c r="Z347" i="1"/>
  <c r="Z379" i="1"/>
  <c r="Z411" i="1"/>
  <c r="Z443" i="1"/>
  <c r="Z475" i="1"/>
  <c r="Y30" i="1"/>
  <c r="Y62" i="1"/>
  <c r="Y94" i="1"/>
  <c r="Y126" i="1"/>
  <c r="Y158" i="1"/>
  <c r="Y190" i="1"/>
  <c r="Y222" i="1"/>
  <c r="Y254" i="1"/>
  <c r="Y286" i="1"/>
  <c r="Y318" i="1"/>
  <c r="Y350" i="1"/>
  <c r="Y382" i="1"/>
  <c r="Y414" i="1"/>
  <c r="Y446" i="1"/>
  <c r="Y478" i="1"/>
  <c r="Z42" i="1"/>
  <c r="Z74" i="1"/>
  <c r="Z106" i="1"/>
  <c r="Z138" i="1"/>
  <c r="Z170" i="1"/>
  <c r="Z202" i="1"/>
  <c r="Z234" i="1"/>
  <c r="Z266" i="1"/>
  <c r="Z298" i="1"/>
  <c r="Z330" i="1"/>
  <c r="Z362" i="1"/>
  <c r="Z394" i="1"/>
  <c r="Z426" i="1"/>
  <c r="Z458" i="1"/>
  <c r="Y25" i="1"/>
  <c r="Y57" i="1"/>
  <c r="Y89" i="1"/>
  <c r="Y121" i="1"/>
  <c r="Y153" i="1"/>
  <c r="Y185" i="1"/>
  <c r="Y217" i="1"/>
  <c r="Y249" i="1"/>
  <c r="Y281" i="1"/>
  <c r="Y313" i="1"/>
  <c r="Y345" i="1"/>
  <c r="Y377" i="1"/>
  <c r="Y409" i="1"/>
  <c r="Y441" i="1"/>
  <c r="Y473" i="1"/>
  <c r="Z45" i="1"/>
  <c r="Z77" i="1"/>
  <c r="Z109" i="1"/>
  <c r="Z141" i="1"/>
  <c r="Z173" i="1"/>
  <c r="Z205" i="1"/>
  <c r="Z237" i="1"/>
  <c r="Z269" i="1"/>
  <c r="Z301" i="1"/>
  <c r="Z333" i="1"/>
  <c r="Z365" i="1"/>
  <c r="Z397" i="1"/>
  <c r="Z429" i="1"/>
  <c r="Y32" i="1"/>
  <c r="Y64" i="1"/>
  <c r="Y96" i="1"/>
  <c r="Y128" i="1"/>
  <c r="Y160" i="1"/>
  <c r="Y192" i="1"/>
  <c r="Y224" i="1"/>
  <c r="Y256" i="1"/>
  <c r="Y288" i="1"/>
  <c r="Y320" i="1"/>
  <c r="Y352" i="1"/>
  <c r="Y384" i="1"/>
  <c r="Y416" i="1"/>
  <c r="Y448" i="1"/>
  <c r="Y480" i="1"/>
  <c r="Y19" i="1"/>
  <c r="Y51" i="1"/>
  <c r="Y83" i="1"/>
  <c r="Y115" i="1"/>
  <c r="Y147" i="1"/>
  <c r="Y179" i="1"/>
  <c r="Y211" i="1"/>
  <c r="Y243" i="1"/>
  <c r="Y275" i="1"/>
  <c r="Y307" i="1"/>
  <c r="Y339" i="1"/>
  <c r="Y371" i="1"/>
  <c r="Y403" i="1"/>
  <c r="Y435" i="1"/>
  <c r="Y467" i="1"/>
  <c r="Y499" i="1"/>
  <c r="Z80" i="1"/>
  <c r="Z336" i="1"/>
  <c r="Z116" i="1"/>
  <c r="Z372" i="1"/>
  <c r="Z502" i="1"/>
  <c r="Z24" i="1"/>
  <c r="Z280" i="1"/>
  <c r="Y481" i="1"/>
  <c r="Z60" i="1"/>
  <c r="Z316" i="1"/>
  <c r="Y489" i="1"/>
  <c r="Z506" i="1"/>
  <c r="Z224" i="1"/>
  <c r="Z464" i="1"/>
  <c r="Y493" i="1"/>
  <c r="Z260" i="1"/>
  <c r="Z480" i="1"/>
  <c r="Z204" i="1"/>
  <c r="Z72" i="1"/>
  <c r="Z328" i="1"/>
  <c r="Y494" i="1"/>
  <c r="AG40" i="1"/>
  <c r="G3" i="1"/>
  <c r="Z31" i="1"/>
  <c r="Z63" i="1"/>
  <c r="Z95" i="1"/>
  <c r="Z127" i="1"/>
  <c r="Z159" i="1"/>
  <c r="Z191" i="1"/>
  <c r="Z223" i="1"/>
  <c r="Z255" i="1"/>
  <c r="Z287" i="1"/>
  <c r="Z319" i="1"/>
  <c r="Z351" i="1"/>
  <c r="Z383" i="1"/>
  <c r="Z415" i="1"/>
  <c r="Z447" i="1"/>
  <c r="Z479" i="1"/>
  <c r="Y34" i="1"/>
  <c r="Y66" i="1"/>
  <c r="Y98" i="1"/>
  <c r="Y130" i="1"/>
  <c r="Y162" i="1"/>
  <c r="Y194" i="1"/>
  <c r="Y226" i="1"/>
  <c r="Y258" i="1"/>
  <c r="Y290" i="1"/>
  <c r="Y322" i="1"/>
  <c r="Y354" i="1"/>
  <c r="Y386" i="1"/>
  <c r="Y418" i="1"/>
  <c r="Y450" i="1"/>
  <c r="Y482" i="1"/>
  <c r="Z46" i="1"/>
  <c r="Z78" i="1"/>
  <c r="Z110" i="1"/>
  <c r="Z142" i="1"/>
  <c r="Z174" i="1"/>
  <c r="Z206" i="1"/>
  <c r="Z238" i="1"/>
  <c r="Z270" i="1"/>
  <c r="Z302" i="1"/>
  <c r="Z334" i="1"/>
  <c r="Z366" i="1"/>
  <c r="Z398" i="1"/>
  <c r="Z430" i="1"/>
  <c r="Z462" i="1"/>
  <c r="Y29" i="1"/>
  <c r="Y61" i="1"/>
  <c r="Y93" i="1"/>
  <c r="Y125" i="1"/>
  <c r="Y157" i="1"/>
  <c r="Y189" i="1"/>
  <c r="Y221" i="1"/>
  <c r="Y253" i="1"/>
  <c r="Y285" i="1"/>
  <c r="Y317" i="1"/>
  <c r="Y349" i="1"/>
  <c r="Y381" i="1"/>
  <c r="Y413" i="1"/>
  <c r="Y445" i="1"/>
  <c r="Z17" i="1"/>
  <c r="Z49" i="1"/>
  <c r="Z81" i="1"/>
  <c r="Z113" i="1"/>
  <c r="Z145" i="1"/>
  <c r="Z177" i="1"/>
  <c r="Z209" i="1"/>
  <c r="Z241" i="1"/>
  <c r="Z273" i="1"/>
  <c r="Z305" i="1"/>
  <c r="Z337" i="1"/>
  <c r="Z369" i="1"/>
  <c r="Z401" i="1"/>
  <c r="Z433" i="1"/>
  <c r="Y36" i="1"/>
  <c r="Y68" i="1"/>
  <c r="Y100" i="1"/>
  <c r="Y132" i="1"/>
  <c r="Y164" i="1"/>
  <c r="Y196" i="1"/>
  <c r="Y228" i="1"/>
  <c r="Y260" i="1"/>
  <c r="Y292" i="1"/>
  <c r="Y324" i="1"/>
  <c r="Y356" i="1"/>
  <c r="Y388" i="1"/>
  <c r="Y420" i="1"/>
  <c r="Y452" i="1"/>
  <c r="Y484" i="1"/>
  <c r="Y23" i="1"/>
  <c r="Y55" i="1"/>
  <c r="Y87" i="1"/>
  <c r="Y119" i="1"/>
  <c r="Y151" i="1"/>
  <c r="Y183" i="1"/>
  <c r="Y215" i="1"/>
  <c r="Y247" i="1"/>
  <c r="Y279" i="1"/>
  <c r="Y311" i="1"/>
  <c r="Y343" i="1"/>
  <c r="Y375" i="1"/>
  <c r="Y407" i="1"/>
  <c r="Y439" i="1"/>
  <c r="Y471" i="1"/>
  <c r="Y503" i="1"/>
  <c r="Z112" i="1"/>
  <c r="Z368" i="1"/>
  <c r="Z148" i="1"/>
  <c r="Z404" i="1"/>
  <c r="Z505" i="1"/>
  <c r="Z56" i="1"/>
  <c r="Z35" i="1"/>
  <c r="Z67" i="1"/>
  <c r="Z99" i="1"/>
  <c r="Z131" i="1"/>
  <c r="Z163" i="1"/>
  <c r="Z195" i="1"/>
  <c r="Z227" i="1"/>
  <c r="Z259" i="1"/>
  <c r="Z291" i="1"/>
  <c r="Z323" i="1"/>
  <c r="Z355" i="1"/>
  <c r="Z387" i="1"/>
  <c r="Z419" i="1"/>
  <c r="Z451" i="1"/>
  <c r="Z483" i="1"/>
  <c r="Y38" i="1"/>
  <c r="Y70" i="1"/>
  <c r="Y102" i="1"/>
  <c r="Y134" i="1"/>
  <c r="Y166" i="1"/>
  <c r="Y198" i="1"/>
  <c r="Y230" i="1"/>
  <c r="Y262" i="1"/>
  <c r="Y294" i="1"/>
  <c r="Y326" i="1"/>
  <c r="Y358" i="1"/>
  <c r="Y390" i="1"/>
  <c r="Y422" i="1"/>
  <c r="Y454" i="1"/>
  <c r="Z18" i="1"/>
  <c r="Z50" i="1"/>
  <c r="Z82" i="1"/>
  <c r="Z114" i="1"/>
  <c r="Z146" i="1"/>
  <c r="Z178" i="1"/>
  <c r="Z210" i="1"/>
  <c r="Z242" i="1"/>
  <c r="Z274" i="1"/>
  <c r="Z306" i="1"/>
  <c r="Z338" i="1"/>
  <c r="Z370" i="1"/>
  <c r="Z402" i="1"/>
  <c r="Z434" i="1"/>
  <c r="Z466" i="1"/>
  <c r="Y33" i="1"/>
  <c r="Y65" i="1"/>
  <c r="Y97" i="1"/>
  <c r="Y129" i="1"/>
  <c r="Y161" i="1"/>
  <c r="Y193" i="1"/>
  <c r="Y225" i="1"/>
  <c r="Y257" i="1"/>
  <c r="Y289" i="1"/>
  <c r="Y321" i="1"/>
  <c r="Y353" i="1"/>
  <c r="Y385" i="1"/>
  <c r="Y417" i="1"/>
  <c r="Y449" i="1"/>
  <c r="Z21" i="1"/>
  <c r="Z53" i="1"/>
  <c r="Z85" i="1"/>
  <c r="Z117" i="1"/>
  <c r="Z149" i="1"/>
  <c r="Z181" i="1"/>
  <c r="Z213" i="1"/>
  <c r="Z245" i="1"/>
  <c r="Z277" i="1"/>
  <c r="Z309" i="1"/>
  <c r="Z341" i="1"/>
  <c r="Z373" i="1"/>
  <c r="Z405" i="1"/>
  <c r="Z437" i="1"/>
  <c r="Y40" i="1"/>
  <c r="Y72" i="1"/>
  <c r="Y104" i="1"/>
  <c r="Y136" i="1"/>
  <c r="Y168" i="1"/>
  <c r="Y200" i="1"/>
  <c r="Y232" i="1"/>
  <c r="Y264" i="1"/>
  <c r="Y296" i="1"/>
  <c r="Y328" i="1"/>
  <c r="Y360" i="1"/>
  <c r="Y392" i="1"/>
  <c r="Y424" i="1"/>
  <c r="Y456" i="1"/>
  <c r="Y488" i="1"/>
  <c r="R8" i="1"/>
  <c r="Z39" i="1"/>
  <c r="Z71" i="1"/>
  <c r="Z103" i="1"/>
  <c r="Z135" i="1"/>
  <c r="Z167" i="1"/>
  <c r="Z199" i="1"/>
  <c r="Z231" i="1"/>
  <c r="Z263" i="1"/>
  <c r="Z295" i="1"/>
  <c r="Z327" i="1"/>
  <c r="Z359" i="1"/>
  <c r="Z391" i="1"/>
  <c r="Z423" i="1"/>
  <c r="Z455" i="1"/>
  <c r="Z487" i="1"/>
  <c r="Y42" i="1"/>
  <c r="Y74" i="1"/>
  <c r="Y106" i="1"/>
  <c r="Y138" i="1"/>
  <c r="Y170" i="1"/>
  <c r="Y202" i="1"/>
  <c r="Y234" i="1"/>
  <c r="Y266" i="1"/>
  <c r="Y298" i="1"/>
  <c r="Y330" i="1"/>
  <c r="Y362" i="1"/>
  <c r="Y394" i="1"/>
  <c r="Y426" i="1"/>
  <c r="Y458" i="1"/>
  <c r="Z22" i="1"/>
  <c r="Z54" i="1"/>
  <c r="Z86" i="1"/>
  <c r="Z118" i="1"/>
  <c r="Z150" i="1"/>
  <c r="Z182" i="1"/>
  <c r="Z214" i="1"/>
  <c r="Z246" i="1"/>
  <c r="Z278" i="1"/>
  <c r="Z310" i="1"/>
  <c r="Z342" i="1"/>
  <c r="Z374" i="1"/>
  <c r="Z406" i="1"/>
  <c r="Z438" i="1"/>
  <c r="Z470" i="1"/>
  <c r="Y37" i="1"/>
  <c r="Y69" i="1"/>
  <c r="Y101" i="1"/>
  <c r="Y133" i="1"/>
  <c r="Y165" i="1"/>
  <c r="Y197" i="1"/>
  <c r="Y229" i="1"/>
  <c r="Y261" i="1"/>
  <c r="Y293" i="1"/>
  <c r="Y325" i="1"/>
  <c r="Y357" i="1"/>
  <c r="Y389" i="1"/>
  <c r="Y421" i="1"/>
  <c r="Y453" i="1"/>
  <c r="Z25" i="1"/>
  <c r="Z57" i="1"/>
  <c r="Z89" i="1"/>
  <c r="Z121" i="1"/>
  <c r="Z153" i="1"/>
  <c r="Z185" i="1"/>
  <c r="Z217" i="1"/>
  <c r="Z249" i="1"/>
  <c r="Z281" i="1"/>
  <c r="Z313" i="1"/>
  <c r="Z345" i="1"/>
  <c r="Z377" i="1"/>
  <c r="Z409" i="1"/>
  <c r="Z441" i="1"/>
  <c r="Y44" i="1"/>
  <c r="Y76" i="1"/>
  <c r="Y108" i="1"/>
  <c r="Y140" i="1"/>
  <c r="Y172" i="1"/>
  <c r="Y204" i="1"/>
  <c r="Y236" i="1"/>
  <c r="Y268" i="1"/>
  <c r="Y300" i="1"/>
  <c r="Y332" i="1"/>
  <c r="Y364" i="1"/>
  <c r="Y396" i="1"/>
  <c r="Y428" i="1"/>
  <c r="Y460" i="1"/>
  <c r="Y492" i="1"/>
  <c r="Y31" i="1"/>
  <c r="Y63" i="1"/>
  <c r="Y95" i="1"/>
  <c r="Y127" i="1"/>
  <c r="Y159" i="1"/>
  <c r="Y191" i="1"/>
  <c r="Y223" i="1"/>
  <c r="Y255" i="1"/>
  <c r="Y287" i="1"/>
  <c r="Y319" i="1"/>
  <c r="Y351" i="1"/>
  <c r="Y383" i="1"/>
  <c r="Y415" i="1"/>
  <c r="Y447" i="1"/>
  <c r="Y479" i="1"/>
  <c r="Y511" i="1"/>
  <c r="Z176" i="1"/>
  <c r="Z496" i="1"/>
  <c r="Z212" i="1"/>
  <c r="Z449" i="1"/>
  <c r="Z16" i="1"/>
  <c r="Z120" i="1"/>
  <c r="Z376" i="1"/>
  <c r="Z511" i="1"/>
  <c r="Z156" i="1"/>
  <c r="Z412" i="1"/>
  <c r="Z501" i="1"/>
  <c r="Z64" i="1"/>
  <c r="Z320" i="1"/>
  <c r="Z507" i="1"/>
  <c r="Z100" i="1"/>
  <c r="Z356" i="1"/>
  <c r="Z500" i="1"/>
  <c r="Z332" i="1"/>
  <c r="Z168" i="1"/>
  <c r="Z424" i="1"/>
  <c r="Y506" i="1"/>
  <c r="Z396" i="1"/>
  <c r="N8" i="1"/>
  <c r="Z115" i="1"/>
  <c r="Z371" i="1"/>
  <c r="Y150" i="1"/>
  <c r="Y406" i="1"/>
  <c r="Z194" i="1"/>
  <c r="Z450" i="1"/>
  <c r="Y241" i="1"/>
  <c r="Z37" i="1"/>
  <c r="Z293" i="1"/>
  <c r="Y120" i="1"/>
  <c r="Y376" i="1"/>
  <c r="Y75" i="1"/>
  <c r="Y203" i="1"/>
  <c r="Y331" i="1"/>
  <c r="Y459" i="1"/>
  <c r="Z52" i="1"/>
  <c r="Y477" i="1"/>
  <c r="Z460" i="1"/>
  <c r="Z252" i="1"/>
  <c r="Z489" i="1"/>
  <c r="Z416" i="1"/>
  <c r="Z196" i="1"/>
  <c r="Z44" i="1"/>
  <c r="Z264" i="1"/>
  <c r="Z76" i="1"/>
  <c r="Z140" i="1"/>
  <c r="Z172" i="1"/>
  <c r="Y177" i="1"/>
  <c r="Y43" i="1"/>
  <c r="Y498" i="1"/>
  <c r="Z147" i="1"/>
  <c r="Z403" i="1"/>
  <c r="Y182" i="1"/>
  <c r="Y438" i="1"/>
  <c r="Z226" i="1"/>
  <c r="Y17" i="1"/>
  <c r="Y273" i="1"/>
  <c r="Z69" i="1"/>
  <c r="Z325" i="1"/>
  <c r="Y152" i="1"/>
  <c r="Y408" i="1"/>
  <c r="Y91" i="1"/>
  <c r="Y219" i="1"/>
  <c r="Y347" i="1"/>
  <c r="Y475" i="1"/>
  <c r="Z180" i="1"/>
  <c r="Z494" i="1"/>
  <c r="Z490" i="1"/>
  <c r="Z348" i="1"/>
  <c r="Y502" i="1"/>
  <c r="Y486" i="1"/>
  <c r="Z292" i="1"/>
  <c r="Z236" i="1"/>
  <c r="Z360" i="1"/>
  <c r="Y86" i="1"/>
  <c r="Y312" i="1"/>
  <c r="Z344" i="1"/>
  <c r="Z503" i="1"/>
  <c r="Z179" i="1"/>
  <c r="Z435" i="1"/>
  <c r="Y214" i="1"/>
  <c r="Y470" i="1"/>
  <c r="Z258" i="1"/>
  <c r="Y49" i="1"/>
  <c r="Y305" i="1"/>
  <c r="Z101" i="1"/>
  <c r="Z357" i="1"/>
  <c r="Y184" i="1"/>
  <c r="Y440" i="1"/>
  <c r="Y107" i="1"/>
  <c r="Y235" i="1"/>
  <c r="Y363" i="1"/>
  <c r="Y491" i="1"/>
  <c r="Z276" i="1"/>
  <c r="Z88" i="1"/>
  <c r="Y501" i="1"/>
  <c r="Z380" i="1"/>
  <c r="Z32" i="1"/>
  <c r="Z498" i="1"/>
  <c r="Z324" i="1"/>
  <c r="Z300" i="1"/>
  <c r="Z392" i="1"/>
  <c r="Z130" i="1"/>
  <c r="Y299" i="1"/>
  <c r="Z124" i="1"/>
  <c r="Z211" i="1"/>
  <c r="Z467" i="1"/>
  <c r="Y246" i="1"/>
  <c r="Z34" i="1"/>
  <c r="Z290" i="1"/>
  <c r="Y81" i="1"/>
  <c r="Y337" i="1"/>
  <c r="Z133" i="1"/>
  <c r="Z389" i="1"/>
  <c r="Y216" i="1"/>
  <c r="Y472" i="1"/>
  <c r="Y123" i="1"/>
  <c r="Y251" i="1"/>
  <c r="Y379" i="1"/>
  <c r="Y507" i="1"/>
  <c r="Z308" i="1"/>
  <c r="Z184" i="1"/>
  <c r="Z400" i="1"/>
  <c r="Z453" i="1"/>
  <c r="Z128" i="1"/>
  <c r="Z485" i="1"/>
  <c r="Z420" i="1"/>
  <c r="Z509" i="1"/>
  <c r="Z468" i="1"/>
  <c r="Z268" i="1"/>
  <c r="Z51" i="1"/>
  <c r="Y171" i="1"/>
  <c r="Y497" i="1"/>
  <c r="Z243" i="1"/>
  <c r="Y22" i="1"/>
  <c r="Y278" i="1"/>
  <c r="Z66" i="1"/>
  <c r="Z322" i="1"/>
  <c r="Y113" i="1"/>
  <c r="Y369" i="1"/>
  <c r="Z165" i="1"/>
  <c r="Z421" i="1"/>
  <c r="Y248" i="1"/>
  <c r="Y504" i="1"/>
  <c r="Y139" i="1"/>
  <c r="Y267" i="1"/>
  <c r="Y395" i="1"/>
  <c r="Z499" i="1"/>
  <c r="Z436" i="1"/>
  <c r="Z216" i="1"/>
  <c r="Z482" i="1"/>
  <c r="Z469" i="1"/>
  <c r="Z160" i="1"/>
  <c r="Y512" i="1"/>
  <c r="Z457" i="1"/>
  <c r="Z477" i="1"/>
  <c r="Y485" i="1"/>
  <c r="Z364" i="1"/>
  <c r="Z461" i="1"/>
  <c r="Z386" i="1"/>
  <c r="Z229" i="1"/>
  <c r="Z272" i="1"/>
  <c r="Z68" i="1"/>
  <c r="Z19" i="1"/>
  <c r="Z275" i="1"/>
  <c r="Y54" i="1"/>
  <c r="Y310" i="1"/>
  <c r="Z98" i="1"/>
  <c r="Z354" i="1"/>
  <c r="Y145" i="1"/>
  <c r="Y401" i="1"/>
  <c r="Z197" i="1"/>
  <c r="Y24" i="1"/>
  <c r="Y280" i="1"/>
  <c r="Y27" i="1"/>
  <c r="Y155" i="1"/>
  <c r="Y283" i="1"/>
  <c r="Y411" i="1"/>
  <c r="Z144" i="1"/>
  <c r="Z484" i="1"/>
  <c r="Z312" i="1"/>
  <c r="Z92" i="1"/>
  <c r="Z492" i="1"/>
  <c r="Z256" i="1"/>
  <c r="Z36" i="1"/>
  <c r="Z486" i="1"/>
  <c r="Z104" i="1"/>
  <c r="Z497" i="1"/>
  <c r="Z307" i="1"/>
  <c r="Y56" i="1"/>
  <c r="Y490" i="1"/>
  <c r="Z136" i="1"/>
  <c r="Z83" i="1"/>
  <c r="Z339" i="1"/>
  <c r="Y118" i="1"/>
  <c r="Y374" i="1"/>
  <c r="Z162" i="1"/>
  <c r="Z418" i="1"/>
  <c r="Y209" i="1"/>
  <c r="Y465" i="1"/>
  <c r="Z261" i="1"/>
  <c r="Y88" i="1"/>
  <c r="Y344" i="1"/>
  <c r="Y59" i="1"/>
  <c r="Y187" i="1"/>
  <c r="Y315" i="1"/>
  <c r="Y443" i="1"/>
  <c r="Z456" i="1"/>
  <c r="Z508" i="1"/>
  <c r="Z440" i="1"/>
  <c r="Z220" i="1"/>
  <c r="Y514" i="1"/>
  <c r="Z384" i="1"/>
  <c r="Z164" i="1"/>
  <c r="Y513" i="1"/>
  <c r="Z232" i="1"/>
  <c r="Z513" i="1"/>
  <c r="Y342" i="1"/>
  <c r="Y433" i="1"/>
  <c r="Y427" i="1"/>
  <c r="Z288" i="1"/>
  <c r="Z432" i="1"/>
  <c r="AK31" i="1" l="1"/>
  <c r="AK23" i="1"/>
  <c r="AK63" i="1"/>
  <c r="AK55" i="1"/>
  <c r="AK47" i="1"/>
  <c r="AK39" i="1"/>
  <c r="AK511" i="1"/>
  <c r="AK495" i="1"/>
  <c r="AK487" i="1"/>
  <c r="AK479" i="1"/>
  <c r="AK471" i="1"/>
  <c r="AK463" i="1"/>
  <c r="AK455" i="1"/>
  <c r="AK447" i="1"/>
  <c r="AK431" i="1"/>
  <c r="AK423" i="1"/>
  <c r="AK415" i="1"/>
  <c r="AK407" i="1"/>
  <c r="AK399" i="1"/>
  <c r="AK391" i="1"/>
  <c r="AK383" i="1"/>
  <c r="AK367" i="1"/>
  <c r="AK351" i="1"/>
  <c r="AK343" i="1"/>
  <c r="AK335" i="1"/>
  <c r="AK327" i="1"/>
  <c r="AK319" i="1"/>
  <c r="AK311" i="1"/>
  <c r="AK303" i="1"/>
  <c r="AK295" i="1"/>
  <c r="AK287" i="1"/>
  <c r="AK279" i="1"/>
  <c r="AK271" i="1"/>
  <c r="AK263" i="1"/>
  <c r="AK255" i="1"/>
  <c r="AK247" i="1"/>
  <c r="AK239" i="1"/>
  <c r="AK231" i="1"/>
  <c r="AK223" i="1"/>
  <c r="AK215" i="1"/>
  <c r="AK207" i="1"/>
  <c r="AK199" i="1"/>
  <c r="AK191" i="1"/>
  <c r="AK183" i="1"/>
  <c r="AK175" i="1"/>
  <c r="AK167" i="1"/>
  <c r="AK159" i="1"/>
  <c r="AK151" i="1"/>
  <c r="AK143" i="1"/>
  <c r="AK135" i="1"/>
  <c r="AK127" i="1"/>
  <c r="AK119" i="1"/>
  <c r="AK111" i="1"/>
  <c r="AK103" i="1"/>
  <c r="AK95" i="1"/>
  <c r="AK87" i="1"/>
  <c r="AK79" i="1"/>
  <c r="AK71" i="1"/>
  <c r="AK510" i="1"/>
  <c r="AK502" i="1"/>
  <c r="AK494" i="1"/>
  <c r="AK486" i="1"/>
  <c r="AK478" i="1"/>
  <c r="AK470" i="1"/>
  <c r="AK462" i="1"/>
  <c r="AK454" i="1"/>
  <c r="AK446" i="1"/>
  <c r="AK438" i="1"/>
  <c r="AK430" i="1"/>
  <c r="AK422" i="1"/>
  <c r="AK414" i="1"/>
  <c r="AK406" i="1"/>
  <c r="AK398" i="1"/>
  <c r="AK390" i="1"/>
  <c r="AK382" i="1"/>
  <c r="AK374" i="1"/>
  <c r="AK366" i="1"/>
  <c r="AK358" i="1"/>
  <c r="AK350" i="1"/>
  <c r="AK342" i="1"/>
  <c r="AK334" i="1"/>
  <c r="AK326" i="1"/>
  <c r="AK318" i="1"/>
  <c r="AK310" i="1"/>
  <c r="AK302" i="1"/>
  <c r="AK294" i="1"/>
  <c r="AK286" i="1"/>
  <c r="AK278" i="1"/>
  <c r="AK270" i="1"/>
  <c r="AK262" i="1"/>
  <c r="AK254" i="1"/>
  <c r="AK246" i="1"/>
  <c r="AK238" i="1"/>
  <c r="AK230" i="1"/>
  <c r="AK222" i="1"/>
  <c r="AK214" i="1"/>
  <c r="AK206" i="1"/>
  <c r="AK198" i="1"/>
  <c r="AK190" i="1"/>
  <c r="AK182" i="1"/>
  <c r="AK174" i="1"/>
  <c r="AK166" i="1"/>
  <c r="AK158" i="1"/>
  <c r="AK150" i="1"/>
  <c r="AK142" i="1"/>
  <c r="AK134" i="1"/>
  <c r="AK126" i="1"/>
  <c r="AK118" i="1"/>
  <c r="AK110" i="1"/>
  <c r="AK102" i="1"/>
  <c r="AK94" i="1"/>
  <c r="AK86" i="1"/>
  <c r="AK78" i="1"/>
  <c r="AK70" i="1"/>
  <c r="AK62" i="1"/>
  <c r="AK54" i="1"/>
  <c r="AK46" i="1"/>
  <c r="AK38" i="1"/>
  <c r="AK30" i="1"/>
  <c r="AK22" i="1"/>
  <c r="AK509" i="1"/>
  <c r="AK501" i="1"/>
  <c r="AK493" i="1"/>
  <c r="AK485" i="1"/>
  <c r="AK477" i="1"/>
  <c r="AK469" i="1"/>
  <c r="AK461" i="1"/>
  <c r="AK445" i="1"/>
  <c r="AK437" i="1"/>
  <c r="AK429" i="1"/>
  <c r="AK421" i="1"/>
  <c r="AK405" i="1"/>
  <c r="AK397" i="1"/>
  <c r="AK389" i="1"/>
  <c r="AK381" i="1"/>
  <c r="AK357" i="1"/>
  <c r="AK333" i="1"/>
  <c r="AK325" i="1"/>
  <c r="AK317" i="1"/>
  <c r="AK309" i="1"/>
  <c r="AK301" i="1"/>
  <c r="AK293" i="1"/>
  <c r="AK285" i="1"/>
  <c r="AK277" i="1"/>
  <c r="AK269" i="1"/>
  <c r="AK261" i="1"/>
  <c r="AK253" i="1"/>
  <c r="AK245" i="1"/>
  <c r="AK237" i="1"/>
  <c r="AK229" i="1"/>
  <c r="AK221" i="1"/>
  <c r="AK213" i="1"/>
  <c r="AK205" i="1"/>
  <c r="AK197" i="1"/>
  <c r="AK189" i="1"/>
  <c r="AK181" i="1"/>
  <c r="AK173" i="1"/>
  <c r="AK165" i="1"/>
  <c r="AK157" i="1"/>
  <c r="AK149" i="1"/>
  <c r="AK141" i="1"/>
  <c r="AK133" i="1"/>
  <c r="AK125" i="1"/>
  <c r="AK117" i="1"/>
  <c r="AK109" i="1"/>
  <c r="AK101" i="1"/>
  <c r="AK93" i="1"/>
  <c r="AK85" i="1"/>
  <c r="AK77" i="1"/>
  <c r="AK69" i="1"/>
  <c r="AK61" i="1"/>
  <c r="AK53" i="1"/>
  <c r="AK45" i="1"/>
  <c r="AK37" i="1"/>
  <c r="AK29" i="1"/>
  <c r="AK21" i="1"/>
  <c r="AK508" i="1"/>
  <c r="AK500" i="1"/>
  <c r="AK484" i="1"/>
  <c r="AK468" i="1"/>
  <c r="AK460" i="1"/>
  <c r="AK452" i="1"/>
  <c r="AK444" i="1"/>
  <c r="AK436" i="1"/>
  <c r="AK420" i="1"/>
  <c r="AK412" i="1"/>
  <c r="AK404" i="1"/>
  <c r="AK380" i="1"/>
  <c r="AK348" i="1"/>
  <c r="AK308" i="1"/>
  <c r="AK276" i="1"/>
  <c r="AK244" i="1"/>
  <c r="AK212" i="1"/>
  <c r="AK180" i="1"/>
  <c r="AK156" i="1"/>
  <c r="AK148" i="1"/>
  <c r="AK140" i="1"/>
  <c r="AK124" i="1"/>
  <c r="AK116" i="1"/>
  <c r="AK108" i="1"/>
  <c r="AK100" i="1"/>
  <c r="AK92" i="1"/>
  <c r="AK84" i="1"/>
  <c r="AK76" i="1"/>
  <c r="AK68" i="1"/>
  <c r="AK60" i="1"/>
  <c r="AK52" i="1"/>
  <c r="AK44" i="1"/>
  <c r="AK36" i="1"/>
  <c r="AK28" i="1"/>
  <c r="AK20" i="1"/>
  <c r="AK15" i="1"/>
  <c r="AK499" i="1"/>
  <c r="AK491" i="1"/>
  <c r="AK483" i="1"/>
  <c r="AK467" i="1"/>
  <c r="AK459" i="1"/>
  <c r="AK451" i="1"/>
  <c r="AK443" i="1"/>
  <c r="AK435" i="1"/>
  <c r="AK427" i="1"/>
  <c r="AK419" i="1"/>
  <c r="AK411" i="1"/>
  <c r="AK403" i="1"/>
  <c r="AK395" i="1"/>
  <c r="AK387" i="1"/>
  <c r="AK379" i="1"/>
  <c r="AK371" i="1"/>
  <c r="AK347" i="1"/>
  <c r="AK339" i="1"/>
  <c r="AK331" i="1"/>
  <c r="AK323" i="1"/>
  <c r="AK315" i="1"/>
  <c r="AK307" i="1"/>
  <c r="AK299" i="1"/>
  <c r="AK291" i="1"/>
  <c r="AK283" i="1"/>
  <c r="AK275" i="1"/>
  <c r="AK267" i="1"/>
  <c r="AK259" i="1"/>
  <c r="AK251" i="1"/>
  <c r="AK243" i="1"/>
  <c r="AK235" i="1"/>
  <c r="AK227" i="1"/>
  <c r="AK219" i="1"/>
  <c r="AK211" i="1"/>
  <c r="AK203" i="1"/>
  <c r="AK195" i="1"/>
  <c r="AK187" i="1"/>
  <c r="AK179" i="1"/>
  <c r="AK171" i="1"/>
  <c r="AK163" i="1"/>
  <c r="AK155" i="1"/>
  <c r="AK147" i="1"/>
  <c r="AK139" i="1"/>
  <c r="AK131" i="1"/>
  <c r="AK123" i="1"/>
  <c r="AK115" i="1"/>
  <c r="AK107" i="1"/>
  <c r="AK99" i="1"/>
  <c r="AK91" i="1"/>
  <c r="AK83" i="1"/>
  <c r="AK75" i="1"/>
  <c r="AK67" i="1"/>
  <c r="AK59" i="1"/>
  <c r="AK51" i="1"/>
  <c r="AK43" i="1"/>
  <c r="AK35" i="1"/>
  <c r="AK27" i="1"/>
  <c r="AK19" i="1"/>
  <c r="AK514" i="1"/>
  <c r="AK506" i="1"/>
  <c r="AK498" i="1"/>
  <c r="AK490" i="1"/>
  <c r="AK482" i="1"/>
  <c r="AK474" i="1"/>
  <c r="AK466" i="1"/>
  <c r="AK458" i="1"/>
  <c r="AK450" i="1"/>
  <c r="AK442" i="1"/>
  <c r="AK434" i="1"/>
  <c r="AK426" i="1"/>
  <c r="AK418" i="1"/>
  <c r="AK410" i="1"/>
  <c r="AK402" i="1"/>
  <c r="AK394" i="1"/>
  <c r="AK386" i="1"/>
  <c r="AK378" i="1"/>
  <c r="AK370" i="1"/>
  <c r="AK362" i="1"/>
  <c r="AK354" i="1"/>
  <c r="AK346" i="1"/>
  <c r="AK338" i="1"/>
  <c r="AK330" i="1"/>
  <c r="AK322" i="1"/>
  <c r="AK314" i="1"/>
  <c r="AK306" i="1"/>
  <c r="AK298" i="1"/>
  <c r="AK290" i="1"/>
  <c r="AK282" i="1"/>
  <c r="AK274" i="1"/>
  <c r="AK266" i="1"/>
  <c r="AK258" i="1"/>
  <c r="AK250" i="1"/>
  <c r="AK242" i="1"/>
  <c r="AK234" i="1"/>
  <c r="AK226" i="1"/>
  <c r="AK218" i="1"/>
  <c r="AK210" i="1"/>
  <c r="AK202" i="1"/>
  <c r="AK194" i="1"/>
  <c r="AK186" i="1"/>
  <c r="AK178" i="1"/>
  <c r="AK170" i="1"/>
  <c r="AK162" i="1"/>
  <c r="AK154" i="1"/>
  <c r="AK146" i="1"/>
  <c r="AK138" i="1"/>
  <c r="AK130" i="1"/>
  <c r="AK122" i="1"/>
  <c r="AK114" i="1"/>
  <c r="AK106" i="1"/>
  <c r="AK98" i="1"/>
  <c r="AK90" i="1"/>
  <c r="AK82" i="1"/>
  <c r="AK74" i="1"/>
  <c r="AK66" i="1"/>
  <c r="AK58" i="1"/>
  <c r="AK50" i="1"/>
  <c r="AK42" i="1"/>
  <c r="AK34" i="1"/>
  <c r="AK26" i="1"/>
  <c r="AK18" i="1"/>
  <c r="AK513" i="1"/>
  <c r="AK505" i="1"/>
  <c r="AK497" i="1"/>
  <c r="AK481" i="1"/>
  <c r="AK473" i="1"/>
  <c r="AK465" i="1"/>
  <c r="AK457" i="1"/>
  <c r="AK449" i="1"/>
  <c r="AK441" i="1"/>
  <c r="AK433" i="1"/>
  <c r="AK425" i="1"/>
  <c r="AK417" i="1"/>
  <c r="AK409" i="1"/>
  <c r="AK401" i="1"/>
  <c r="AK393" i="1"/>
  <c r="AK385" i="1"/>
  <c r="AK369" i="1"/>
  <c r="AK361" i="1"/>
  <c r="AK353" i="1"/>
  <c r="AK337" i="1"/>
  <c r="AK329" i="1"/>
  <c r="AK321" i="1"/>
  <c r="AK313" i="1"/>
  <c r="AK305" i="1"/>
  <c r="AK297" i="1"/>
  <c r="AK289" i="1"/>
  <c r="AK281" i="1"/>
  <c r="AK273" i="1"/>
  <c r="AK265" i="1"/>
  <c r="AK257" i="1"/>
  <c r="AK249" i="1"/>
  <c r="AK241" i="1"/>
  <c r="AK233" i="1"/>
  <c r="AK225" i="1"/>
  <c r="AK217" i="1"/>
  <c r="AK209" i="1"/>
  <c r="AK201" i="1"/>
  <c r="AK193" i="1"/>
  <c r="AK185" i="1"/>
  <c r="AK177" i="1"/>
  <c r="AK169" i="1"/>
  <c r="AK161" i="1"/>
  <c r="AK153" i="1"/>
  <c r="AK145" i="1"/>
  <c r="AK137" i="1"/>
  <c r="AK129" i="1"/>
  <c r="AK121" i="1"/>
  <c r="AK113" i="1"/>
  <c r="AK105" i="1"/>
  <c r="AK97" i="1"/>
  <c r="AK89" i="1"/>
  <c r="AK81" i="1"/>
  <c r="AK73" i="1"/>
  <c r="AK65" i="1"/>
  <c r="AK57" i="1"/>
  <c r="AK49" i="1"/>
  <c r="AK41" i="1"/>
  <c r="AK33" i="1"/>
  <c r="AK25" i="1"/>
  <c r="AK17" i="1"/>
  <c r="AK496" i="1"/>
  <c r="AK488" i="1"/>
  <c r="AK464" i="1"/>
  <c r="AK456" i="1"/>
  <c r="AK400" i="1"/>
  <c r="AK392" i="1"/>
  <c r="AK376" i="1"/>
  <c r="AK368" i="1"/>
  <c r="AK360" i="1"/>
  <c r="AK352" i="1"/>
  <c r="AK344" i="1"/>
  <c r="AK336" i="1"/>
  <c r="AK328" i="1"/>
  <c r="AK320" i="1"/>
  <c r="AK312" i="1"/>
  <c r="AK288" i="1"/>
  <c r="AK280" i="1"/>
  <c r="AK256" i="1"/>
  <c r="AK248" i="1"/>
  <c r="AK224" i="1"/>
  <c r="AK216" i="1"/>
  <c r="AK192" i="1"/>
  <c r="AK184" i="1"/>
  <c r="AK160" i="1"/>
  <c r="AK152" i="1"/>
  <c r="AK128" i="1"/>
  <c r="AK120" i="1"/>
  <c r="AK112" i="1"/>
  <c r="AK104" i="1"/>
  <c r="AK96" i="1"/>
  <c r="AK88" i="1"/>
  <c r="AK80" i="1"/>
  <c r="AK72" i="1"/>
  <c r="AK64" i="1"/>
  <c r="AK56" i="1"/>
  <c r="AK48" i="1"/>
  <c r="AK40" i="1"/>
  <c r="AK32" i="1"/>
  <c r="AK24" i="1"/>
  <c r="AK16" i="1"/>
  <c r="AJ395" i="1"/>
  <c r="AJ475" i="1"/>
  <c r="AJ411" i="1"/>
  <c r="AJ507" i="1"/>
  <c r="AJ379" i="1"/>
  <c r="AJ363" i="1"/>
  <c r="AJ355" i="1"/>
  <c r="AJ503" i="1"/>
  <c r="AJ463" i="1"/>
  <c r="AJ439" i="1"/>
  <c r="AJ423" i="1"/>
  <c r="AJ399" i="1"/>
  <c r="AJ391" i="1"/>
  <c r="AJ383" i="1"/>
  <c r="AJ375" i="1"/>
  <c r="AJ359" i="1"/>
  <c r="AJ303" i="1"/>
  <c r="AJ143" i="1"/>
  <c r="AJ390" i="1"/>
  <c r="AJ174" i="1"/>
  <c r="AJ485" i="1"/>
  <c r="AJ453" i="1"/>
  <c r="AJ445" i="1"/>
  <c r="AJ437" i="1"/>
  <c r="AJ421" i="1"/>
  <c r="AJ413" i="1"/>
  <c r="AJ405" i="1"/>
  <c r="AJ397" i="1"/>
  <c r="AJ373" i="1"/>
  <c r="AJ365" i="1"/>
  <c r="AJ349" i="1"/>
  <c r="AJ341" i="1"/>
  <c r="AJ229" i="1"/>
  <c r="AJ165" i="1"/>
  <c r="AJ125" i="1"/>
  <c r="AJ492" i="1"/>
  <c r="AJ476" i="1"/>
  <c r="AJ428" i="1"/>
  <c r="AJ396" i="1"/>
  <c r="AJ388" i="1"/>
  <c r="AJ372" i="1"/>
  <c r="AJ364" i="1"/>
  <c r="AJ356" i="1"/>
  <c r="AJ340" i="1"/>
  <c r="AJ332" i="1"/>
  <c r="AJ324" i="1"/>
  <c r="AJ316" i="1"/>
  <c r="AJ300" i="1"/>
  <c r="AJ292" i="1"/>
  <c r="AJ284" i="1"/>
  <c r="AJ268" i="1"/>
  <c r="AJ260" i="1"/>
  <c r="AJ252" i="1"/>
  <c r="AJ236" i="1"/>
  <c r="AJ228" i="1"/>
  <c r="AJ220" i="1"/>
  <c r="AJ204" i="1"/>
  <c r="AJ196" i="1"/>
  <c r="AJ188" i="1"/>
  <c r="AJ172" i="1"/>
  <c r="AJ164" i="1"/>
  <c r="AJ132" i="1"/>
  <c r="AJ124" i="1"/>
  <c r="AJ426" i="1"/>
  <c r="AJ505" i="1"/>
  <c r="AJ489" i="1"/>
  <c r="AJ441" i="1"/>
  <c r="AJ433" i="1"/>
  <c r="AJ425" i="1"/>
  <c r="AJ417" i="1"/>
  <c r="AJ377" i="1"/>
  <c r="AJ345" i="1"/>
  <c r="AJ313" i="1"/>
  <c r="AJ121" i="1"/>
  <c r="AJ81" i="1"/>
  <c r="AJ41" i="1"/>
  <c r="AJ15" i="1"/>
  <c r="AJ512" i="1"/>
  <c r="AJ504" i="1"/>
  <c r="AJ480" i="1"/>
  <c r="AJ472" i="1"/>
  <c r="AJ448" i="1"/>
  <c r="AJ440" i="1"/>
  <c r="AJ432" i="1"/>
  <c r="AJ424" i="1"/>
  <c r="AJ416" i="1"/>
  <c r="AJ408" i="1"/>
  <c r="AJ384" i="1"/>
  <c r="AJ304" i="1"/>
  <c r="AJ296" i="1"/>
  <c r="AJ272" i="1"/>
  <c r="AJ264" i="1"/>
  <c r="AJ240" i="1"/>
  <c r="AJ232" i="1"/>
  <c r="AJ208" i="1"/>
  <c r="AJ200" i="1"/>
  <c r="AJ176" i="1"/>
  <c r="AJ168" i="1"/>
  <c r="AJ144" i="1"/>
  <c r="AJ136" i="1"/>
  <c r="B6" i="1"/>
  <c r="AI512" i="1"/>
  <c r="AI463" i="1"/>
  <c r="AG428" i="1"/>
  <c r="AL505" i="1"/>
  <c r="AG459" i="1"/>
  <c r="AL459" i="1"/>
  <c r="AL367" i="1"/>
  <c r="AL343" i="1"/>
  <c r="AH310" i="1"/>
  <c r="AL310" i="1"/>
  <c r="AL245" i="1"/>
  <c r="AC237" i="1"/>
  <c r="AL237" i="1"/>
  <c r="AH221" i="1"/>
  <c r="AL221" i="1"/>
  <c r="AL213" i="1"/>
  <c r="AA140" i="1"/>
  <c r="AL140" i="1"/>
  <c r="AL122" i="1"/>
  <c r="AA97" i="1"/>
  <c r="AG509" i="1"/>
  <c r="AL509" i="1"/>
  <c r="AG501" i="1"/>
  <c r="AL501" i="1"/>
  <c r="AG493" i="1"/>
  <c r="AL493" i="1"/>
  <c r="AI477" i="1"/>
  <c r="AL477" i="1"/>
  <c r="AI469" i="1"/>
  <c r="AL469" i="1"/>
  <c r="AH460" i="1"/>
  <c r="AL460" i="1"/>
  <c r="AH452" i="1"/>
  <c r="AL452" i="1"/>
  <c r="AA444" i="1"/>
  <c r="AL444" i="1"/>
  <c r="AG436" i="1"/>
  <c r="AL436" i="1"/>
  <c r="AI427" i="1"/>
  <c r="AL427" i="1"/>
  <c r="AI426" i="1"/>
  <c r="AL426" i="1"/>
  <c r="AA418" i="1"/>
  <c r="AL418" i="1"/>
  <c r="AH410" i="1"/>
  <c r="AL410" i="1"/>
  <c r="AG401" i="1"/>
  <c r="AL401" i="1"/>
  <c r="AI393" i="1"/>
  <c r="AL393" i="1"/>
  <c r="AA384" i="1"/>
  <c r="AL384" i="1"/>
  <c r="AC376" i="1"/>
  <c r="AL376" i="1"/>
  <c r="AL368" i="1"/>
  <c r="AL360" i="1"/>
  <c r="AL352" i="1"/>
  <c r="AG344" i="1"/>
  <c r="AL344" i="1"/>
  <c r="AL336" i="1"/>
  <c r="AG328" i="1"/>
  <c r="AL328" i="1"/>
  <c r="AL319" i="1"/>
  <c r="AL311" i="1"/>
  <c r="AA302" i="1"/>
  <c r="AL302" i="1"/>
  <c r="AI294" i="1"/>
  <c r="AL294" i="1"/>
  <c r="AH286" i="1"/>
  <c r="AL286" i="1"/>
  <c r="AA278" i="1"/>
  <c r="AL278" i="1"/>
  <c r="AI270" i="1"/>
  <c r="AL270" i="1"/>
  <c r="AA262" i="1"/>
  <c r="AL262" i="1"/>
  <c r="AA254" i="1"/>
  <c r="AL254" i="1"/>
  <c r="AH246" i="1"/>
  <c r="AL246" i="1"/>
  <c r="AL238" i="1"/>
  <c r="AL230" i="1"/>
  <c r="AG222" i="1"/>
  <c r="AL222" i="1"/>
  <c r="AL214" i="1"/>
  <c r="AC206" i="1"/>
  <c r="AL206" i="1"/>
  <c r="AL198" i="1"/>
  <c r="AG190" i="1"/>
  <c r="AL190" i="1"/>
  <c r="AC182" i="1"/>
  <c r="AL182" i="1"/>
  <c r="AG173" i="1"/>
  <c r="AL173" i="1"/>
  <c r="AI157" i="1"/>
  <c r="AL157" i="1"/>
  <c r="AC149" i="1"/>
  <c r="AL149" i="1"/>
  <c r="AL141" i="1"/>
  <c r="AG133" i="1"/>
  <c r="AL133" i="1"/>
  <c r="AI123" i="1"/>
  <c r="AL123" i="1"/>
  <c r="AA115" i="1"/>
  <c r="AA73" i="1"/>
  <c r="AC17" i="1"/>
  <c r="AL485" i="1"/>
  <c r="AL484" i="1"/>
  <c r="AI435" i="1"/>
  <c r="AL435" i="1"/>
  <c r="AL327" i="1"/>
  <c r="AC277" i="1"/>
  <c r="AL277" i="1"/>
  <c r="AG269" i="1"/>
  <c r="AL269" i="1"/>
  <c r="AI205" i="1"/>
  <c r="AL205" i="1"/>
  <c r="AG189" i="1"/>
  <c r="AL189" i="1"/>
  <c r="AG148" i="1"/>
  <c r="AL148" i="1"/>
  <c r="AH478" i="1"/>
  <c r="AL478" i="1"/>
  <c r="AG470" i="1"/>
  <c r="AL470" i="1"/>
  <c r="AH461" i="1"/>
  <c r="AL461" i="1"/>
  <c r="AH453" i="1"/>
  <c r="AL453" i="1"/>
  <c r="AA429" i="1"/>
  <c r="AL429" i="1"/>
  <c r="AA428" i="1"/>
  <c r="AL428" i="1"/>
  <c r="AI419" i="1"/>
  <c r="AL419" i="1"/>
  <c r="AL402" i="1"/>
  <c r="AH394" i="1"/>
  <c r="AL394" i="1"/>
  <c r="AA385" i="1"/>
  <c r="AL385" i="1"/>
  <c r="AG377" i="1"/>
  <c r="AG369" i="1"/>
  <c r="AL369" i="1"/>
  <c r="AG361" i="1"/>
  <c r="AL361" i="1"/>
  <c r="AL353" i="1"/>
  <c r="AL345" i="1"/>
  <c r="AL337" i="1"/>
  <c r="AH329" i="1"/>
  <c r="AL329" i="1"/>
  <c r="AI320" i="1"/>
  <c r="AL320" i="1"/>
  <c r="AL312" i="1"/>
  <c r="AI304" i="1"/>
  <c r="AL304" i="1"/>
  <c r="AL303" i="1"/>
  <c r="AG295" i="1"/>
  <c r="AL295" i="1"/>
  <c r="AG287" i="1"/>
  <c r="AL287" i="1"/>
  <c r="AL279" i="1"/>
  <c r="AL263" i="1"/>
  <c r="AH255" i="1"/>
  <c r="AL255" i="1"/>
  <c r="AG247" i="1"/>
  <c r="AL247" i="1"/>
  <c r="AG239" i="1"/>
  <c r="AL239" i="1"/>
  <c r="AI231" i="1"/>
  <c r="AL231" i="1"/>
  <c r="AL223" i="1"/>
  <c r="AA215" i="1"/>
  <c r="AL215" i="1"/>
  <c r="AH207" i="1"/>
  <c r="AG199" i="1"/>
  <c r="AL199" i="1"/>
  <c r="AG191" i="1"/>
  <c r="AL191" i="1"/>
  <c r="AA183" i="1"/>
  <c r="AL183" i="1"/>
  <c r="AH175" i="1"/>
  <c r="AL175" i="1"/>
  <c r="AC174" i="1"/>
  <c r="AL174" i="1"/>
  <c r="AG166" i="1"/>
  <c r="AL166" i="1"/>
  <c r="AG158" i="1"/>
  <c r="AL158" i="1"/>
  <c r="AC150" i="1"/>
  <c r="AL150" i="1"/>
  <c r="AH142" i="1"/>
  <c r="AL142" i="1"/>
  <c r="AH134" i="1"/>
  <c r="AL134" i="1"/>
  <c r="AH126" i="1"/>
  <c r="AL126" i="1"/>
  <c r="AA125" i="1"/>
  <c r="AL125" i="1"/>
  <c r="AA124" i="1"/>
  <c r="AL124" i="1"/>
  <c r="AA116" i="1"/>
  <c r="AL116" i="1"/>
  <c r="AL463" i="1"/>
  <c r="AL293" i="1"/>
  <c r="AL508" i="1"/>
  <c r="AL492" i="1"/>
  <c r="AG451" i="1"/>
  <c r="AL451" i="1"/>
  <c r="AI409" i="1"/>
  <c r="AL409" i="1"/>
  <c r="AG400" i="1"/>
  <c r="AL400" i="1"/>
  <c r="AL392" i="1"/>
  <c r="AL351" i="1"/>
  <c r="AH301" i="1"/>
  <c r="AL301" i="1"/>
  <c r="AL156" i="1"/>
  <c r="AL335" i="1"/>
  <c r="AC510" i="1"/>
  <c r="AL510" i="1"/>
  <c r="AG486" i="1"/>
  <c r="AL486" i="1"/>
  <c r="AC511" i="1"/>
  <c r="AL511" i="1"/>
  <c r="AC487" i="1"/>
  <c r="AL487" i="1"/>
  <c r="AH454" i="1"/>
  <c r="AL454" i="1"/>
  <c r="AL446" i="1"/>
  <c r="AA430" i="1"/>
  <c r="AL430" i="1"/>
  <c r="AA420" i="1"/>
  <c r="AL420" i="1"/>
  <c r="AH412" i="1"/>
  <c r="AL412" i="1"/>
  <c r="AI403" i="1"/>
  <c r="AL403" i="1"/>
  <c r="AC386" i="1"/>
  <c r="AL386" i="1"/>
  <c r="AL378" i="1"/>
  <c r="AL370" i="1"/>
  <c r="AL362" i="1"/>
  <c r="AA354" i="1"/>
  <c r="AL354" i="1"/>
  <c r="AL346" i="1"/>
  <c r="AH338" i="1"/>
  <c r="AL338" i="1"/>
  <c r="AG330" i="1"/>
  <c r="AL330" i="1"/>
  <c r="AG321" i="1"/>
  <c r="AL321" i="1"/>
  <c r="AH313" i="1"/>
  <c r="AA305" i="1"/>
  <c r="AL305" i="1"/>
  <c r="AC296" i="1"/>
  <c r="AL296" i="1"/>
  <c r="AA288" i="1"/>
  <c r="AL288" i="1"/>
  <c r="AL280" i="1"/>
  <c r="AH272" i="1"/>
  <c r="AL272" i="1"/>
  <c r="AL264" i="1"/>
  <c r="AH256" i="1"/>
  <c r="AL256" i="1"/>
  <c r="AG248" i="1"/>
  <c r="AL248" i="1"/>
  <c r="AL240" i="1"/>
  <c r="AL232" i="1"/>
  <c r="AI224" i="1"/>
  <c r="AL224" i="1"/>
  <c r="AL216" i="1"/>
  <c r="AA208" i="1"/>
  <c r="AL208" i="1"/>
  <c r="AL200" i="1"/>
  <c r="AG192" i="1"/>
  <c r="AL192" i="1"/>
  <c r="AL184" i="1"/>
  <c r="AC176" i="1"/>
  <c r="AL176" i="1"/>
  <c r="AH167" i="1"/>
  <c r="AL167" i="1"/>
  <c r="AA159" i="1"/>
  <c r="AL159" i="1"/>
  <c r="AI151" i="1"/>
  <c r="AL151" i="1"/>
  <c r="AH143" i="1"/>
  <c r="AA135" i="1"/>
  <c r="AL135" i="1"/>
  <c r="AA127" i="1"/>
  <c r="AL127" i="1"/>
  <c r="AG117" i="1"/>
  <c r="AL117" i="1"/>
  <c r="AA75" i="1"/>
  <c r="AL75" i="1" s="1"/>
  <c r="AH67" i="1"/>
  <c r="AH59" i="1"/>
  <c r="AA51" i="1"/>
  <c r="AA43" i="1"/>
  <c r="AA27" i="1"/>
  <c r="AA15" i="1"/>
  <c r="AL441" i="1"/>
  <c r="AL271" i="1"/>
  <c r="AG181" i="1"/>
  <c r="AL181" i="1"/>
  <c r="AC503" i="1"/>
  <c r="AL503" i="1"/>
  <c r="AG479" i="1"/>
  <c r="AL479" i="1"/>
  <c r="AL438" i="1"/>
  <c r="AG513" i="1"/>
  <c r="AL513" i="1"/>
  <c r="AL512" i="1"/>
  <c r="AL504" i="1"/>
  <c r="AL496" i="1"/>
  <c r="AL488" i="1"/>
  <c r="AH480" i="1"/>
  <c r="AL480" i="1"/>
  <c r="AH472" i="1"/>
  <c r="AL472" i="1"/>
  <c r="AG464" i="1"/>
  <c r="AL464" i="1"/>
  <c r="AG455" i="1"/>
  <c r="AL455" i="1"/>
  <c r="AG447" i="1"/>
  <c r="AL447" i="1"/>
  <c r="AI439" i="1"/>
  <c r="AL439" i="1"/>
  <c r="AI431" i="1"/>
  <c r="AL431" i="1"/>
  <c r="AI413" i="1"/>
  <c r="AL413" i="1"/>
  <c r="AG404" i="1"/>
  <c r="AL404" i="1"/>
  <c r="AA396" i="1"/>
  <c r="AL396" i="1"/>
  <c r="AI387" i="1"/>
  <c r="AL387" i="1"/>
  <c r="AL371" i="1"/>
  <c r="AL363" i="1"/>
  <c r="AL355" i="1"/>
  <c r="AC347" i="1"/>
  <c r="AL347" i="1"/>
  <c r="AG339" i="1"/>
  <c r="AL339" i="1"/>
  <c r="AL331" i="1"/>
  <c r="AH322" i="1"/>
  <c r="AL322" i="1"/>
  <c r="AG314" i="1"/>
  <c r="AL314" i="1"/>
  <c r="AA306" i="1"/>
  <c r="AL306" i="1"/>
  <c r="AA297" i="1"/>
  <c r="AL297" i="1"/>
  <c r="AL289" i="1"/>
  <c r="AL281" i="1"/>
  <c r="AC273" i="1"/>
  <c r="AL273" i="1"/>
  <c r="AL265" i="1"/>
  <c r="AL257" i="1"/>
  <c r="AG241" i="1"/>
  <c r="AL241" i="1"/>
  <c r="AL233" i="1"/>
  <c r="AL225" i="1"/>
  <c r="AG217" i="1"/>
  <c r="AL217" i="1"/>
  <c r="AA209" i="1"/>
  <c r="AL209" i="1"/>
  <c r="AG201" i="1"/>
  <c r="AL201" i="1"/>
  <c r="AI193" i="1"/>
  <c r="AL193" i="1"/>
  <c r="AL177" i="1"/>
  <c r="AH168" i="1"/>
  <c r="AL168" i="1"/>
  <c r="AC160" i="1"/>
  <c r="AL160" i="1"/>
  <c r="AG152" i="1"/>
  <c r="AL152" i="1"/>
  <c r="AL144" i="1"/>
  <c r="AL136" i="1"/>
  <c r="AG128" i="1"/>
  <c r="AL128" i="1"/>
  <c r="AH118" i="1"/>
  <c r="AL118" i="1"/>
  <c r="AA109" i="1"/>
  <c r="AL109" i="1" s="1"/>
  <c r="AH60" i="1"/>
  <c r="AL249" i="1"/>
  <c r="AH80" i="1"/>
  <c r="AG502" i="1"/>
  <c r="AL502" i="1"/>
  <c r="AC494" i="1"/>
  <c r="AL494" i="1"/>
  <c r="AC495" i="1"/>
  <c r="AL495" i="1"/>
  <c r="AG471" i="1"/>
  <c r="AL471" i="1"/>
  <c r="AG462" i="1"/>
  <c r="AL462" i="1"/>
  <c r="AA514" i="1"/>
  <c r="AL514" i="1"/>
  <c r="AG497" i="1"/>
  <c r="AL497" i="1"/>
  <c r="AG489" i="1"/>
  <c r="AL489" i="1"/>
  <c r="AG481" i="1"/>
  <c r="AL481" i="1"/>
  <c r="AA473" i="1"/>
  <c r="AL473" i="1"/>
  <c r="AI465" i="1"/>
  <c r="AL465" i="1"/>
  <c r="AC456" i="1"/>
  <c r="AL456" i="1"/>
  <c r="AG448" i="1"/>
  <c r="AL448" i="1"/>
  <c r="AA440" i="1"/>
  <c r="AL440" i="1"/>
  <c r="AC432" i="1"/>
  <c r="AL432" i="1"/>
  <c r="AL422" i="1"/>
  <c r="AG414" i="1"/>
  <c r="AL414" i="1"/>
  <c r="AL406" i="1"/>
  <c r="AI405" i="1"/>
  <c r="AL405" i="1"/>
  <c r="AA388" i="1"/>
  <c r="AL388" i="1"/>
  <c r="AL380" i="1"/>
  <c r="AH372" i="1"/>
  <c r="AL372" i="1"/>
  <c r="AH364" i="1"/>
  <c r="AL364" i="1"/>
  <c r="AH356" i="1"/>
  <c r="AL356" i="1"/>
  <c r="AL348" i="1"/>
  <c r="AH340" i="1"/>
  <c r="AL340" i="1"/>
  <c r="AI332" i="1"/>
  <c r="AL332" i="1"/>
  <c r="AL323" i="1"/>
  <c r="AH315" i="1"/>
  <c r="AL315" i="1"/>
  <c r="AG307" i="1"/>
  <c r="AL307" i="1"/>
  <c r="AG298" i="1"/>
  <c r="AL298" i="1"/>
  <c r="AG290" i="1"/>
  <c r="AL290" i="1"/>
  <c r="AL282" i="1"/>
  <c r="AH274" i="1"/>
  <c r="AL274" i="1"/>
  <c r="AL266" i="1"/>
  <c r="AH258" i="1"/>
  <c r="AL258" i="1"/>
  <c r="AH250" i="1"/>
  <c r="AL250" i="1"/>
  <c r="AC242" i="1"/>
  <c r="AL242" i="1"/>
  <c r="AL234" i="1"/>
  <c r="AC226" i="1"/>
  <c r="AL226" i="1"/>
  <c r="AL218" i="1"/>
  <c r="AL210" i="1"/>
  <c r="AG202" i="1"/>
  <c r="AL202" i="1"/>
  <c r="AL194" i="1"/>
  <c r="AL186" i="1"/>
  <c r="AC178" i="1"/>
  <c r="AL178" i="1"/>
  <c r="AL169" i="1"/>
  <c r="AL161" i="1"/>
  <c r="AL153" i="1"/>
  <c r="AG145" i="1"/>
  <c r="AL145" i="1"/>
  <c r="AG137" i="1"/>
  <c r="AL137" i="1"/>
  <c r="AG129" i="1"/>
  <c r="AL129" i="1"/>
  <c r="AL119" i="1"/>
  <c r="AA69" i="1"/>
  <c r="AL69" i="1" s="1"/>
  <c r="AA37" i="1"/>
  <c r="AL399" i="1"/>
  <c r="AL500" i="1"/>
  <c r="AH468" i="1"/>
  <c r="AL468" i="1"/>
  <c r="AI443" i="1"/>
  <c r="AL443" i="1"/>
  <c r="AL375" i="1"/>
  <c r="AL318" i="1"/>
  <c r="AA285" i="1"/>
  <c r="AL285" i="1"/>
  <c r="AC261" i="1"/>
  <c r="AL261" i="1"/>
  <c r="AG253" i="1"/>
  <c r="AL253" i="1"/>
  <c r="AC197" i="1"/>
  <c r="AL197" i="1"/>
  <c r="AL172" i="1"/>
  <c r="AA132" i="1"/>
  <c r="AL132" i="1"/>
  <c r="AG506" i="1"/>
  <c r="AL506" i="1"/>
  <c r="AA498" i="1"/>
  <c r="AL498" i="1"/>
  <c r="AA490" i="1"/>
  <c r="AL490" i="1"/>
  <c r="AA482" i="1"/>
  <c r="AL482" i="1"/>
  <c r="AC474" i="1"/>
  <c r="AL474" i="1"/>
  <c r="AA466" i="1"/>
  <c r="AL466" i="1"/>
  <c r="AG457" i="1"/>
  <c r="AL457" i="1"/>
  <c r="AH449" i="1"/>
  <c r="AL449" i="1"/>
  <c r="AI415" i="1"/>
  <c r="AL415" i="1"/>
  <c r="AI407" i="1"/>
  <c r="AL407" i="1"/>
  <c r="AL398" i="1"/>
  <c r="AA389" i="1"/>
  <c r="AL389" i="1"/>
  <c r="AI381" i="1"/>
  <c r="AL381" i="1"/>
  <c r="AL373" i="1"/>
  <c r="AL365" i="1"/>
  <c r="AG357" i="1"/>
  <c r="AG349" i="1"/>
  <c r="AL349" i="1"/>
  <c r="AG341" i="1"/>
  <c r="AL341" i="1"/>
  <c r="AG333" i="1"/>
  <c r="AL333" i="1"/>
  <c r="AL325" i="1"/>
  <c r="AG324" i="1"/>
  <c r="AL324" i="1"/>
  <c r="AI316" i="1"/>
  <c r="AL316" i="1"/>
  <c r="AC308" i="1"/>
  <c r="AL308" i="1"/>
  <c r="AL299" i="1"/>
  <c r="AL291" i="1"/>
  <c r="AG283" i="1"/>
  <c r="AL283" i="1"/>
  <c r="AC275" i="1"/>
  <c r="AL275" i="1"/>
  <c r="AL267" i="1"/>
  <c r="AG259" i="1"/>
  <c r="AL259" i="1"/>
  <c r="AC251" i="1"/>
  <c r="AL251" i="1"/>
  <c r="AH243" i="1"/>
  <c r="AL243" i="1"/>
  <c r="AG235" i="1"/>
  <c r="AL235" i="1"/>
  <c r="AH227" i="1"/>
  <c r="AL227" i="1"/>
  <c r="AG219" i="1"/>
  <c r="AL219" i="1"/>
  <c r="AL211" i="1"/>
  <c r="AG203" i="1"/>
  <c r="AL203" i="1"/>
  <c r="AL195" i="1"/>
  <c r="AA187" i="1"/>
  <c r="AL187" i="1"/>
  <c r="AA179" i="1"/>
  <c r="AL179" i="1"/>
  <c r="AL170" i="1"/>
  <c r="AL162" i="1"/>
  <c r="AG154" i="1"/>
  <c r="AL154" i="1"/>
  <c r="AL146" i="1"/>
  <c r="AG138" i="1"/>
  <c r="AL138" i="1"/>
  <c r="AH130" i="1"/>
  <c r="AL130" i="1"/>
  <c r="AG120" i="1"/>
  <c r="AL120" i="1"/>
  <c r="AA111" i="1"/>
  <c r="AH22" i="1"/>
  <c r="AL377" i="1"/>
  <c r="AL207" i="1"/>
  <c r="AC476" i="1"/>
  <c r="AL476" i="1"/>
  <c r="AL359" i="1"/>
  <c r="AL164" i="1"/>
  <c r="AC507" i="1"/>
  <c r="AL507" i="1"/>
  <c r="AC499" i="1"/>
  <c r="AL499" i="1"/>
  <c r="AC491" i="1"/>
  <c r="AL491" i="1"/>
  <c r="AC483" i="1"/>
  <c r="AL483" i="1"/>
  <c r="AG475" i="1"/>
  <c r="AL475" i="1"/>
  <c r="AG467" i="1"/>
  <c r="AL467" i="1"/>
  <c r="AG458" i="1"/>
  <c r="AL458" i="1"/>
  <c r="AL450" i="1"/>
  <c r="AG442" i="1"/>
  <c r="AL442" i="1"/>
  <c r="AG434" i="1"/>
  <c r="AL434" i="1"/>
  <c r="AG424" i="1"/>
  <c r="AL424" i="1"/>
  <c r="AH416" i="1"/>
  <c r="AL416" i="1"/>
  <c r="AH408" i="1"/>
  <c r="AL408" i="1"/>
  <c r="AA390" i="1"/>
  <c r="AL390" i="1"/>
  <c r="AH382" i="1"/>
  <c r="AL382" i="1"/>
  <c r="AG374" i="1"/>
  <c r="AL374" i="1"/>
  <c r="AG366" i="1"/>
  <c r="AL366" i="1"/>
  <c r="AH358" i="1"/>
  <c r="AL358" i="1"/>
  <c r="AH350" i="1"/>
  <c r="AL350" i="1"/>
  <c r="AL342" i="1"/>
  <c r="AA334" i="1"/>
  <c r="AL334" i="1"/>
  <c r="AH326" i="1"/>
  <c r="AL326" i="1"/>
  <c r="AH324" i="1"/>
  <c r="AL317" i="1"/>
  <c r="AG309" i="1"/>
  <c r="AL309" i="1"/>
  <c r="AC300" i="1"/>
  <c r="AL300" i="1"/>
  <c r="AC292" i="1"/>
  <c r="AL292" i="1"/>
  <c r="AH284" i="1"/>
  <c r="AL284" i="1"/>
  <c r="AG276" i="1"/>
  <c r="AL276" i="1"/>
  <c r="AH268" i="1"/>
  <c r="AL268" i="1"/>
  <c r="AA260" i="1"/>
  <c r="AL260" i="1"/>
  <c r="AG252" i="1"/>
  <c r="AL252" i="1"/>
  <c r="AL244" i="1"/>
  <c r="AH236" i="1"/>
  <c r="AL236" i="1"/>
  <c r="AL228" i="1"/>
  <c r="AA220" i="1"/>
  <c r="AL220" i="1"/>
  <c r="AL212" i="1"/>
  <c r="AA204" i="1"/>
  <c r="AL204" i="1"/>
  <c r="AL196" i="1"/>
  <c r="AL188" i="1"/>
  <c r="AG180" i="1"/>
  <c r="AL180" i="1"/>
  <c r="AH171" i="1"/>
  <c r="AL171" i="1"/>
  <c r="AL163" i="1"/>
  <c r="AA155" i="1"/>
  <c r="AL155" i="1"/>
  <c r="AA147" i="1"/>
  <c r="AL147" i="1"/>
  <c r="AA139" i="1"/>
  <c r="AL139" i="1"/>
  <c r="AI131" i="1"/>
  <c r="AL131" i="1"/>
  <c r="AA112" i="1"/>
  <c r="AA79" i="1"/>
  <c r="AH63" i="1"/>
  <c r="AH55" i="1"/>
  <c r="AA47" i="1"/>
  <c r="AL357" i="1"/>
  <c r="AL185" i="1"/>
  <c r="AA36" i="1"/>
  <c r="AA28" i="1"/>
  <c r="AA20" i="1"/>
  <c r="AA31" i="1"/>
  <c r="AA32" i="1"/>
  <c r="AA24" i="1"/>
  <c r="AH500" i="1"/>
  <c r="AC324" i="1"/>
  <c r="AA303" i="1"/>
  <c r="AH428" i="1"/>
  <c r="AH319" i="1"/>
  <c r="AG512" i="1"/>
  <c r="AI303" i="1"/>
  <c r="AA81" i="1"/>
  <c r="AH476" i="1"/>
  <c r="AG478" i="1"/>
  <c r="AI302" i="1"/>
  <c r="AI284" i="1"/>
  <c r="AG480" i="1"/>
  <c r="AG476" i="1"/>
  <c r="AA405" i="1"/>
  <c r="AI334" i="1"/>
  <c r="AC428" i="1"/>
  <c r="AC427" i="1"/>
  <c r="AG413" i="1"/>
  <c r="AG376" i="1"/>
  <c r="AI447" i="1"/>
  <c r="AG302" i="1"/>
  <c r="AC512" i="1"/>
  <c r="AH496" i="1"/>
  <c r="AA475" i="1"/>
  <c r="AI418" i="1"/>
  <c r="AI310" i="1"/>
  <c r="AH165" i="1"/>
  <c r="AA512" i="1"/>
  <c r="AH334" i="1"/>
  <c r="AG313" i="1"/>
  <c r="AH475" i="1"/>
  <c r="AH444" i="1"/>
  <c r="AG246" i="1"/>
  <c r="AI189" i="1"/>
  <c r="AH181" i="1"/>
  <c r="AG260" i="1"/>
  <c r="AI237" i="1"/>
  <c r="AC217" i="1"/>
  <c r="AC124" i="1"/>
  <c r="AC129" i="1"/>
  <c r="AH137" i="1"/>
  <c r="AH129" i="1"/>
  <c r="AA165" i="1"/>
  <c r="AG142" i="1"/>
  <c r="AG132" i="1"/>
  <c r="AG116" i="1"/>
  <c r="AH77" i="1"/>
  <c r="AH49" i="1"/>
  <c r="AH506" i="1"/>
  <c r="AG500" i="1"/>
  <c r="AH512" i="1"/>
  <c r="AI506" i="1"/>
  <c r="AH450" i="1"/>
  <c r="AH420" i="1"/>
  <c r="AI406" i="1"/>
  <c r="AH370" i="1"/>
  <c r="AI358" i="1"/>
  <c r="AI319" i="1"/>
  <c r="AH303" i="1"/>
  <c r="AH287" i="1"/>
  <c r="AH132" i="1"/>
  <c r="AH17" i="1"/>
  <c r="AH510" i="1"/>
  <c r="AG430" i="1"/>
  <c r="AI429" i="1"/>
  <c r="AA413" i="1"/>
  <c r="AG406" i="1"/>
  <c r="AI384" i="1"/>
  <c r="AC367" i="1"/>
  <c r="AH333" i="1"/>
  <c r="AG319" i="1"/>
  <c r="AC253" i="1"/>
  <c r="AI183" i="1"/>
  <c r="AG150" i="1"/>
  <c r="AG126" i="1"/>
  <c r="AH121" i="1"/>
  <c r="AH84" i="1"/>
  <c r="AA49" i="1"/>
  <c r="AG358" i="1"/>
  <c r="AI356" i="1"/>
  <c r="AI149" i="1"/>
  <c r="AC142" i="1"/>
  <c r="AG125" i="1"/>
  <c r="AA77" i="1"/>
  <c r="AH406" i="1"/>
  <c r="AC450" i="1"/>
  <c r="AI500" i="1"/>
  <c r="AC358" i="1"/>
  <c r="AC303" i="1"/>
  <c r="AI209" i="1"/>
  <c r="AH208" i="1"/>
  <c r="AC132" i="1"/>
  <c r="AA506" i="1"/>
  <c r="AA450" i="1"/>
  <c r="AI450" i="1"/>
  <c r="AI256" i="1"/>
  <c r="AH192" i="1"/>
  <c r="AH191" i="1"/>
  <c r="AH41" i="1"/>
  <c r="AH37" i="1"/>
  <c r="AH69" i="1"/>
  <c r="AH193" i="1"/>
  <c r="AH160" i="1"/>
  <c r="AI159" i="1"/>
  <c r="AG17" i="1"/>
  <c r="AH241" i="1"/>
  <c r="AH488" i="1"/>
  <c r="AC480" i="1"/>
  <c r="AI475" i="1"/>
  <c r="AC463" i="1"/>
  <c r="AG450" i="1"/>
  <c r="AI401" i="1"/>
  <c r="AI386" i="1"/>
  <c r="AI385" i="1"/>
  <c r="AH339" i="1"/>
  <c r="AG337" i="1"/>
  <c r="AG334" i="1"/>
  <c r="AG285" i="1"/>
  <c r="AH220" i="1"/>
  <c r="AI181" i="1"/>
  <c r="AI165" i="1"/>
  <c r="AC126" i="1"/>
  <c r="AG121" i="1"/>
  <c r="AH120" i="1"/>
  <c r="AH109" i="1"/>
  <c r="AG420" i="1"/>
  <c r="AG408" i="1"/>
  <c r="AA447" i="1"/>
  <c r="AC366" i="1"/>
  <c r="AH374" i="1"/>
  <c r="AH424" i="1"/>
  <c r="AG305" i="1"/>
  <c r="AG473" i="1"/>
  <c r="AG472" i="1"/>
  <c r="AI459" i="1"/>
  <c r="AI449" i="1"/>
  <c r="AC426" i="1"/>
  <c r="AH418" i="1"/>
  <c r="AH404" i="1"/>
  <c r="AG393" i="1"/>
  <c r="AC374" i="1"/>
  <c r="AA328" i="1"/>
  <c r="AG310" i="1"/>
  <c r="AH290" i="1"/>
  <c r="AC241" i="1"/>
  <c r="AH231" i="1"/>
  <c r="AG208" i="1"/>
  <c r="AG168" i="1"/>
  <c r="AH147" i="1"/>
  <c r="AC105" i="1"/>
  <c r="AH76" i="1"/>
  <c r="AC36" i="1"/>
  <c r="AH514" i="1"/>
  <c r="AI454" i="1"/>
  <c r="AG510" i="1"/>
  <c r="AH482" i="1"/>
  <c r="AH471" i="1"/>
  <c r="AG466" i="1"/>
  <c r="AH465" i="1"/>
  <c r="AC420" i="1"/>
  <c r="AC419" i="1"/>
  <c r="AA366" i="1"/>
  <c r="AH321" i="1"/>
  <c r="AH199" i="1"/>
  <c r="AI187" i="1"/>
  <c r="AG149" i="1"/>
  <c r="AC125" i="1"/>
  <c r="AI366" i="1"/>
  <c r="AA500" i="1"/>
  <c r="AG494" i="1"/>
  <c r="AH446" i="1"/>
  <c r="AG444" i="1"/>
  <c r="AH442" i="1"/>
  <c r="AG432" i="1"/>
  <c r="AG421" i="1"/>
  <c r="AC390" i="1"/>
  <c r="AC383" i="1"/>
  <c r="AH366" i="1"/>
  <c r="AC313" i="1"/>
  <c r="AC246" i="1"/>
  <c r="AC192" i="1"/>
  <c r="AC181" i="1"/>
  <c r="AA17" i="1"/>
  <c r="AI17" i="1"/>
  <c r="AH73" i="1"/>
  <c r="AH57" i="1"/>
  <c r="AG484" i="1"/>
  <c r="AA480" i="1"/>
  <c r="AG429" i="1"/>
  <c r="AA374" i="1"/>
  <c r="AH283" i="1"/>
  <c r="AG257" i="1"/>
  <c r="AG242" i="1"/>
  <c r="AG162" i="1"/>
  <c r="AG160" i="1"/>
  <c r="AI155" i="1"/>
  <c r="AH72" i="1"/>
  <c r="AH56" i="1"/>
  <c r="AG297" i="1"/>
  <c r="AI480" i="1"/>
  <c r="AH436" i="1"/>
  <c r="AA470" i="1"/>
  <c r="AG441" i="1"/>
  <c r="AG440" i="1"/>
  <c r="AC431" i="1"/>
  <c r="AC410" i="1"/>
  <c r="AH396" i="1"/>
  <c r="AH390" i="1"/>
  <c r="AH384" i="1"/>
  <c r="AI374" i="1"/>
  <c r="AA358" i="1"/>
  <c r="AA339" i="1"/>
  <c r="AI328" i="1"/>
  <c r="AI322" i="1"/>
  <c r="AA319" i="1"/>
  <c r="AA316" i="1"/>
  <c r="AA310" i="1"/>
  <c r="AC285" i="1"/>
  <c r="AI274" i="1"/>
  <c r="AG255" i="1"/>
  <c r="AH254" i="1"/>
  <c r="AI241" i="1"/>
  <c r="AC232" i="1"/>
  <c r="AG220" i="1"/>
  <c r="AI219" i="1"/>
  <c r="AH183" i="1"/>
  <c r="AG182" i="1"/>
  <c r="AC168" i="1"/>
  <c r="AH159" i="1"/>
  <c r="AG140" i="1"/>
  <c r="AI139" i="1"/>
  <c r="AI125" i="1"/>
  <c r="AC116" i="1"/>
  <c r="AC101" i="1"/>
  <c r="AA89" i="1"/>
  <c r="AG69" i="1"/>
  <c r="AH51" i="1"/>
  <c r="AH45" i="1"/>
  <c r="AC368" i="1"/>
  <c r="AC350" i="1"/>
  <c r="AC305" i="1"/>
  <c r="AC290" i="1"/>
  <c r="AC201" i="1"/>
  <c r="AC173" i="1"/>
  <c r="AA494" i="1"/>
  <c r="AA410" i="1"/>
  <c r="AA386" i="1"/>
  <c r="AC304" i="1"/>
  <c r="AC297" i="1"/>
  <c r="AC295" i="1"/>
  <c r="AC260" i="1"/>
  <c r="AH239" i="1"/>
  <c r="AI232" i="1"/>
  <c r="AA232" i="1"/>
  <c r="AH226" i="1"/>
  <c r="AI225" i="1"/>
  <c r="AC164" i="1"/>
  <c r="AC60" i="1"/>
  <c r="AH270" i="1"/>
  <c r="AG488" i="1"/>
  <c r="AG496" i="1"/>
  <c r="AA443" i="1"/>
  <c r="AI410" i="1"/>
  <c r="AI389" i="1"/>
  <c r="AG388" i="1"/>
  <c r="AG370" i="1"/>
  <c r="AA368" i="1"/>
  <c r="AA350" i="1"/>
  <c r="AI278" i="1"/>
  <c r="AA270" i="1"/>
  <c r="AH237" i="1"/>
  <c r="AI236" i="1"/>
  <c r="AH232" i="1"/>
  <c r="AA201" i="1"/>
  <c r="AH180" i="1"/>
  <c r="AG178" i="1"/>
  <c r="AI173" i="1"/>
  <c r="AA173" i="1"/>
  <c r="AG130" i="1"/>
  <c r="AA57" i="1"/>
  <c r="AL57" i="1" s="1"/>
  <c r="AG164" i="1"/>
  <c r="AI494" i="1"/>
  <c r="AH504" i="1"/>
  <c r="AH494" i="1"/>
  <c r="AG469" i="1"/>
  <c r="AG453" i="1"/>
  <c r="AG410" i="1"/>
  <c r="AA406" i="1"/>
  <c r="AA393" i="1"/>
  <c r="AI368" i="1"/>
  <c r="AI350" i="1"/>
  <c r="AG335" i="1"/>
  <c r="AC328" i="1"/>
  <c r="AI308" i="1"/>
  <c r="AI306" i="1"/>
  <c r="AI262" i="1"/>
  <c r="AH252" i="1"/>
  <c r="AG232" i="1"/>
  <c r="AG210" i="1"/>
  <c r="AH173" i="1"/>
  <c r="AA149" i="1"/>
  <c r="AC38" i="1"/>
  <c r="AH368" i="1"/>
  <c r="AG350" i="1"/>
  <c r="AH297" i="1"/>
  <c r="AH260" i="1"/>
  <c r="AH201" i="1"/>
  <c r="AH164" i="1"/>
  <c r="AC137" i="1"/>
  <c r="AC16" i="1"/>
  <c r="AH490" i="1"/>
  <c r="AI510" i="1"/>
  <c r="AC506" i="1"/>
  <c r="AG498" i="1"/>
  <c r="AI496" i="1"/>
  <c r="AA496" i="1"/>
  <c r="AG490" i="1"/>
  <c r="AI484" i="1"/>
  <c r="AC466" i="1"/>
  <c r="AG463" i="1"/>
  <c r="AH459" i="1"/>
  <c r="AH440" i="1"/>
  <c r="AA432" i="1"/>
  <c r="AH432" i="1"/>
  <c r="AI421" i="1"/>
  <c r="AG418" i="1"/>
  <c r="AC418" i="1"/>
  <c r="AA416" i="1"/>
  <c r="AG416" i="1"/>
  <c r="AG385" i="1"/>
  <c r="AI298" i="1"/>
  <c r="AA298" i="1"/>
  <c r="AG221" i="1"/>
  <c r="AC221" i="1"/>
  <c r="AA221" i="1"/>
  <c r="AC113" i="1"/>
  <c r="AL113" i="1" s="1"/>
  <c r="AA113" i="1"/>
  <c r="AH484" i="1"/>
  <c r="AH469" i="1"/>
  <c r="AH438" i="1"/>
  <c r="AG438" i="1"/>
  <c r="AA408" i="1"/>
  <c r="AC407" i="1"/>
  <c r="AG398" i="1"/>
  <c r="AH398" i="1"/>
  <c r="AI398" i="1"/>
  <c r="AC387" i="1"/>
  <c r="AG356" i="1"/>
  <c r="AC356" i="1"/>
  <c r="AA356" i="1"/>
  <c r="AC348" i="1"/>
  <c r="AG348" i="1"/>
  <c r="AH348" i="1"/>
  <c r="AA348" i="1"/>
  <c r="AI348" i="1"/>
  <c r="AG193" i="1"/>
  <c r="AC170" i="1"/>
  <c r="AG170" i="1"/>
  <c r="AG446" i="1"/>
  <c r="AI446" i="1"/>
  <c r="AA446" i="1"/>
  <c r="AI445" i="1"/>
  <c r="AA445" i="1"/>
  <c r="AC395" i="1"/>
  <c r="AA381" i="1"/>
  <c r="AC346" i="1"/>
  <c r="AG346" i="1"/>
  <c r="AH346" i="1"/>
  <c r="AA346" i="1"/>
  <c r="AI346" i="1"/>
  <c r="AA331" i="1"/>
  <c r="AC331" i="1"/>
  <c r="AC323" i="1"/>
  <c r="AG323" i="1"/>
  <c r="AH323" i="1"/>
  <c r="AA323" i="1"/>
  <c r="AI323" i="1"/>
  <c r="AH291" i="1"/>
  <c r="AG291" i="1"/>
  <c r="AG245" i="1"/>
  <c r="AC245" i="1"/>
  <c r="AI245" i="1"/>
  <c r="AA245" i="1"/>
  <c r="AA196" i="1"/>
  <c r="AC196" i="1"/>
  <c r="AH196" i="1"/>
  <c r="AA100" i="1"/>
  <c r="AG445" i="1"/>
  <c r="AG396" i="1"/>
  <c r="AI395" i="1"/>
  <c r="AG381" i="1"/>
  <c r="AG331" i="1"/>
  <c r="AH330" i="1"/>
  <c r="AA293" i="1"/>
  <c r="AC293" i="1"/>
  <c r="AH293" i="1"/>
  <c r="AG289" i="1"/>
  <c r="AC289" i="1"/>
  <c r="AH289" i="1"/>
  <c r="AI289" i="1"/>
  <c r="AA289" i="1"/>
  <c r="AH271" i="1"/>
  <c r="AH245" i="1"/>
  <c r="AH219" i="1"/>
  <c r="AG196" i="1"/>
  <c r="AC490" i="1"/>
  <c r="AG482" i="1"/>
  <c r="AH477" i="1"/>
  <c r="AG468" i="1"/>
  <c r="AA412" i="1"/>
  <c r="AC412" i="1"/>
  <c r="AC398" i="1"/>
  <c r="AG293" i="1"/>
  <c r="AI292" i="1"/>
  <c r="AC280" i="1"/>
  <c r="AH280" i="1"/>
  <c r="AI280" i="1"/>
  <c r="AA280" i="1"/>
  <c r="AG273" i="1"/>
  <c r="AC265" i="1"/>
  <c r="AG265" i="1"/>
  <c r="AH262" i="1"/>
  <c r="AG261" i="1"/>
  <c r="AA83" i="1"/>
  <c r="AL83" i="1" s="1"/>
  <c r="AC472" i="1"/>
  <c r="AC440" i="1"/>
  <c r="AG412" i="1"/>
  <c r="AC408" i="1"/>
  <c r="AC388" i="1"/>
  <c r="AG386" i="1"/>
  <c r="AH386" i="1"/>
  <c r="AG280" i="1"/>
  <c r="AH278" i="1"/>
  <c r="AG277" i="1"/>
  <c r="AG267" i="1"/>
  <c r="AH267" i="1"/>
  <c r="AC145" i="1"/>
  <c r="AH145" i="1"/>
  <c r="AA145" i="1"/>
  <c r="AI145" i="1"/>
  <c r="AI143" i="1"/>
  <c r="AH83" i="1"/>
  <c r="AG514" i="1"/>
  <c r="AG504" i="1"/>
  <c r="AC496" i="1"/>
  <c r="AI490" i="1"/>
  <c r="AI470" i="1"/>
  <c r="AA469" i="1"/>
  <c r="AH464" i="1"/>
  <c r="AA454" i="1"/>
  <c r="AH448" i="1"/>
  <c r="AC448" i="1"/>
  <c r="AC446" i="1"/>
  <c r="AI442" i="1"/>
  <c r="AA442" i="1"/>
  <c r="AA421" i="1"/>
  <c r="AA401" i="1"/>
  <c r="AA400" i="1"/>
  <c r="AC400" i="1"/>
  <c r="AC399" i="1"/>
  <c r="AA398" i="1"/>
  <c r="AA370" i="1"/>
  <c r="AC370" i="1"/>
  <c r="AG268" i="1"/>
  <c r="AC268" i="1"/>
  <c r="AI268" i="1"/>
  <c r="AA268" i="1"/>
  <c r="AA157" i="1"/>
  <c r="AA104" i="1"/>
  <c r="AA510" i="1"/>
  <c r="AH498" i="1"/>
  <c r="AA484" i="1"/>
  <c r="AC478" i="1"/>
  <c r="AC471" i="1"/>
  <c r="AH470" i="1"/>
  <c r="AH457" i="1"/>
  <c r="AA457" i="1"/>
  <c r="AA439" i="1"/>
  <c r="AA433" i="1"/>
  <c r="AI433" i="1"/>
  <c r="AG426" i="1"/>
  <c r="AA426" i="1"/>
  <c r="AI376" i="1"/>
  <c r="AA376" i="1"/>
  <c r="AA307" i="1"/>
  <c r="AC307" i="1"/>
  <c r="AH307" i="1"/>
  <c r="AG205" i="1"/>
  <c r="AC205" i="1"/>
  <c r="AG186" i="1"/>
  <c r="AH157" i="1"/>
  <c r="AH138" i="1"/>
  <c r="AC138" i="1"/>
  <c r="AG118" i="1"/>
  <c r="AH354" i="1"/>
  <c r="AG354" i="1"/>
  <c r="AH335" i="1"/>
  <c r="AH259" i="1"/>
  <c r="AG231" i="1"/>
  <c r="AI229" i="1"/>
  <c r="AG228" i="1"/>
  <c r="AG226" i="1"/>
  <c r="AI300" i="1"/>
  <c r="AG223" i="1"/>
  <c r="AG215" i="1"/>
  <c r="AH187" i="1"/>
  <c r="AH152" i="1"/>
  <c r="AH52" i="1"/>
  <c r="AH44" i="1"/>
  <c r="AC354" i="1"/>
  <c r="AC320" i="1"/>
  <c r="AC257" i="1"/>
  <c r="AC233" i="1"/>
  <c r="AC220" i="1"/>
  <c r="AA217" i="1"/>
  <c r="AC189" i="1"/>
  <c r="AC121" i="1"/>
  <c r="AA101" i="1"/>
  <c r="AC69" i="1"/>
  <c r="AA65" i="1"/>
  <c r="AG384" i="1"/>
  <c r="AC335" i="1"/>
  <c r="AG326" i="1"/>
  <c r="AG322" i="1"/>
  <c r="AH314" i="1"/>
  <c r="AG306" i="1"/>
  <c r="AA225" i="1"/>
  <c r="AG218" i="1"/>
  <c r="AH148" i="1"/>
  <c r="AG134" i="1"/>
  <c r="AC130" i="1"/>
  <c r="AI127" i="1"/>
  <c r="AA105" i="1"/>
  <c r="AA103" i="1"/>
  <c r="AA45" i="1"/>
  <c r="AI354" i="1"/>
  <c r="AG338" i="1"/>
  <c r="AA320" i="1"/>
  <c r="AI296" i="1"/>
  <c r="AI220" i="1"/>
  <c r="AH217" i="1"/>
  <c r="AH179" i="1"/>
  <c r="AG176" i="1"/>
  <c r="AI175" i="1"/>
  <c r="AI121" i="1"/>
  <c r="AA121" i="1"/>
  <c r="AI69" i="1"/>
  <c r="AH65" i="1"/>
  <c r="AH40" i="1"/>
  <c r="AH36" i="1"/>
  <c r="AC329" i="1"/>
  <c r="AH276" i="1"/>
  <c r="AG213" i="1"/>
  <c r="AH213" i="1"/>
  <c r="AI213" i="1"/>
  <c r="AA213" i="1"/>
  <c r="AC213" i="1"/>
  <c r="AH211" i="1"/>
  <c r="AA211" i="1"/>
  <c r="AA93" i="1"/>
  <c r="AL93" i="1" s="1"/>
  <c r="AC93" i="1"/>
  <c r="AA394" i="1"/>
  <c r="AI394" i="1"/>
  <c r="AC394" i="1"/>
  <c r="AA382" i="1"/>
  <c r="AI382" i="1"/>
  <c r="AC382" i="1"/>
  <c r="AG329" i="1"/>
  <c r="AA301" i="1"/>
  <c r="AC301" i="1"/>
  <c r="AH299" i="1"/>
  <c r="AA299" i="1"/>
  <c r="AI299" i="1"/>
  <c r="AC299" i="1"/>
  <c r="AG275" i="1"/>
  <c r="AC214" i="1"/>
  <c r="AG211" i="1"/>
  <c r="AC276" i="1"/>
  <c r="AI276" i="1"/>
  <c r="AA276" i="1"/>
  <c r="AC212" i="1"/>
  <c r="AG212" i="1"/>
  <c r="AC98" i="1"/>
  <c r="AG465" i="1"/>
  <c r="AG449" i="1"/>
  <c r="AI425" i="1"/>
  <c r="AA425" i="1"/>
  <c r="AG394" i="1"/>
  <c r="AG389" i="1"/>
  <c r="AG382" i="1"/>
  <c r="AG378" i="1"/>
  <c r="AH378" i="1"/>
  <c r="AA378" i="1"/>
  <c r="AI378" i="1"/>
  <c r="AC378" i="1"/>
  <c r="AG301" i="1"/>
  <c r="AG299" i="1"/>
  <c r="AA294" i="1"/>
  <c r="AC284" i="1"/>
  <c r="AA284" i="1"/>
  <c r="AC272" i="1"/>
  <c r="AI272" i="1"/>
  <c r="AA272" i="1"/>
  <c r="AH244" i="1"/>
  <c r="AC244" i="1"/>
  <c r="AG244" i="1"/>
  <c r="AG214" i="1"/>
  <c r="AC492" i="1"/>
  <c r="AC486" i="1"/>
  <c r="AG452" i="1"/>
  <c r="AA436" i="1"/>
  <c r="AC434" i="1"/>
  <c r="AG433" i="1"/>
  <c r="AG425" i="1"/>
  <c r="AI423" i="1"/>
  <c r="AC423" i="1"/>
  <c r="AH422" i="1"/>
  <c r="AA422" i="1"/>
  <c r="AI422" i="1"/>
  <c r="AC422" i="1"/>
  <c r="AA409" i="1"/>
  <c r="AG402" i="1"/>
  <c r="AH402" i="1"/>
  <c r="AA402" i="1"/>
  <c r="AI402" i="1"/>
  <c r="AC402" i="1"/>
  <c r="AA392" i="1"/>
  <c r="AH392" i="1"/>
  <c r="AC392" i="1"/>
  <c r="AC391" i="1"/>
  <c r="AH380" i="1"/>
  <c r="AA380" i="1"/>
  <c r="AI380" i="1"/>
  <c r="AC380" i="1"/>
  <c r="AC379" i="1"/>
  <c r="AG336" i="1"/>
  <c r="AA315" i="1"/>
  <c r="AI315" i="1"/>
  <c r="AC315" i="1"/>
  <c r="AH311" i="1"/>
  <c r="AA311" i="1"/>
  <c r="AI311" i="1"/>
  <c r="AC311" i="1"/>
  <c r="AG294" i="1"/>
  <c r="AG284" i="1"/>
  <c r="AH282" i="1"/>
  <c r="AI282" i="1"/>
  <c r="AA282" i="1"/>
  <c r="AC282" i="1"/>
  <c r="AG272" i="1"/>
  <c r="AI266" i="1"/>
  <c r="AA266" i="1"/>
  <c r="AG264" i="1"/>
  <c r="AH264" i="1"/>
  <c r="AA264" i="1"/>
  <c r="AI264" i="1"/>
  <c r="AC264" i="1"/>
  <c r="AI258" i="1"/>
  <c r="AC249" i="1"/>
  <c r="AG249" i="1"/>
  <c r="AI240" i="1"/>
  <c r="AA240" i="1"/>
  <c r="AC240" i="1"/>
  <c r="AC502" i="1"/>
  <c r="AH466" i="1"/>
  <c r="AC462" i="1"/>
  <c r="AC438" i="1"/>
  <c r="AA424" i="1"/>
  <c r="AC424" i="1"/>
  <c r="AG422" i="1"/>
  <c r="AG409" i="1"/>
  <c r="AA404" i="1"/>
  <c r="AC404" i="1"/>
  <c r="AC403" i="1"/>
  <c r="AG392" i="1"/>
  <c r="AI391" i="1"/>
  <c r="AG380" i="1"/>
  <c r="AG360" i="1"/>
  <c r="AH360" i="1"/>
  <c r="AA360" i="1"/>
  <c r="AI360" i="1"/>
  <c r="AC360" i="1"/>
  <c r="AH337" i="1"/>
  <c r="AC337" i="1"/>
  <c r="AG332" i="1"/>
  <c r="AA332" i="1"/>
  <c r="AG315" i="1"/>
  <c r="AG311" i="1"/>
  <c r="AH266" i="1"/>
  <c r="AG251" i="1"/>
  <c r="AI250" i="1"/>
  <c r="AH248" i="1"/>
  <c r="AA248" i="1"/>
  <c r="AI248" i="1"/>
  <c r="AC248" i="1"/>
  <c r="AG238" i="1"/>
  <c r="AG185" i="1"/>
  <c r="AI185" i="1"/>
  <c r="AA185" i="1"/>
  <c r="AC185" i="1"/>
  <c r="AH185" i="1"/>
  <c r="AI479" i="1"/>
  <c r="AI508" i="1"/>
  <c r="AA508" i="1"/>
  <c r="AC504" i="1"/>
  <c r="AI502" i="1"/>
  <c r="AA502" i="1"/>
  <c r="AC498" i="1"/>
  <c r="AI492" i="1"/>
  <c r="AA492" i="1"/>
  <c r="AC488" i="1"/>
  <c r="AI486" i="1"/>
  <c r="AA486" i="1"/>
  <c r="AC482" i="1"/>
  <c r="AA453" i="1"/>
  <c r="AA434" i="1"/>
  <c r="AC411" i="1"/>
  <c r="AI397" i="1"/>
  <c r="AA397" i="1"/>
  <c r="AA364" i="1"/>
  <c r="AI364" i="1"/>
  <c r="AC364" i="1"/>
  <c r="AH362" i="1"/>
  <c r="AA362" i="1"/>
  <c r="AI362" i="1"/>
  <c r="AC362" i="1"/>
  <c r="AH352" i="1"/>
  <c r="AA352" i="1"/>
  <c r="AI352" i="1"/>
  <c r="AC352" i="1"/>
  <c r="AC64" i="1"/>
  <c r="AH61" i="1"/>
  <c r="AA61" i="1"/>
  <c r="AC430" i="1"/>
  <c r="AH317" i="1"/>
  <c r="AG317" i="1"/>
  <c r="AG460" i="1"/>
  <c r="AC508" i="1"/>
  <c r="AC514" i="1"/>
  <c r="AH508" i="1"/>
  <c r="AH502" i="1"/>
  <c r="AH492" i="1"/>
  <c r="AH486" i="1"/>
  <c r="AA479" i="1"/>
  <c r="AG477" i="1"/>
  <c r="AC468" i="1"/>
  <c r="AA465" i="1"/>
  <c r="AC459" i="1"/>
  <c r="AC455" i="1"/>
  <c r="AI453" i="1"/>
  <c r="AC444" i="1"/>
  <c r="AI438" i="1"/>
  <c r="AA438" i="1"/>
  <c r="AI434" i="1"/>
  <c r="AI430" i="1"/>
  <c r="AI417" i="1"/>
  <c r="AA417" i="1"/>
  <c r="AI411" i="1"/>
  <c r="AG397" i="1"/>
  <c r="AA372" i="1"/>
  <c r="AI372" i="1"/>
  <c r="AC372" i="1"/>
  <c r="AG364" i="1"/>
  <c r="AG362" i="1"/>
  <c r="AG352" i="1"/>
  <c r="AG342" i="1"/>
  <c r="AH342" i="1"/>
  <c r="AA342" i="1"/>
  <c r="AI342" i="1"/>
  <c r="AC342" i="1"/>
  <c r="AA309" i="1"/>
  <c r="AH309" i="1"/>
  <c r="AC309" i="1"/>
  <c r="AC256" i="1"/>
  <c r="AA256" i="1"/>
  <c r="AA71" i="1"/>
  <c r="AL71" i="1" s="1"/>
  <c r="AH71" i="1"/>
  <c r="AI437" i="1"/>
  <c r="AG437" i="1"/>
  <c r="AI514" i="1"/>
  <c r="AG508" i="1"/>
  <c r="AI504" i="1"/>
  <c r="AA504" i="1"/>
  <c r="AC500" i="1"/>
  <c r="AI498" i="1"/>
  <c r="AG492" i="1"/>
  <c r="AI488" i="1"/>
  <c r="AA488" i="1"/>
  <c r="AC484" i="1"/>
  <c r="AI482" i="1"/>
  <c r="AC475" i="1"/>
  <c r="AC470" i="1"/>
  <c r="AC442" i="1"/>
  <c r="AC436" i="1"/>
  <c r="AC435" i="1"/>
  <c r="AH434" i="1"/>
  <c r="AH430" i="1"/>
  <c r="AG417" i="1"/>
  <c r="AH414" i="1"/>
  <c r="AA414" i="1"/>
  <c r="AI414" i="1"/>
  <c r="AC414" i="1"/>
  <c r="AG372" i="1"/>
  <c r="AH344" i="1"/>
  <c r="AA344" i="1"/>
  <c r="AI344" i="1"/>
  <c r="AC344" i="1"/>
  <c r="AC343" i="1"/>
  <c r="AG340" i="1"/>
  <c r="AC340" i="1"/>
  <c r="AC287" i="1"/>
  <c r="AG256" i="1"/>
  <c r="AH235" i="1"/>
  <c r="AI235" i="1"/>
  <c r="AA235" i="1"/>
  <c r="AG234" i="1"/>
  <c r="AC230" i="1"/>
  <c r="AG230" i="1"/>
  <c r="AH230" i="1"/>
  <c r="AI163" i="1"/>
  <c r="AA163" i="1"/>
  <c r="AI39" i="1"/>
  <c r="AA39" i="1"/>
  <c r="AI295" i="1"/>
  <c r="AA295" i="1"/>
  <c r="AH247" i="1"/>
  <c r="AH163" i="1"/>
  <c r="AG161" i="1"/>
  <c r="AH161" i="1"/>
  <c r="AA161" i="1"/>
  <c r="AI161" i="1"/>
  <c r="AC161" i="1"/>
  <c r="AA55" i="1"/>
  <c r="AH39" i="1"/>
  <c r="AI390" i="1"/>
  <c r="AH388" i="1"/>
  <c r="AH376" i="1"/>
  <c r="AI370" i="1"/>
  <c r="AG368" i="1"/>
  <c r="AI339" i="1"/>
  <c r="AA338" i="1"/>
  <c r="AI335" i="1"/>
  <c r="AA335" i="1"/>
  <c r="AH331" i="1"/>
  <c r="AH328" i="1"/>
  <c r="AA322" i="1"/>
  <c r="AI307" i="1"/>
  <c r="AH305" i="1"/>
  <c r="AH295" i="1"/>
  <c r="AG271" i="1"/>
  <c r="AI260" i="1"/>
  <c r="AG209" i="1"/>
  <c r="AC209" i="1"/>
  <c r="AH209" i="1"/>
  <c r="AI199" i="1"/>
  <c r="AA199" i="1"/>
  <c r="AG198" i="1"/>
  <c r="AG197" i="1"/>
  <c r="AH197" i="1"/>
  <c r="AI197" i="1"/>
  <c r="AA197" i="1"/>
  <c r="AC190" i="1"/>
  <c r="AC146" i="1"/>
  <c r="AG141" i="1"/>
  <c r="AH141" i="1"/>
  <c r="AA141" i="1"/>
  <c r="AI141" i="1"/>
  <c r="AC141" i="1"/>
  <c r="AA136" i="1"/>
  <c r="AH136" i="1"/>
  <c r="AC136" i="1"/>
  <c r="AA120" i="1"/>
  <c r="AC120" i="1"/>
  <c r="AH117" i="1"/>
  <c r="AA117" i="1"/>
  <c r="AI117" i="1"/>
  <c r="AC117" i="1"/>
  <c r="AA87" i="1"/>
  <c r="AH53" i="1"/>
  <c r="AA53" i="1"/>
  <c r="AC53" i="1"/>
  <c r="AH400" i="1"/>
  <c r="AI324" i="1"/>
  <c r="AH285" i="1"/>
  <c r="AA246" i="1"/>
  <c r="AI246" i="1"/>
  <c r="AG225" i="1"/>
  <c r="AC225" i="1"/>
  <c r="AH225" i="1"/>
  <c r="AA224" i="1"/>
  <c r="AG224" i="1"/>
  <c r="AG146" i="1"/>
  <c r="AG136" i="1"/>
  <c r="AI135" i="1"/>
  <c r="AH133" i="1"/>
  <c r="AA133" i="1"/>
  <c r="AI133" i="1"/>
  <c r="AC133" i="1"/>
  <c r="AA128" i="1"/>
  <c r="AH128" i="1"/>
  <c r="AC128" i="1"/>
  <c r="AH85" i="1"/>
  <c r="AA85" i="1"/>
  <c r="AC85" i="1"/>
  <c r="AL85" i="1" s="1"/>
  <c r="AH30" i="1"/>
  <c r="AC406" i="1"/>
  <c r="AC319" i="1"/>
  <c r="AA207" i="1"/>
  <c r="AI207" i="1"/>
  <c r="AH188" i="1"/>
  <c r="AC188" i="1"/>
  <c r="AH177" i="1"/>
  <c r="AA177" i="1"/>
  <c r="AI177" i="1"/>
  <c r="AC177" i="1"/>
  <c r="AH172" i="1"/>
  <c r="AC172" i="1"/>
  <c r="AH169" i="1"/>
  <c r="AA169" i="1"/>
  <c r="AI169" i="1"/>
  <c r="AC169" i="1"/>
  <c r="AH153" i="1"/>
  <c r="AA153" i="1"/>
  <c r="AI153" i="1"/>
  <c r="AC153" i="1"/>
  <c r="AH122" i="1"/>
  <c r="AC122" i="1"/>
  <c r="AH106" i="1"/>
  <c r="AI106" i="1"/>
  <c r="AA106" i="1"/>
  <c r="AC106" i="1"/>
  <c r="AC416" i="1"/>
  <c r="AC415" i="1"/>
  <c r="AC396" i="1"/>
  <c r="AC384" i="1"/>
  <c r="AC363" i="1"/>
  <c r="AG288" i="1"/>
  <c r="AC255" i="1"/>
  <c r="AC247" i="1"/>
  <c r="AA229" i="1"/>
  <c r="AC228" i="1"/>
  <c r="AH222" i="1"/>
  <c r="AC218" i="1"/>
  <c r="AG207" i="1"/>
  <c r="AG206" i="1"/>
  <c r="AH203" i="1"/>
  <c r="AI203" i="1"/>
  <c r="AA203" i="1"/>
  <c r="AG188" i="1"/>
  <c r="AG177" i="1"/>
  <c r="AG172" i="1"/>
  <c r="AI171" i="1"/>
  <c r="AG169" i="1"/>
  <c r="AG153" i="1"/>
  <c r="AG122" i="1"/>
  <c r="AG106" i="1"/>
  <c r="AH33" i="1"/>
  <c r="AC252" i="1"/>
  <c r="AC210" i="1"/>
  <c r="AC208" i="1"/>
  <c r="AA205" i="1"/>
  <c r="AC193" i="1"/>
  <c r="AI192" i="1"/>
  <c r="AA192" i="1"/>
  <c r="AA189" i="1"/>
  <c r="AG165" i="1"/>
  <c r="AG157" i="1"/>
  <c r="AH149" i="1"/>
  <c r="AH140" i="1"/>
  <c r="AI137" i="1"/>
  <c r="AA137" i="1"/>
  <c r="AI129" i="1"/>
  <c r="AA129" i="1"/>
  <c r="AH112" i="1"/>
  <c r="AC73" i="1"/>
  <c r="AC56" i="1"/>
  <c r="AI252" i="1"/>
  <c r="AA252" i="1"/>
  <c r="AA223" i="1"/>
  <c r="AI221" i="1"/>
  <c r="AI217" i="1"/>
  <c r="AH205" i="1"/>
  <c r="AI201" i="1"/>
  <c r="AA193" i="1"/>
  <c r="AH189" i="1"/>
  <c r="AA181" i="1"/>
  <c r="AH155" i="1"/>
  <c r="AH124" i="1"/>
  <c r="AH116" i="1"/>
  <c r="AI204" i="1"/>
  <c r="AC165" i="1"/>
  <c r="AC157" i="1"/>
  <c r="AC89" i="1"/>
  <c r="AC81" i="1"/>
  <c r="AH79" i="1"/>
  <c r="AC77" i="1"/>
  <c r="AG58" i="1"/>
  <c r="AH47" i="1"/>
  <c r="AC45" i="1"/>
  <c r="AC140" i="1"/>
  <c r="AC134" i="1"/>
  <c r="AC118" i="1"/>
  <c r="AH75" i="1"/>
  <c r="AH43" i="1"/>
  <c r="AH20" i="1"/>
  <c r="AA21" i="1"/>
  <c r="AH19" i="1"/>
  <c r="AA19" i="1"/>
  <c r="AA16" i="1"/>
  <c r="AH28" i="1"/>
  <c r="AA33" i="1"/>
  <c r="AH32" i="1"/>
  <c r="AA29" i="1"/>
  <c r="AC34" i="1"/>
  <c r="AI23" i="1"/>
  <c r="AC32" i="1"/>
  <c r="AA25" i="1"/>
  <c r="AH25" i="1"/>
  <c r="AA23" i="1"/>
  <c r="AC28" i="1"/>
  <c r="AC26" i="1"/>
  <c r="AC24" i="1"/>
  <c r="AG456" i="1"/>
  <c r="AI511" i="1"/>
  <c r="AI499" i="1"/>
  <c r="AI495" i="1"/>
  <c r="AA495" i="1"/>
  <c r="AI487" i="1"/>
  <c r="AA487" i="1"/>
  <c r="AA474" i="1"/>
  <c r="AC461" i="1"/>
  <c r="AC373" i="1"/>
  <c r="AH373" i="1"/>
  <c r="AA373" i="1"/>
  <c r="AI373" i="1"/>
  <c r="AC353" i="1"/>
  <c r="AH353" i="1"/>
  <c r="AA353" i="1"/>
  <c r="AI353" i="1"/>
  <c r="AA511" i="1"/>
  <c r="AI507" i="1"/>
  <c r="AA507" i="1"/>
  <c r="AI503" i="1"/>
  <c r="AA503" i="1"/>
  <c r="AA499" i="1"/>
  <c r="AI491" i="1"/>
  <c r="AA491" i="1"/>
  <c r="AI483" i="1"/>
  <c r="AA483" i="1"/>
  <c r="AA476" i="1"/>
  <c r="AI476" i="1"/>
  <c r="AI474" i="1"/>
  <c r="AA467" i="1"/>
  <c r="AG461" i="1"/>
  <c r="AC460" i="1"/>
  <c r="AH511" i="1"/>
  <c r="AH507" i="1"/>
  <c r="AH503" i="1"/>
  <c r="AH499" i="1"/>
  <c r="AH495" i="1"/>
  <c r="AH491" i="1"/>
  <c r="AH487" i="1"/>
  <c r="AH483" i="1"/>
  <c r="AH479" i="1"/>
  <c r="AA477" i="1"/>
  <c r="AH474" i="1"/>
  <c r="AI467" i="1"/>
  <c r="AA464" i="1"/>
  <c r="AI464" i="1"/>
  <c r="AI462" i="1"/>
  <c r="AA462" i="1"/>
  <c r="AI457" i="1"/>
  <c r="AA455" i="1"/>
  <c r="AG454" i="1"/>
  <c r="AC449" i="1"/>
  <c r="AH447" i="1"/>
  <c r="AA441" i="1"/>
  <c r="AA437" i="1"/>
  <c r="AA435" i="1"/>
  <c r="AA431" i="1"/>
  <c r="AA427" i="1"/>
  <c r="AA423" i="1"/>
  <c r="AA419" i="1"/>
  <c r="AA415" i="1"/>
  <c r="AA411" i="1"/>
  <c r="AA407" i="1"/>
  <c r="AA403" i="1"/>
  <c r="AA399" i="1"/>
  <c r="AA395" i="1"/>
  <c r="AA391" i="1"/>
  <c r="AA387" i="1"/>
  <c r="AG375" i="1"/>
  <c r="AH375" i="1"/>
  <c r="AA375" i="1"/>
  <c r="AI375" i="1"/>
  <c r="AG373" i="1"/>
  <c r="AC357" i="1"/>
  <c r="AH357" i="1"/>
  <c r="AA357" i="1"/>
  <c r="AI357" i="1"/>
  <c r="AG355" i="1"/>
  <c r="AH355" i="1"/>
  <c r="AA355" i="1"/>
  <c r="AI355" i="1"/>
  <c r="AG353" i="1"/>
  <c r="AG351" i="1"/>
  <c r="AH351" i="1"/>
  <c r="AA351" i="1"/>
  <c r="AI351" i="1"/>
  <c r="AA94" i="1"/>
  <c r="AC513" i="1"/>
  <c r="AG511" i="1"/>
  <c r="AC509" i="1"/>
  <c r="AG507" i="1"/>
  <c r="AC505" i="1"/>
  <c r="AG503" i="1"/>
  <c r="AC501" i="1"/>
  <c r="AG499" i="1"/>
  <c r="AC497" i="1"/>
  <c r="AG495" i="1"/>
  <c r="AC493" i="1"/>
  <c r="AG491" i="1"/>
  <c r="AC489" i="1"/>
  <c r="AG487" i="1"/>
  <c r="AC485" i="1"/>
  <c r="AG483" i="1"/>
  <c r="AC481" i="1"/>
  <c r="AG474" i="1"/>
  <c r="AC469" i="1"/>
  <c r="AH467" i="1"/>
  <c r="AH462" i="1"/>
  <c r="AC458" i="1"/>
  <c r="AI455" i="1"/>
  <c r="AA452" i="1"/>
  <c r="AI452" i="1"/>
  <c r="AC451" i="1"/>
  <c r="AC377" i="1"/>
  <c r="AH377" i="1"/>
  <c r="AA377" i="1"/>
  <c r="AI377" i="1"/>
  <c r="AC361" i="1"/>
  <c r="AH361" i="1"/>
  <c r="AA361" i="1"/>
  <c r="AI361" i="1"/>
  <c r="AG359" i="1"/>
  <c r="AH359" i="1"/>
  <c r="AA359" i="1"/>
  <c r="AI359" i="1"/>
  <c r="AC341" i="1"/>
  <c r="AH341" i="1"/>
  <c r="AA341" i="1"/>
  <c r="AI341" i="1"/>
  <c r="AG371" i="1"/>
  <c r="AH371" i="1"/>
  <c r="AA371" i="1"/>
  <c r="AI371" i="1"/>
  <c r="AA472" i="1"/>
  <c r="AI472" i="1"/>
  <c r="AC457" i="1"/>
  <c r="AH455" i="1"/>
  <c r="AC445" i="1"/>
  <c r="AH445" i="1"/>
  <c r="AG443" i="1"/>
  <c r="AH443" i="1"/>
  <c r="AG439" i="1"/>
  <c r="AH439" i="1"/>
  <c r="AG383" i="1"/>
  <c r="AH383" i="1"/>
  <c r="AA383" i="1"/>
  <c r="AI383" i="1"/>
  <c r="AG379" i="1"/>
  <c r="AH379" i="1"/>
  <c r="AA379" i="1"/>
  <c r="AI379" i="1"/>
  <c r="AC371" i="1"/>
  <c r="AG363" i="1"/>
  <c r="AH363" i="1"/>
  <c r="AA363" i="1"/>
  <c r="AI363" i="1"/>
  <c r="AC351" i="1"/>
  <c r="AG343" i="1"/>
  <c r="AH343" i="1"/>
  <c r="AA343" i="1"/>
  <c r="AI343" i="1"/>
  <c r="AH281" i="1"/>
  <c r="AC281" i="1"/>
  <c r="AG281" i="1"/>
  <c r="AI281" i="1"/>
  <c r="AA281" i="1"/>
  <c r="AA456" i="1"/>
  <c r="AI456" i="1"/>
  <c r="AI509" i="1"/>
  <c r="AI505" i="1"/>
  <c r="AI481" i="1"/>
  <c r="AI458" i="1"/>
  <c r="AA451" i="1"/>
  <c r="AC441" i="1"/>
  <c r="AH441" i="1"/>
  <c r="AC437" i="1"/>
  <c r="AH437" i="1"/>
  <c r="AG435" i="1"/>
  <c r="AH435" i="1"/>
  <c r="AG431" i="1"/>
  <c r="AH431" i="1"/>
  <c r="AG427" i="1"/>
  <c r="AH427" i="1"/>
  <c r="AG423" i="1"/>
  <c r="AH423" i="1"/>
  <c r="AG419" i="1"/>
  <c r="AH419" i="1"/>
  <c r="AG415" i="1"/>
  <c r="AH415" i="1"/>
  <c r="AG411" i="1"/>
  <c r="AH411" i="1"/>
  <c r="AG407" i="1"/>
  <c r="AH407" i="1"/>
  <c r="AG403" i="1"/>
  <c r="AH403" i="1"/>
  <c r="AG399" i="1"/>
  <c r="AH399" i="1"/>
  <c r="AG395" i="1"/>
  <c r="AH395" i="1"/>
  <c r="AG391" i="1"/>
  <c r="AH391" i="1"/>
  <c r="AG387" i="1"/>
  <c r="AH387" i="1"/>
  <c r="AC381" i="1"/>
  <c r="AH381" i="1"/>
  <c r="AC365" i="1"/>
  <c r="AH365" i="1"/>
  <c r="AA365" i="1"/>
  <c r="AI365" i="1"/>
  <c r="AC345" i="1"/>
  <c r="AH345" i="1"/>
  <c r="AA345" i="1"/>
  <c r="AI345" i="1"/>
  <c r="AC473" i="1"/>
  <c r="AA509" i="1"/>
  <c r="AI501" i="1"/>
  <c r="AA501" i="1"/>
  <c r="AA497" i="1"/>
  <c r="AI493" i="1"/>
  <c r="AA493" i="1"/>
  <c r="AA489" i="1"/>
  <c r="AC477" i="1"/>
  <c r="AA460" i="1"/>
  <c r="AI460" i="1"/>
  <c r="AA458" i="1"/>
  <c r="AH513" i="1"/>
  <c r="AH509" i="1"/>
  <c r="AH505" i="1"/>
  <c r="AH501" i="1"/>
  <c r="AH497" i="1"/>
  <c r="AH493" i="1"/>
  <c r="AH489" i="1"/>
  <c r="AH485" i="1"/>
  <c r="AH481" i="1"/>
  <c r="AC479" i="1"/>
  <c r="AI478" i="1"/>
  <c r="AA478" i="1"/>
  <c r="AI473" i="1"/>
  <c r="AA471" i="1"/>
  <c r="AC465" i="1"/>
  <c r="AC464" i="1"/>
  <c r="AH463" i="1"/>
  <c r="AA461" i="1"/>
  <c r="AH458" i="1"/>
  <c r="AC454" i="1"/>
  <c r="AI451" i="1"/>
  <c r="AA448" i="1"/>
  <c r="AI448" i="1"/>
  <c r="AC447" i="1"/>
  <c r="AC433" i="1"/>
  <c r="AH433" i="1"/>
  <c r="AC429" i="1"/>
  <c r="AH429" i="1"/>
  <c r="AC425" i="1"/>
  <c r="AH425" i="1"/>
  <c r="AC421" i="1"/>
  <c r="AH421" i="1"/>
  <c r="AC417" i="1"/>
  <c r="AH417" i="1"/>
  <c r="AC413" i="1"/>
  <c r="AH413" i="1"/>
  <c r="AC409" i="1"/>
  <c r="AH409" i="1"/>
  <c r="AC405" i="1"/>
  <c r="AH405" i="1"/>
  <c r="AC401" i="1"/>
  <c r="AH401" i="1"/>
  <c r="AC397" i="1"/>
  <c r="AH397" i="1"/>
  <c r="AC393" i="1"/>
  <c r="AH393" i="1"/>
  <c r="AC389" i="1"/>
  <c r="AH389" i="1"/>
  <c r="AC385" i="1"/>
  <c r="AH385" i="1"/>
  <c r="AC375" i="1"/>
  <c r="AG367" i="1"/>
  <c r="AH367" i="1"/>
  <c r="AA367" i="1"/>
  <c r="AI367" i="1"/>
  <c r="AG365" i="1"/>
  <c r="AC355" i="1"/>
  <c r="AG347" i="1"/>
  <c r="AH347" i="1"/>
  <c r="AA347" i="1"/>
  <c r="AI347" i="1"/>
  <c r="AG345" i="1"/>
  <c r="AG327" i="1"/>
  <c r="AH327" i="1"/>
  <c r="AA327" i="1"/>
  <c r="AI327" i="1"/>
  <c r="AC327" i="1"/>
  <c r="AA325" i="1"/>
  <c r="AI325" i="1"/>
  <c r="AH325" i="1"/>
  <c r="AC325" i="1"/>
  <c r="AC318" i="1"/>
  <c r="AH318" i="1"/>
  <c r="AI318" i="1"/>
  <c r="AA318" i="1"/>
  <c r="AI513" i="1"/>
  <c r="AA513" i="1"/>
  <c r="AA505" i="1"/>
  <c r="AI497" i="1"/>
  <c r="AI489" i="1"/>
  <c r="AI485" i="1"/>
  <c r="AA485" i="1"/>
  <c r="AA481" i="1"/>
  <c r="AH473" i="1"/>
  <c r="AI471" i="1"/>
  <c r="AA468" i="1"/>
  <c r="AI468" i="1"/>
  <c r="AC467" i="1"/>
  <c r="AI466" i="1"/>
  <c r="AI461" i="1"/>
  <c r="AA459" i="1"/>
  <c r="AH456" i="1"/>
  <c r="AC453" i="1"/>
  <c r="AC452" i="1"/>
  <c r="AH451" i="1"/>
  <c r="AA449" i="1"/>
  <c r="AC443" i="1"/>
  <c r="AC439" i="1"/>
  <c r="AC369" i="1"/>
  <c r="AH369" i="1"/>
  <c r="AA369" i="1"/>
  <c r="AI369" i="1"/>
  <c r="AC359" i="1"/>
  <c r="AC349" i="1"/>
  <c r="AH349" i="1"/>
  <c r="AA349" i="1"/>
  <c r="AI349" i="1"/>
  <c r="AG325" i="1"/>
  <c r="AG318" i="1"/>
  <c r="AG312" i="1"/>
  <c r="AH312" i="1"/>
  <c r="AI312" i="1"/>
  <c r="AA312" i="1"/>
  <c r="AC312" i="1"/>
  <c r="AI338" i="1"/>
  <c r="AA336" i="1"/>
  <c r="AC330" i="1"/>
  <c r="AA326" i="1"/>
  <c r="AC314" i="1"/>
  <c r="AG308" i="1"/>
  <c r="AH308" i="1"/>
  <c r="AG304" i="1"/>
  <c r="AH304" i="1"/>
  <c r="AG300" i="1"/>
  <c r="AH300" i="1"/>
  <c r="AG296" i="1"/>
  <c r="AH296" i="1"/>
  <c r="AG292" i="1"/>
  <c r="AH292" i="1"/>
  <c r="AA267" i="1"/>
  <c r="AI267" i="1"/>
  <c r="AA238" i="1"/>
  <c r="AI238" i="1"/>
  <c r="AH238" i="1"/>
  <c r="AC339" i="1"/>
  <c r="AI336" i="1"/>
  <c r="AA333" i="1"/>
  <c r="AI333" i="1"/>
  <c r="AC332" i="1"/>
  <c r="AI331" i="1"/>
  <c r="AI326" i="1"/>
  <c r="AA324" i="1"/>
  <c r="AA321" i="1"/>
  <c r="AI321" i="1"/>
  <c r="AC316" i="1"/>
  <c r="AC310" i="1"/>
  <c r="AC306" i="1"/>
  <c r="AH306" i="1"/>
  <c r="AC302" i="1"/>
  <c r="AH302" i="1"/>
  <c r="AC298" i="1"/>
  <c r="AH298" i="1"/>
  <c r="AC294" i="1"/>
  <c r="AH294" i="1"/>
  <c r="AG286" i="1"/>
  <c r="AC286" i="1"/>
  <c r="AI286" i="1"/>
  <c r="AA286" i="1"/>
  <c r="AC123" i="1"/>
  <c r="AG123" i="1"/>
  <c r="AH123" i="1"/>
  <c r="AA123" i="1"/>
  <c r="AC338" i="1"/>
  <c r="AH336" i="1"/>
  <c r="AA317" i="1"/>
  <c r="AI317" i="1"/>
  <c r="AA291" i="1"/>
  <c r="AI291" i="1"/>
  <c r="AC254" i="1"/>
  <c r="AG254" i="1"/>
  <c r="AI254" i="1"/>
  <c r="AA144" i="1"/>
  <c r="AI144" i="1"/>
  <c r="AH144" i="1"/>
  <c r="AC144" i="1"/>
  <c r="AC326" i="1"/>
  <c r="AA313" i="1"/>
  <c r="AI313" i="1"/>
  <c r="AA275" i="1"/>
  <c r="AI275" i="1"/>
  <c r="AH275" i="1"/>
  <c r="AA263" i="1"/>
  <c r="AI263" i="1"/>
  <c r="AC263" i="1"/>
  <c r="AH263" i="1"/>
  <c r="AC227" i="1"/>
  <c r="AA227" i="1"/>
  <c r="AI227" i="1"/>
  <c r="AC195" i="1"/>
  <c r="AH195" i="1"/>
  <c r="AI195" i="1"/>
  <c r="AA195" i="1"/>
  <c r="AH194" i="1"/>
  <c r="AA194" i="1"/>
  <c r="AI194" i="1"/>
  <c r="AC194" i="1"/>
  <c r="AA184" i="1"/>
  <c r="AI184" i="1"/>
  <c r="AC184" i="1"/>
  <c r="AH184" i="1"/>
  <c r="AG144" i="1"/>
  <c r="AA329" i="1"/>
  <c r="AI329" i="1"/>
  <c r="AC288" i="1"/>
  <c r="AH288" i="1"/>
  <c r="AI288" i="1"/>
  <c r="AA279" i="1"/>
  <c r="AI279" i="1"/>
  <c r="AC279" i="1"/>
  <c r="AH279" i="1"/>
  <c r="AC267" i="1"/>
  <c r="AG263" i="1"/>
  <c r="AA251" i="1"/>
  <c r="AI251" i="1"/>
  <c r="AH251" i="1"/>
  <c r="AA244" i="1"/>
  <c r="AI244" i="1"/>
  <c r="AC238" i="1"/>
  <c r="AG227" i="1"/>
  <c r="AC204" i="1"/>
  <c r="AG204" i="1"/>
  <c r="AH204" i="1"/>
  <c r="AG195" i="1"/>
  <c r="AG194" i="1"/>
  <c r="AG184" i="1"/>
  <c r="AA340" i="1"/>
  <c r="AC334" i="1"/>
  <c r="AC333" i="1"/>
  <c r="AH332" i="1"/>
  <c r="AA330" i="1"/>
  <c r="AC321" i="1"/>
  <c r="AG320" i="1"/>
  <c r="AH320" i="1"/>
  <c r="AA314" i="1"/>
  <c r="AA308" i="1"/>
  <c r="AA304" i="1"/>
  <c r="AA300" i="1"/>
  <c r="AA296" i="1"/>
  <c r="AA292" i="1"/>
  <c r="AG279" i="1"/>
  <c r="AH261" i="1"/>
  <c r="AA261" i="1"/>
  <c r="AI261" i="1"/>
  <c r="AA242" i="1"/>
  <c r="AI242" i="1"/>
  <c r="AH242" i="1"/>
  <c r="AA156" i="1"/>
  <c r="AI156" i="1"/>
  <c r="AC156" i="1"/>
  <c r="AH156" i="1"/>
  <c r="AG156" i="1"/>
  <c r="AI444" i="1"/>
  <c r="AI440" i="1"/>
  <c r="AI436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40" i="1"/>
  <c r="AA337" i="1"/>
  <c r="AI337" i="1"/>
  <c r="AC336" i="1"/>
  <c r="AI330" i="1"/>
  <c r="AC322" i="1"/>
  <c r="AC317" i="1"/>
  <c r="AG316" i="1"/>
  <c r="AH316" i="1"/>
  <c r="AI314" i="1"/>
  <c r="AC291" i="1"/>
  <c r="AH277" i="1"/>
  <c r="AA277" i="1"/>
  <c r="AI277" i="1"/>
  <c r="AC258" i="1"/>
  <c r="AG258" i="1"/>
  <c r="AA258" i="1"/>
  <c r="AC215" i="1"/>
  <c r="AH215" i="1"/>
  <c r="AI215" i="1"/>
  <c r="AC271" i="1"/>
  <c r="AH265" i="1"/>
  <c r="AA265" i="1"/>
  <c r="AI265" i="1"/>
  <c r="AA255" i="1"/>
  <c r="AI255" i="1"/>
  <c r="AC236" i="1"/>
  <c r="AG236" i="1"/>
  <c r="AH228" i="1"/>
  <c r="AA228" i="1"/>
  <c r="AI228" i="1"/>
  <c r="AG216" i="1"/>
  <c r="AH216" i="1"/>
  <c r="AA216" i="1"/>
  <c r="AI216" i="1"/>
  <c r="AH190" i="1"/>
  <c r="AA190" i="1"/>
  <c r="AI190" i="1"/>
  <c r="AC167" i="1"/>
  <c r="AG167" i="1"/>
  <c r="AI167" i="1"/>
  <c r="AA167" i="1"/>
  <c r="AH166" i="1"/>
  <c r="AA166" i="1"/>
  <c r="AI166" i="1"/>
  <c r="AC166" i="1"/>
  <c r="AA283" i="1"/>
  <c r="AI283" i="1"/>
  <c r="AC274" i="1"/>
  <c r="AG274" i="1"/>
  <c r="AH269" i="1"/>
  <c r="AA269" i="1"/>
  <c r="AI269" i="1"/>
  <c r="AA259" i="1"/>
  <c r="AI259" i="1"/>
  <c r="AC250" i="1"/>
  <c r="AG250" i="1"/>
  <c r="AC239" i="1"/>
  <c r="AI239" i="1"/>
  <c r="AG233" i="1"/>
  <c r="AH233" i="1"/>
  <c r="AI233" i="1"/>
  <c r="AA222" i="1"/>
  <c r="AI222" i="1"/>
  <c r="AH154" i="1"/>
  <c r="AA154" i="1"/>
  <c r="AI154" i="1"/>
  <c r="AC151" i="1"/>
  <c r="AG151" i="1"/>
  <c r="AA151" i="1"/>
  <c r="AC179" i="1"/>
  <c r="AG179" i="1"/>
  <c r="AI179" i="1"/>
  <c r="AH151" i="1"/>
  <c r="AC119" i="1"/>
  <c r="AG119" i="1"/>
  <c r="AH119" i="1"/>
  <c r="AA119" i="1"/>
  <c r="AC278" i="1"/>
  <c r="AG278" i="1"/>
  <c r="AH273" i="1"/>
  <c r="AA273" i="1"/>
  <c r="AI273" i="1"/>
  <c r="AA271" i="1"/>
  <c r="AI271" i="1"/>
  <c r="AC262" i="1"/>
  <c r="AG262" i="1"/>
  <c r="AH249" i="1"/>
  <c r="AA249" i="1"/>
  <c r="AI249" i="1"/>
  <c r="AC243" i="1"/>
  <c r="AI243" i="1"/>
  <c r="AA243" i="1"/>
  <c r="AA226" i="1"/>
  <c r="AI226" i="1"/>
  <c r="AC224" i="1"/>
  <c r="AH224" i="1"/>
  <c r="AC216" i="1"/>
  <c r="AH212" i="1"/>
  <c r="AA212" i="1"/>
  <c r="AI212" i="1"/>
  <c r="AH206" i="1"/>
  <c r="AA206" i="1"/>
  <c r="AI206" i="1"/>
  <c r="AC200" i="1"/>
  <c r="AH200" i="1"/>
  <c r="AA200" i="1"/>
  <c r="AI200" i="1"/>
  <c r="AH182" i="1"/>
  <c r="AA182" i="1"/>
  <c r="AI182" i="1"/>
  <c r="AI119" i="1"/>
  <c r="AA290" i="1"/>
  <c r="AC283" i="1"/>
  <c r="AG282" i="1"/>
  <c r="AC269" i="1"/>
  <c r="AC266" i="1"/>
  <c r="AG266" i="1"/>
  <c r="AC259" i="1"/>
  <c r="AH253" i="1"/>
  <c r="AA253" i="1"/>
  <c r="AI253" i="1"/>
  <c r="AG243" i="1"/>
  <c r="AA236" i="1"/>
  <c r="AG229" i="1"/>
  <c r="AC229" i="1"/>
  <c r="AH229" i="1"/>
  <c r="AC222" i="1"/>
  <c r="AG200" i="1"/>
  <c r="AA176" i="1"/>
  <c r="AI176" i="1"/>
  <c r="AH176" i="1"/>
  <c r="AA160" i="1"/>
  <c r="AI160" i="1"/>
  <c r="AC154" i="1"/>
  <c r="AC147" i="1"/>
  <c r="AG147" i="1"/>
  <c r="AI147" i="1"/>
  <c r="AI309" i="1"/>
  <c r="AI305" i="1"/>
  <c r="AI301" i="1"/>
  <c r="AI297" i="1"/>
  <c r="AI293" i="1"/>
  <c r="AI290" i="1"/>
  <c r="AA287" i="1"/>
  <c r="AI287" i="1"/>
  <c r="AI285" i="1"/>
  <c r="AA274" i="1"/>
  <c r="AC270" i="1"/>
  <c r="AG270" i="1"/>
  <c r="AH257" i="1"/>
  <c r="AA257" i="1"/>
  <c r="AI257" i="1"/>
  <c r="AA250" i="1"/>
  <c r="AA247" i="1"/>
  <c r="AI247" i="1"/>
  <c r="AG240" i="1"/>
  <c r="AH240" i="1"/>
  <c r="AA239" i="1"/>
  <c r="AG237" i="1"/>
  <c r="AA237" i="1"/>
  <c r="AA234" i="1"/>
  <c r="AI234" i="1"/>
  <c r="AC234" i="1"/>
  <c r="AH234" i="1"/>
  <c r="AA233" i="1"/>
  <c r="AC223" i="1"/>
  <c r="AH223" i="1"/>
  <c r="AI223" i="1"/>
  <c r="AC211" i="1"/>
  <c r="AI211" i="1"/>
  <c r="AH170" i="1"/>
  <c r="AA170" i="1"/>
  <c r="AI170" i="1"/>
  <c r="AH202" i="1"/>
  <c r="AA202" i="1"/>
  <c r="AI202" i="1"/>
  <c r="AC191" i="1"/>
  <c r="AA180" i="1"/>
  <c r="AI180" i="1"/>
  <c r="AC171" i="1"/>
  <c r="AG171" i="1"/>
  <c r="AH158" i="1"/>
  <c r="AA158" i="1"/>
  <c r="AI158" i="1"/>
  <c r="AA148" i="1"/>
  <c r="AI148" i="1"/>
  <c r="AC131" i="1"/>
  <c r="AG131" i="1"/>
  <c r="AH131" i="1"/>
  <c r="AC231" i="1"/>
  <c r="AC219" i="1"/>
  <c r="AH198" i="1"/>
  <c r="AA198" i="1"/>
  <c r="AI198" i="1"/>
  <c r="AI196" i="1"/>
  <c r="AH186" i="1"/>
  <c r="AA186" i="1"/>
  <c r="AI186" i="1"/>
  <c r="AC175" i="1"/>
  <c r="AG175" i="1"/>
  <c r="AH162" i="1"/>
  <c r="AA162" i="1"/>
  <c r="AI162" i="1"/>
  <c r="AA152" i="1"/>
  <c r="AI152" i="1"/>
  <c r="AC143" i="1"/>
  <c r="AG143" i="1"/>
  <c r="AA102" i="1"/>
  <c r="AC91" i="1"/>
  <c r="AA91" i="1"/>
  <c r="AL91" i="1" s="1"/>
  <c r="AA90" i="1"/>
  <c r="AH78" i="1"/>
  <c r="AA78" i="1"/>
  <c r="AL78" i="1" s="1"/>
  <c r="AA59" i="1"/>
  <c r="AH46" i="1"/>
  <c r="AA46" i="1"/>
  <c r="AC135" i="1"/>
  <c r="AG135" i="1"/>
  <c r="AH135" i="1"/>
  <c r="AC111" i="1"/>
  <c r="AH111" i="1"/>
  <c r="AH108" i="1"/>
  <c r="AA108" i="1"/>
  <c r="AH218" i="1"/>
  <c r="AA218" i="1"/>
  <c r="AI218" i="1"/>
  <c r="AC207" i="1"/>
  <c r="AC202" i="1"/>
  <c r="AA188" i="1"/>
  <c r="AI188" i="1"/>
  <c r="AC183" i="1"/>
  <c r="AG183" i="1"/>
  <c r="AC180" i="1"/>
  <c r="AH174" i="1"/>
  <c r="AA174" i="1"/>
  <c r="AI174" i="1"/>
  <c r="AA164" i="1"/>
  <c r="AI164" i="1"/>
  <c r="AC158" i="1"/>
  <c r="AC155" i="1"/>
  <c r="AG155" i="1"/>
  <c r="AC148" i="1"/>
  <c r="AH110" i="1"/>
  <c r="AA110" i="1"/>
  <c r="AL110" i="1" s="1"/>
  <c r="AA230" i="1"/>
  <c r="AI230" i="1"/>
  <c r="AH214" i="1"/>
  <c r="AA214" i="1"/>
  <c r="AI214" i="1"/>
  <c r="AC203" i="1"/>
  <c r="AC198" i="1"/>
  <c r="AA191" i="1"/>
  <c r="AC186" i="1"/>
  <c r="AH178" i="1"/>
  <c r="AA178" i="1"/>
  <c r="AI178" i="1"/>
  <c r="AA171" i="1"/>
  <c r="AA168" i="1"/>
  <c r="AI168" i="1"/>
  <c r="AC162" i="1"/>
  <c r="AC159" i="1"/>
  <c r="AG159" i="1"/>
  <c r="AC152" i="1"/>
  <c r="AH146" i="1"/>
  <c r="AA146" i="1"/>
  <c r="AI146" i="1"/>
  <c r="AA131" i="1"/>
  <c r="AC127" i="1"/>
  <c r="AG127" i="1"/>
  <c r="AH127" i="1"/>
  <c r="AA241" i="1"/>
  <c r="AC235" i="1"/>
  <c r="AA231" i="1"/>
  <c r="AA219" i="1"/>
  <c r="AH210" i="1"/>
  <c r="AA210" i="1"/>
  <c r="AI210" i="1"/>
  <c r="AI208" i="1"/>
  <c r="AC199" i="1"/>
  <c r="AI191" i="1"/>
  <c r="AC187" i="1"/>
  <c r="AG187" i="1"/>
  <c r="AA175" i="1"/>
  <c r="AA172" i="1"/>
  <c r="AI172" i="1"/>
  <c r="AC163" i="1"/>
  <c r="AG163" i="1"/>
  <c r="AH150" i="1"/>
  <c r="AA150" i="1"/>
  <c r="AI150" i="1"/>
  <c r="AA143" i="1"/>
  <c r="AC139" i="1"/>
  <c r="AG139" i="1"/>
  <c r="AH139" i="1"/>
  <c r="AA68" i="1"/>
  <c r="AH68" i="1"/>
  <c r="AC68" i="1"/>
  <c r="AC95" i="1"/>
  <c r="AH82" i="1"/>
  <c r="AA82" i="1"/>
  <c r="AL82" i="1" s="1"/>
  <c r="AA72" i="1"/>
  <c r="AL72" i="1" s="1"/>
  <c r="AH50" i="1"/>
  <c r="AA50" i="1"/>
  <c r="AA40" i="1"/>
  <c r="AI140" i="1"/>
  <c r="AI136" i="1"/>
  <c r="AI132" i="1"/>
  <c r="AI128" i="1"/>
  <c r="AI124" i="1"/>
  <c r="AI120" i="1"/>
  <c r="AI116" i="1"/>
  <c r="AH86" i="1"/>
  <c r="AA86" i="1"/>
  <c r="AA76" i="1"/>
  <c r="AH54" i="1"/>
  <c r="AA54" i="1"/>
  <c r="AA44" i="1"/>
  <c r="AA80" i="1"/>
  <c r="AC71" i="1"/>
  <c r="AH58" i="1"/>
  <c r="AA58" i="1"/>
  <c r="AI58" i="1"/>
  <c r="AA48" i="1"/>
  <c r="AC39" i="1"/>
  <c r="AG39" i="1"/>
  <c r="AA84" i="1"/>
  <c r="AC75" i="1"/>
  <c r="AH62" i="1"/>
  <c r="AA62" i="1"/>
  <c r="AA52" i="1"/>
  <c r="AC43" i="1"/>
  <c r="AA98" i="1"/>
  <c r="AA88" i="1"/>
  <c r="AL88" i="1" s="1"/>
  <c r="AC79" i="1"/>
  <c r="AH66" i="1"/>
  <c r="AA66" i="1"/>
  <c r="AA56" i="1"/>
  <c r="AI142" i="1"/>
  <c r="AA142" i="1"/>
  <c r="AI138" i="1"/>
  <c r="AA138" i="1"/>
  <c r="AI134" i="1"/>
  <c r="AA134" i="1"/>
  <c r="AI130" i="1"/>
  <c r="AA130" i="1"/>
  <c r="AI126" i="1"/>
  <c r="AA126" i="1"/>
  <c r="AI122" i="1"/>
  <c r="AA122" i="1"/>
  <c r="AI118" i="1"/>
  <c r="AA118" i="1"/>
  <c r="AA114" i="1"/>
  <c r="AA107" i="1"/>
  <c r="AA95" i="1"/>
  <c r="AL95" i="1" s="1"/>
  <c r="AA92" i="1"/>
  <c r="AC83" i="1"/>
  <c r="AH70" i="1"/>
  <c r="AA70" i="1"/>
  <c r="AA63" i="1"/>
  <c r="AA60" i="1"/>
  <c r="AC51" i="1"/>
  <c r="AH38" i="1"/>
  <c r="AA38" i="1"/>
  <c r="AA35" i="1"/>
  <c r="AH107" i="1"/>
  <c r="AA99" i="1"/>
  <c r="AA96" i="1"/>
  <c r="AC87" i="1"/>
  <c r="AH74" i="1"/>
  <c r="AA74" i="1"/>
  <c r="AL74" i="1" s="1"/>
  <c r="AA67" i="1"/>
  <c r="AA64" i="1"/>
  <c r="AL64" i="1" s="1"/>
  <c r="AC58" i="1"/>
  <c r="AL58" i="1" s="1"/>
  <c r="AC55" i="1"/>
  <c r="AC48" i="1"/>
  <c r="AH42" i="1"/>
  <c r="AA42" i="1"/>
  <c r="AH31" i="1"/>
  <c r="AH23" i="1"/>
  <c r="AG23" i="1"/>
  <c r="AA34" i="1"/>
  <c r="AA30" i="1"/>
  <c r="AA26" i="1"/>
  <c r="AC23" i="1"/>
  <c r="AA22" i="1"/>
  <c r="AA18" i="1"/>
  <c r="AH16" i="1"/>
  <c r="W13" i="1"/>
  <c r="E1" i="1" s="1"/>
  <c r="C6" i="1"/>
  <c r="AH15" i="1"/>
  <c r="AG70" i="1"/>
  <c r="AC74" i="1"/>
  <c r="AG24" i="1"/>
  <c r="AL98" i="1"/>
  <c r="AI72" i="1"/>
  <c r="AI43" i="1"/>
  <c r="AI85" i="1"/>
  <c r="AI94" i="1"/>
  <c r="AI38" i="1"/>
  <c r="AG26" i="1"/>
  <c r="AI35" i="1"/>
  <c r="AG81" i="1"/>
  <c r="AC63" i="1"/>
  <c r="AI114" i="1"/>
  <c r="AI34" i="1"/>
  <c r="AH91" i="1"/>
  <c r="AI75" i="1"/>
  <c r="AI55" i="1"/>
  <c r="AH24" i="1"/>
  <c r="AG67" i="1"/>
  <c r="AI31" i="1"/>
  <c r="AH100" i="1"/>
  <c r="AG92" i="1"/>
  <c r="AC57" i="1"/>
  <c r="AI45" i="1"/>
  <c r="AI79" i="1"/>
  <c r="AI27" i="1"/>
  <c r="AL104" i="1"/>
  <c r="AH98" i="1"/>
  <c r="AC21" i="1"/>
  <c r="AI93" i="1"/>
  <c r="AC15" i="1"/>
  <c r="A2" i="2"/>
  <c r="AH92" i="1"/>
  <c r="AI96" i="1"/>
  <c r="AG101" i="1"/>
  <c r="AC110" i="1"/>
  <c r="AI87" i="1"/>
  <c r="AI53" i="1"/>
  <c r="AI59" i="1"/>
  <c r="AL59" i="1" s="1"/>
  <c r="AI112" i="1"/>
  <c r="AG51" i="1"/>
  <c r="AI105" i="1"/>
  <c r="AL89" i="1"/>
  <c r="AG89" i="1"/>
  <c r="AH102" i="1"/>
  <c r="AC40" i="1"/>
  <c r="AI76" i="1"/>
  <c r="AC82" i="1"/>
  <c r="AC44" i="1"/>
  <c r="AI49" i="1"/>
  <c r="AI103" i="1"/>
  <c r="AG33" i="1"/>
  <c r="AI20" i="1"/>
  <c r="AC108" i="1"/>
  <c r="AG52" i="1"/>
  <c r="AH103" i="1"/>
  <c r="AG20" i="1"/>
  <c r="AG35" i="1"/>
  <c r="AG96" i="1"/>
  <c r="AG53" i="1"/>
  <c r="AG94" i="1"/>
  <c r="AI88" i="1"/>
  <c r="AI109" i="1"/>
  <c r="AC62" i="1"/>
  <c r="AI24" i="1"/>
  <c r="AG44" i="1"/>
  <c r="AH113" i="1"/>
  <c r="AI52" i="1"/>
  <c r="AC25" i="1"/>
  <c r="AG88" i="1"/>
  <c r="AH93" i="1"/>
  <c r="AG91" i="1"/>
  <c r="AI74" i="1"/>
  <c r="AG85" i="1"/>
  <c r="AI70" i="1"/>
  <c r="AG97" i="1"/>
  <c r="C19" i="1"/>
  <c r="AI44" i="1"/>
  <c r="AI15" i="1"/>
  <c r="AG103" i="1"/>
  <c r="AI51" i="1"/>
  <c r="AI57" i="1"/>
  <c r="AG49" i="1"/>
  <c r="AH90" i="1"/>
  <c r="AI92" i="1"/>
  <c r="AI48" i="1"/>
  <c r="AC76" i="1"/>
  <c r="AG41" i="1"/>
  <c r="AI28" i="1"/>
  <c r="AG84" i="1"/>
  <c r="AG112" i="1"/>
  <c r="AC88" i="1"/>
  <c r="AG59" i="1"/>
  <c r="AH115" i="1"/>
  <c r="AG113" i="1"/>
  <c r="AG68" i="1"/>
  <c r="AL68" i="1" s="1"/>
  <c r="AI67" i="1"/>
  <c r="AC114" i="1"/>
  <c r="AC67" i="1"/>
  <c r="AI60" i="1"/>
  <c r="AG66" i="1"/>
  <c r="AC42" i="1"/>
  <c r="AI102" i="1"/>
  <c r="AH27" i="1"/>
  <c r="AC29" i="1"/>
  <c r="AI46" i="1"/>
  <c r="AL65" i="1"/>
  <c r="AG98" i="1"/>
  <c r="AG109" i="1"/>
  <c r="AH97" i="1"/>
  <c r="AH87" i="1"/>
  <c r="AI32" i="1"/>
  <c r="AG21" i="1"/>
  <c r="AC103" i="1"/>
  <c r="AL103" i="1" s="1"/>
  <c r="AL106" i="1"/>
  <c r="C17" i="1"/>
  <c r="AH29" i="1"/>
  <c r="AC99" i="1"/>
  <c r="AG28" i="1"/>
  <c r="AL76" i="1"/>
  <c r="AG27" i="1"/>
  <c r="AG61" i="1"/>
  <c r="AG50" i="1"/>
  <c r="AG74" i="1"/>
  <c r="AG100" i="1"/>
  <c r="AI73" i="1"/>
  <c r="AC59" i="1"/>
  <c r="AI113" i="1"/>
  <c r="AH94" i="1"/>
  <c r="AG60" i="1"/>
  <c r="AC52" i="1"/>
  <c r="AG45" i="1"/>
  <c r="AI108" i="1"/>
  <c r="AH88" i="1"/>
  <c r="AG82" i="1"/>
  <c r="AG102" i="1"/>
  <c r="AI100" i="1"/>
  <c r="AG114" i="1"/>
  <c r="AL114" i="1" s="1"/>
  <c r="AC22" i="1"/>
  <c r="AI80" i="1"/>
  <c r="AC80" i="1"/>
  <c r="AL80" i="1" s="1"/>
  <c r="AI78" i="1"/>
  <c r="AH18" i="1"/>
  <c r="AH101" i="1"/>
  <c r="AL101" i="1" s="1"/>
  <c r="AG77" i="1"/>
  <c r="AL77" i="1" s="1"/>
  <c r="AC90" i="1"/>
  <c r="AG83" i="1"/>
  <c r="AC115" i="1"/>
  <c r="AL115" i="1" s="1"/>
  <c r="AI50" i="1"/>
  <c r="AG99" i="1"/>
  <c r="AI30" i="1"/>
  <c r="AH34" i="1"/>
  <c r="AC92" i="1"/>
  <c r="AL92" i="1" s="1"/>
  <c r="AG30" i="1"/>
  <c r="AG115" i="1"/>
  <c r="AC19" i="1"/>
  <c r="AG110" i="1"/>
  <c r="AG90" i="1"/>
  <c r="AG76" i="1"/>
  <c r="AI83" i="1"/>
  <c r="AH96" i="1"/>
  <c r="C23" i="1"/>
  <c r="AG29" i="1"/>
  <c r="AI91" i="1"/>
  <c r="AC27" i="1"/>
  <c r="AC41" i="1"/>
  <c r="AI104" i="1"/>
  <c r="AC33" i="1"/>
  <c r="AI77" i="1"/>
  <c r="AG73" i="1"/>
  <c r="A1" i="2"/>
  <c r="AI16" i="1"/>
  <c r="AI37" i="1"/>
  <c r="AI68" i="1"/>
  <c r="AI64" i="1"/>
  <c r="AC86" i="1"/>
  <c r="AL86" i="1" s="1"/>
  <c r="AI36" i="1"/>
  <c r="AG56" i="1"/>
  <c r="AG54" i="1"/>
  <c r="AG37" i="1"/>
  <c r="AH114" i="1"/>
  <c r="AI41" i="1"/>
  <c r="AC35" i="1"/>
  <c r="AI95" i="1"/>
  <c r="AG79" i="1"/>
  <c r="AC65" i="1"/>
  <c r="AG78" i="1"/>
  <c r="AC96" i="1"/>
  <c r="AI61" i="1"/>
  <c r="AC94" i="1"/>
  <c r="AI62" i="1"/>
  <c r="AG19" i="1"/>
  <c r="AI110" i="1"/>
  <c r="AL108" i="1"/>
  <c r="AI97" i="1"/>
  <c r="AG18" i="1"/>
  <c r="AC54" i="1"/>
  <c r="AG95" i="1"/>
  <c r="AH105" i="1"/>
  <c r="AL105" i="1" s="1"/>
  <c r="AH95" i="1"/>
  <c r="AI115" i="1"/>
  <c r="AC70" i="1"/>
  <c r="AI42" i="1"/>
  <c r="AH48" i="1"/>
  <c r="AH99" i="1"/>
  <c r="AL99" i="1" s="1"/>
  <c r="AC66" i="1"/>
  <c r="AL66" i="1" s="1"/>
  <c r="AI84" i="1"/>
  <c r="AG72" i="1"/>
  <c r="AI54" i="1"/>
  <c r="AC104" i="1"/>
  <c r="AI111" i="1"/>
  <c r="AL111" i="1" s="1"/>
  <c r="C32" i="1"/>
  <c r="V7" i="1"/>
  <c r="C27" i="1" s="1"/>
  <c r="AH89" i="1"/>
  <c r="AI22" i="1"/>
  <c r="AG16" i="1"/>
  <c r="AH26" i="1"/>
  <c r="AI47" i="1"/>
  <c r="AC20" i="1"/>
  <c r="AC31" i="1"/>
  <c r="AG87" i="1"/>
  <c r="AL87" i="1" s="1"/>
  <c r="AI71" i="1"/>
  <c r="AI86" i="1"/>
  <c r="AC100" i="1"/>
  <c r="AG22" i="1"/>
  <c r="AC109" i="1"/>
  <c r="AC78" i="1"/>
  <c r="AI33" i="1"/>
  <c r="AG107" i="1"/>
  <c r="AI63" i="1"/>
  <c r="AC102" i="1"/>
  <c r="AL102" i="1" s="1"/>
  <c r="AG111" i="1"/>
  <c r="AG47" i="1"/>
  <c r="AG93" i="1"/>
  <c r="AC112" i="1"/>
  <c r="AL112" i="1" s="1"/>
  <c r="AG63" i="1"/>
  <c r="AL63" i="1" s="1"/>
  <c r="AG55" i="1"/>
  <c r="AG71" i="1"/>
  <c r="AC107" i="1"/>
  <c r="AL107" i="1" s="1"/>
  <c r="AC47" i="1"/>
  <c r="AG46" i="1"/>
  <c r="AG105" i="1"/>
  <c r="AI101" i="1"/>
  <c r="AC37" i="1"/>
  <c r="AC49" i="1"/>
  <c r="AC50" i="1"/>
  <c r="AG43" i="1"/>
  <c r="AG48" i="1"/>
  <c r="AI21" i="1"/>
  <c r="C30" i="1"/>
  <c r="AI29" i="1"/>
  <c r="AG38" i="1"/>
  <c r="AG62" i="1"/>
  <c r="AC30" i="1"/>
  <c r="AI40" i="1"/>
  <c r="AI26" i="1"/>
  <c r="AG31" i="1"/>
  <c r="AG57" i="1"/>
  <c r="AC72" i="1"/>
  <c r="AI99" i="1"/>
  <c r="AG64" i="1"/>
  <c r="AI19" i="1"/>
  <c r="AI98" i="1"/>
  <c r="AG75" i="1"/>
  <c r="AG42" i="1"/>
  <c r="AG104" i="1"/>
  <c r="AI90" i="1"/>
  <c r="AI66" i="1"/>
  <c r="AI107" i="1"/>
  <c r="AG36" i="1"/>
  <c r="AC61" i="1"/>
  <c r="AH21" i="1"/>
  <c r="AH35" i="1"/>
  <c r="AC18" i="1"/>
  <c r="AI56" i="1"/>
  <c r="AC97" i="1"/>
  <c r="AC46" i="1"/>
  <c r="AH104" i="1"/>
  <c r="AG65" i="1"/>
  <c r="AI65" i="1"/>
  <c r="AI89" i="1"/>
  <c r="AG86" i="1"/>
  <c r="AG25" i="1"/>
  <c r="AL61" i="1"/>
  <c r="AI18" i="1"/>
  <c r="AC84" i="1"/>
  <c r="AL84" i="1" s="1"/>
  <c r="AG32" i="1"/>
  <c r="C21" i="1"/>
  <c r="AG108" i="1"/>
  <c r="AG34" i="1"/>
  <c r="AI81" i="1"/>
  <c r="AH64" i="1"/>
  <c r="AG80" i="1"/>
  <c r="AI82" i="1"/>
  <c r="AI25" i="1"/>
  <c r="C28" i="1" l="1"/>
  <c r="D28" i="1" s="1"/>
  <c r="AL62" i="1"/>
  <c r="AL81" i="1"/>
  <c r="AL79" i="1"/>
  <c r="AL42" i="1"/>
  <c r="AL47" i="1"/>
  <c r="AL15" i="1"/>
  <c r="AL33" i="1"/>
  <c r="AL17" i="1"/>
  <c r="AL73" i="1"/>
  <c r="D32" i="1"/>
  <c r="AL30" i="1"/>
  <c r="AL96" i="1"/>
  <c r="AL21" i="1"/>
  <c r="AL32" i="1"/>
  <c r="AL38" i="1"/>
  <c r="AL60" i="1"/>
  <c r="AL46" i="1"/>
  <c r="AL53" i="1"/>
  <c r="D21" i="1"/>
  <c r="AL90" i="1"/>
  <c r="AL48" i="1"/>
  <c r="AL18" i="1"/>
  <c r="AL51" i="1"/>
  <c r="AL67" i="1"/>
  <c r="AL97" i="1"/>
  <c r="AL41" i="1"/>
  <c r="AL44" i="1"/>
  <c r="AL50" i="1"/>
  <c r="AL27" i="1"/>
  <c r="D17" i="1"/>
  <c r="AL100" i="1"/>
  <c r="AL24" i="1"/>
  <c r="D30" i="1"/>
  <c r="AL25" i="1"/>
  <c r="AL52" i="1"/>
  <c r="AL31" i="1"/>
  <c r="AL19" i="1"/>
  <c r="AL34" i="1"/>
  <c r="AL55" i="1"/>
  <c r="AL36" i="1"/>
  <c r="AL39" i="1"/>
  <c r="AL45" i="1"/>
  <c r="AL37" i="1"/>
  <c r="AL16" i="1"/>
  <c r="AL28" i="1"/>
  <c r="AL49" i="1"/>
  <c r="D23" i="1"/>
  <c r="AL94" i="1"/>
  <c r="AL22" i="1"/>
  <c r="D27" i="1"/>
  <c r="C34" i="1"/>
  <c r="D34" i="1" s="1"/>
  <c r="AL20" i="1"/>
  <c r="AL35" i="1"/>
  <c r="AL43" i="1"/>
  <c r="AL54" i="1"/>
  <c r="AL40" i="1"/>
  <c r="AL70" i="1"/>
  <c r="AL56" i="1"/>
  <c r="AL29" i="1"/>
  <c r="AL26" i="1"/>
  <c r="D19" i="1"/>
  <c r="AL23" i="1"/>
  <c r="A1" i="1" l="1"/>
  <c r="C15" i="1" s="1"/>
  <c r="C26" i="1" s="1"/>
  <c r="D26" i="1" s="1"/>
  <c r="D15" i="1" l="1"/>
  <c r="A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1B27BB-3145-4E9A-A919-E4CCCB9319F7}" keepAlive="1" name="Consulta - Tabela4" description="Conexão com a consulta 'Tabela4' na pasta de trabalho." type="5" refreshedVersion="8" background="1" saveData="1">
    <dbPr connection="Provider=Microsoft.Mashup.OleDb.1;Data Source=$Workbook$;Location=Tabela4;Extended Properties=&quot;&quot;" command="SELECT * FROM [Tabela4]"/>
  </connection>
</connections>
</file>

<file path=xl/sharedStrings.xml><?xml version="1.0" encoding="utf-8"?>
<sst xmlns="http://schemas.openxmlformats.org/spreadsheetml/2006/main" count="3138" uniqueCount="175">
  <si>
    <t>NS</t>
  </si>
  <si>
    <t>CIDADE</t>
  </si>
  <si>
    <t>POSTE</t>
  </si>
  <si>
    <t>MÍNIMO</t>
  </si>
  <si>
    <t>N DE FASES</t>
  </si>
  <si>
    <t>TENSÃO</t>
  </si>
  <si>
    <t>BITOLA</t>
  </si>
  <si>
    <t>POTENCIA DO TRAFO</t>
  </si>
  <si>
    <t>VÃRO RDU?</t>
  </si>
  <si>
    <t>D</t>
  </si>
  <si>
    <t>13.8</t>
  </si>
  <si>
    <t>TIPO</t>
  </si>
  <si>
    <t>ALTURA</t>
  </si>
  <si>
    <t>DAN</t>
  </si>
  <si>
    <t>TRONCO</t>
  </si>
  <si>
    <t>DERIVAÇÃO</t>
  </si>
  <si>
    <t>POSTE ATUAL</t>
  </si>
  <si>
    <t>ESTRUTURA</t>
  </si>
  <si>
    <t>{enter}</t>
  </si>
  <si>
    <t>POSTE NOVO</t>
  </si>
  <si>
    <t>LATERAL</t>
  </si>
  <si>
    <t>LONGITUDINAL</t>
  </si>
  <si>
    <t>COMANDOS</t>
  </si>
  <si>
    <t>COM CABEÇALHO</t>
  </si>
  <si>
    <t>ÂNGULO HORIZONTAL</t>
  </si>
  <si>
    <t>ÂNGULO VERTICAL</t>
  </si>
  <si>
    <t>FIO</t>
  </si>
  <si>
    <t>ESTAÇÃO</t>
  </si>
  <si>
    <t>PONTO VISADO</t>
  </si>
  <si>
    <t>CÓDIGO DE VISADA</t>
  </si>
  <si>
    <t>CÓDIGO DE ACIDENTE</t>
  </si>
  <si>
    <t>ÂNGULO</t>
  </si>
  <si>
    <t>MINUTO</t>
  </si>
  <si>
    <t>ORIENTAÇÃO</t>
  </si>
  <si>
    <t>FIO INFERIOR</t>
  </si>
  <si>
    <t>FIO MÉDIO</t>
  </si>
  <si>
    <t>FIO SUPERIOR</t>
  </si>
  <si>
    <t>DISTANCIA ESTADIMÉTRICA</t>
  </si>
  <si>
    <t>NÚMERO DA LEITURA</t>
  </si>
  <si>
    <t>existe?</t>
  </si>
  <si>
    <t>estação</t>
  </si>
  <si>
    <t>ponto visado</t>
  </si>
  <si>
    <t>código de visada</t>
  </si>
  <si>
    <t>altura aparelho</t>
  </si>
  <si>
    <t>código</t>
  </si>
  <si>
    <t>CCG</t>
  </si>
  <si>
    <t>CCP</t>
  </si>
  <si>
    <t>CM</t>
  </si>
  <si>
    <t>CP</t>
  </si>
  <si>
    <t>TF</t>
  </si>
  <si>
    <t>CCG+CCP+CM+CP+TF</t>
  </si>
  <si>
    <t>Q</t>
  </si>
  <si>
    <t>LL</t>
  </si>
  <si>
    <t>W</t>
  </si>
  <si>
    <t>LET</t>
  </si>
  <si>
    <t>LMA</t>
  </si>
  <si>
    <t>LET+LMA</t>
  </si>
  <si>
    <t>R</t>
  </si>
  <si>
    <t>S</t>
  </si>
  <si>
    <t>23.1</t>
  </si>
  <si>
    <t>34.5</t>
  </si>
  <si>
    <t>ANO</t>
  </si>
  <si>
    <t>acidente</t>
  </si>
  <si>
    <t>ângulo horizontal</t>
  </si>
  <si>
    <t>ângulo vertical</t>
  </si>
  <si>
    <t>tamanho</t>
  </si>
  <si>
    <t>A</t>
  </si>
  <si>
    <t>B</t>
  </si>
  <si>
    <t>C</t>
  </si>
  <si>
    <t>V</t>
  </si>
  <si>
    <t>L</t>
  </si>
  <si>
    <t>T</t>
  </si>
  <si>
    <t>M</t>
  </si>
  <si>
    <t>NBI</t>
  </si>
  <si>
    <t>ânguloLL</t>
  </si>
  <si>
    <t>E</t>
  </si>
  <si>
    <t>G</t>
  </si>
  <si>
    <t>ÚLTIMOS 6 DÍGITOS</t>
  </si>
  <si>
    <t>ALTURA DO APARELHO</t>
  </si>
  <si>
    <t>ALERTA DE 20m</t>
  </si>
  <si>
    <t>4.2</t>
  </si>
  <si>
    <t>CADERNETA DE CAMPO</t>
  </si>
  <si>
    <t>NS:</t>
  </si>
  <si>
    <t>CONSUMIDOR:</t>
  </si>
  <si>
    <t>Wilson Soares de Lima</t>
  </si>
  <si>
    <t>MUNICÍPIO:</t>
  </si>
  <si>
    <t>DATA:</t>
  </si>
  <si>
    <t>13/10/2025</t>
  </si>
  <si>
    <t>TOPÓGRAFO:</t>
  </si>
  <si>
    <t>Alex</t>
  </si>
  <si>
    <t>SERVIÇO:</t>
  </si>
  <si>
    <t>VISADA</t>
  </si>
  <si>
    <t>CV</t>
  </si>
  <si>
    <t>ALTURA APARELHO (cm)</t>
  </si>
  <si>
    <t>CA</t>
  </si>
  <si>
    <t>HORIZONTAL</t>
  </si>
  <si>
    <t>VERTICAL</t>
  </si>
  <si>
    <t>DISTÂNCIA ESTADIMÉTRICA</t>
  </si>
  <si>
    <t>OBSERVAÇÃO</t>
  </si>
  <si>
    <t>N° LEITURA</t>
  </si>
  <si>
    <t>ÂNGULO2</t>
  </si>
  <si>
    <t>MINUTO3</t>
  </si>
  <si>
    <t/>
  </si>
  <si>
    <t>RÉ</t>
  </si>
  <si>
    <t>CVN</t>
  </si>
  <si>
    <t>CAN</t>
  </si>
  <si>
    <t>v1</t>
  </si>
  <si>
    <t>OBSERVAÇÕES</t>
  </si>
  <si>
    <t>MEMÓRIA</t>
  </si>
  <si>
    <t>ESTAIS NA DERIVAÇÃO</t>
  </si>
  <si>
    <t>e3</t>
  </si>
  <si>
    <t>4</t>
  </si>
  <si>
    <t>Poste</t>
  </si>
  <si>
    <t>5</t>
  </si>
  <si>
    <t>6</t>
  </si>
  <si>
    <t xml:space="preserve">05 liso divisa </t>
  </si>
  <si>
    <t>7</t>
  </si>
  <si>
    <t>8</t>
  </si>
  <si>
    <t xml:space="preserve">inicio estrada </t>
  </si>
  <si>
    <t>9</t>
  </si>
  <si>
    <t xml:space="preserve">estrada </t>
  </si>
  <si>
    <t>10</t>
  </si>
  <si>
    <t xml:space="preserve">5ff divisa </t>
  </si>
  <si>
    <t>11</t>
  </si>
  <si>
    <t>12</t>
  </si>
  <si>
    <t>13</t>
  </si>
  <si>
    <t>14</t>
  </si>
  <si>
    <t>e4</t>
  </si>
  <si>
    <t xml:space="preserve">poste </t>
  </si>
  <si>
    <t>1</t>
  </si>
  <si>
    <t>2</t>
  </si>
  <si>
    <t>3</t>
  </si>
  <si>
    <t>e5</t>
  </si>
  <si>
    <t xml:space="preserve">inicio de estrada </t>
  </si>
  <si>
    <t>fim de estrada</t>
  </si>
  <si>
    <t>05 fl</t>
  </si>
  <si>
    <t>e6</t>
  </si>
  <si>
    <t>5fl</t>
  </si>
  <si>
    <t>e7</t>
  </si>
  <si>
    <t>e8</t>
  </si>
  <si>
    <t>e9</t>
  </si>
  <si>
    <t>e10</t>
  </si>
  <si>
    <t xml:space="preserve">5fl divisa </t>
  </si>
  <si>
    <t>7fl</t>
  </si>
  <si>
    <t>6fl</t>
  </si>
  <si>
    <t xml:space="preserve">grota </t>
  </si>
  <si>
    <t>15</t>
  </si>
  <si>
    <t>3fl</t>
  </si>
  <si>
    <t>16</t>
  </si>
  <si>
    <t>17</t>
  </si>
  <si>
    <t>18</t>
  </si>
  <si>
    <t>19</t>
  </si>
  <si>
    <t>e11</t>
  </si>
  <si>
    <t>8fl</t>
  </si>
  <si>
    <t>e12</t>
  </si>
  <si>
    <t xml:space="preserve">POSTE </t>
  </si>
  <si>
    <t xml:space="preserve">08 fio liso divisa </t>
  </si>
  <si>
    <t>v2</t>
  </si>
  <si>
    <t>13,5 m</t>
  </si>
  <si>
    <t>14,5 m</t>
  </si>
  <si>
    <t xml:space="preserve">FIM de estrada </t>
  </si>
  <si>
    <t>v3</t>
  </si>
  <si>
    <t>05 fios liso</t>
  </si>
  <si>
    <t xml:space="preserve">07 fios liso </t>
  </si>
  <si>
    <t xml:space="preserve">fim grota </t>
  </si>
  <si>
    <t>e13</t>
  </si>
  <si>
    <t xml:space="preserve">limpeza faixa </t>
  </si>
  <si>
    <t>v4</t>
  </si>
  <si>
    <t>e14</t>
  </si>
  <si>
    <t>e15</t>
  </si>
  <si>
    <t>e16</t>
  </si>
  <si>
    <t>Poste brt</t>
  </si>
  <si>
    <t>fim</t>
  </si>
  <si>
    <t xml:space="preserve">poste religador </t>
  </si>
  <si>
    <t>5 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</si>
</sst>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121210"/>
      <name val="Calibri"/>
      <family val="2"/>
      <scheme val="minor"/>
    </font>
    <font>
      <b/>
      <sz val="12"/>
      <color rgb="FF121210"/>
      <name val="Calibri"/>
      <family val="2"/>
      <scheme val="minor"/>
    </font>
    <font>
      <sz val="12"/>
      <color rgb="FF121210"/>
      <name val="Calibri"/>
      <family val="2"/>
      <scheme val="minor"/>
    </font>
    <font>
      <b/>
      <sz val="11"/>
      <color rgb="FF121210"/>
      <name val="Calibri"/>
      <family val="2"/>
      <scheme val="minor"/>
    </font>
    <font>
      <sz val="12"/>
      <color rgb="FF121210"/>
      <name val="Calibri"/>
      <family val="2"/>
      <charset val="1"/>
    </font>
    <font>
      <sz val="12"/>
      <color rgb="FF121210"/>
      <name val="Bookman Old Style"/>
      <family val="1"/>
      <charset val="1"/>
    </font>
    <font>
      <b/>
      <sz val="12"/>
      <color rgb="FF121210"/>
      <name val="Bookman Old Style"/>
      <family val="1"/>
    </font>
    <font>
      <sz val="12"/>
      <color rgb="FF121210"/>
      <name val="Bookman Old Style"/>
      <family val="1"/>
    </font>
    <font>
      <sz val="11"/>
      <color rgb="FFAAB3AB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charset val="1"/>
    </font>
    <font>
      <b/>
      <sz val="11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AB3AB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8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Protection="1"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4" fillId="2" borderId="16" xfId="0" applyFont="1" applyFill="1" applyBorder="1" applyAlignment="1" applyProtection="1">
      <alignment horizontal="center" vertical="center"/>
      <protection hidden="1"/>
    </xf>
    <xf numFmtId="0" fontId="4" fillId="2" borderId="20" xfId="0" applyFont="1" applyFill="1" applyBorder="1" applyAlignment="1" applyProtection="1">
      <alignment horizontal="center" vertical="center"/>
      <protection hidden="1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5" fillId="2" borderId="19" xfId="0" applyFont="1" applyFill="1" applyBorder="1" applyAlignment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6" fillId="2" borderId="13" xfId="0" applyFont="1" applyFill="1" applyBorder="1" applyAlignment="1" applyProtection="1">
      <alignment horizontal="center" vertical="center"/>
      <protection locked="0"/>
    </xf>
    <xf numFmtId="0" fontId="5" fillId="2" borderId="3" xfId="0" applyFont="1" applyFill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locked="0" hidden="1"/>
    </xf>
    <xf numFmtId="0" fontId="8" fillId="2" borderId="21" xfId="1" applyFont="1" applyFill="1" applyBorder="1" applyAlignment="1" applyProtection="1">
      <alignment horizontal="center" vertical="center"/>
      <protection locked="0" hidden="1"/>
    </xf>
    <xf numFmtId="0" fontId="8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6" xfId="1" applyFont="1" applyFill="1" applyBorder="1" applyAlignment="1" applyProtection="1">
      <alignment horizontal="center" vertical="center"/>
      <protection locked="0" hidden="1"/>
    </xf>
    <xf numFmtId="0" fontId="9" fillId="2" borderId="5" xfId="1" applyFont="1" applyFill="1" applyBorder="1" applyAlignment="1" applyProtection="1">
      <alignment horizontal="center" vertical="center"/>
      <protection locked="0" hidden="1"/>
    </xf>
    <xf numFmtId="0" fontId="9" fillId="2" borderId="1" xfId="1" applyFont="1" applyFill="1" applyBorder="1" applyAlignment="1" applyProtection="1">
      <alignment horizontal="center" vertical="center"/>
      <protection locked="0" hidden="1"/>
    </xf>
    <xf numFmtId="0" fontId="6" fillId="2" borderId="1" xfId="0" applyFont="1" applyFill="1" applyBorder="1" applyAlignment="1" applyProtection="1">
      <alignment horizontal="center" vertical="center"/>
      <protection locked="0" hidden="1"/>
    </xf>
    <xf numFmtId="0" fontId="11" fillId="2" borderId="1" xfId="0" applyFont="1" applyFill="1" applyBorder="1" applyAlignment="1" applyProtection="1">
      <alignment horizontal="center" vertical="center"/>
      <protection locked="0" hidden="1"/>
    </xf>
    <xf numFmtId="0" fontId="8" fillId="2" borderId="7" xfId="1" applyFont="1" applyFill="1" applyBorder="1" applyAlignment="1" applyProtection="1">
      <alignment horizontal="center" vertical="center"/>
      <protection locked="0" hidden="1"/>
    </xf>
    <xf numFmtId="0" fontId="8" fillId="2" borderId="8" xfId="1" applyFont="1" applyFill="1" applyBorder="1" applyAlignment="1" applyProtection="1">
      <alignment horizontal="center" vertical="center"/>
      <protection locked="0" hidden="1"/>
    </xf>
    <xf numFmtId="0" fontId="9" fillId="2" borderId="9" xfId="1" applyFont="1" applyFill="1" applyBorder="1" applyAlignment="1" applyProtection="1">
      <alignment horizontal="center" vertical="center"/>
      <protection locked="0" hidden="1"/>
    </xf>
    <xf numFmtId="0" fontId="9" fillId="2" borderId="7" xfId="1" applyFont="1" applyFill="1" applyBorder="1" applyAlignment="1" applyProtection="1">
      <alignment horizontal="center" vertical="center"/>
      <protection locked="0" hidden="1"/>
    </xf>
    <xf numFmtId="0" fontId="9" fillId="2" borderId="8" xfId="1" applyFont="1" applyFill="1" applyBorder="1" applyAlignment="1" applyProtection="1">
      <alignment horizontal="center" vertical="center"/>
      <protection locked="0"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 vertical="center"/>
      <protection hidden="1"/>
    </xf>
    <xf numFmtId="0" fontId="5" fillId="2" borderId="31" xfId="0" applyFont="1" applyFill="1" applyBorder="1" applyAlignment="1" applyProtection="1">
      <alignment horizontal="center" vertical="center" wrapText="1"/>
      <protection hidden="1"/>
    </xf>
    <xf numFmtId="0" fontId="5" fillId="2" borderId="32" xfId="0" applyFont="1" applyFill="1" applyBorder="1" applyAlignment="1" applyProtection="1">
      <alignment horizontal="center" vertical="center" wrapText="1"/>
      <protection hidden="1"/>
    </xf>
    <xf numFmtId="0" fontId="5" fillId="2" borderId="33" xfId="0" applyFont="1" applyFill="1" applyBorder="1" applyAlignment="1" applyProtection="1">
      <alignment horizontal="center" vertical="center" wrapText="1"/>
      <protection hidden="1"/>
    </xf>
    <xf numFmtId="0" fontId="5" fillId="2" borderId="34" xfId="0" applyFont="1" applyFill="1" applyBorder="1" applyAlignment="1" applyProtection="1">
      <alignment horizontal="center" vertical="center" wrapText="1"/>
      <protection hidden="1"/>
    </xf>
    <xf numFmtId="0" fontId="5" fillId="2" borderId="35" xfId="0" applyFont="1" applyFill="1" applyBorder="1" applyAlignment="1" applyProtection="1">
      <alignment horizontal="center" vertical="center" wrapText="1"/>
      <protection hidden="1"/>
    </xf>
    <xf numFmtId="0" fontId="8" fillId="2" borderId="26" xfId="1" applyFont="1" applyFill="1" applyBorder="1" applyAlignment="1" applyProtection="1">
      <alignment horizontal="center" vertical="center"/>
      <protection locked="0" hidden="1"/>
    </xf>
    <xf numFmtId="0" fontId="8" fillId="2" borderId="27" xfId="1" applyFont="1" applyFill="1" applyBorder="1" applyAlignment="1" applyProtection="1">
      <alignment horizontal="center" vertical="center"/>
      <protection locked="0" hidden="1"/>
    </xf>
    <xf numFmtId="0" fontId="8" fillId="2" borderId="28" xfId="1" applyFont="1" applyFill="1" applyBorder="1" applyAlignment="1" applyProtection="1">
      <alignment horizontal="center" vertical="center"/>
      <protection locked="0" hidden="1"/>
    </xf>
    <xf numFmtId="0" fontId="9" fillId="2" borderId="29" xfId="1" applyFont="1" applyFill="1" applyBorder="1" applyAlignment="1" applyProtection="1">
      <alignment horizontal="center" vertical="center"/>
      <protection locked="0" hidden="1"/>
    </xf>
    <xf numFmtId="0" fontId="9" fillId="2" borderId="26" xfId="1" applyFont="1" applyFill="1" applyBorder="1" applyAlignment="1" applyProtection="1">
      <alignment horizontal="center" vertical="center"/>
      <protection locked="0" hidden="1"/>
    </xf>
    <xf numFmtId="0" fontId="9" fillId="2" borderId="27" xfId="1" applyFont="1" applyFill="1" applyBorder="1" applyAlignment="1" applyProtection="1">
      <alignment horizontal="center" vertical="center"/>
      <protection locked="0" hidden="1"/>
    </xf>
    <xf numFmtId="0" fontId="9" fillId="2" borderId="30" xfId="1" applyFont="1" applyFill="1" applyBorder="1" applyAlignment="1" applyProtection="1">
      <alignment horizontal="center" vertical="center"/>
      <protection locked="0" hidden="1"/>
    </xf>
    <xf numFmtId="0" fontId="10" fillId="2" borderId="29" xfId="0" applyFont="1" applyFill="1" applyBorder="1" applyAlignment="1" applyProtection="1">
      <alignment horizontal="center" vertical="center"/>
      <protection hidden="1"/>
    </xf>
    <xf numFmtId="0" fontId="5" fillId="2" borderId="6" xfId="0" applyFont="1" applyFill="1" applyBorder="1" applyAlignment="1" applyProtection="1">
      <alignment horizontal="center" vertical="center"/>
      <protection hidden="1"/>
    </xf>
    <xf numFmtId="0" fontId="6" fillId="2" borderId="5" xfId="0" applyFont="1" applyFill="1" applyBorder="1" applyAlignment="1" applyProtection="1">
      <alignment horizontal="center" vertical="center"/>
      <protection locked="0" hidden="1"/>
    </xf>
    <xf numFmtId="0" fontId="6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locked="0" hidden="1"/>
    </xf>
    <xf numFmtId="0" fontId="8" fillId="2" borderId="25" xfId="1" applyFont="1" applyFill="1" applyBorder="1" applyAlignment="1" applyProtection="1">
      <alignment horizontal="center" vertical="center"/>
      <protection locked="0"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24" xfId="0" applyFont="1" applyFill="1" applyBorder="1" applyAlignment="1" applyProtection="1">
      <alignment horizontal="center" vertical="center"/>
      <protection hidden="1"/>
    </xf>
    <xf numFmtId="0" fontId="12" fillId="2" borderId="15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3" fillId="2" borderId="0" xfId="0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0" borderId="9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2" borderId="17" xfId="0" applyFont="1" applyFill="1" applyBorder="1" applyAlignment="1" applyProtection="1">
      <alignment horizontal="center" vertical="center" wrapText="1"/>
      <protection hidden="1"/>
    </xf>
    <xf numFmtId="0" fontId="5" fillId="2" borderId="18" xfId="0" applyFont="1" applyFill="1" applyBorder="1" applyAlignment="1" applyProtection="1">
      <alignment horizontal="center" vertical="center" wrapText="1"/>
      <protection hidden="1"/>
    </xf>
    <xf numFmtId="0" fontId="5" fillId="2" borderId="23" xfId="0" applyFont="1" applyFill="1" applyBorder="1" applyAlignment="1" applyProtection="1">
      <alignment horizontal="center" vertical="center" wrapText="1"/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6" fillId="2" borderId="3" xfId="0" applyFont="1" applyFill="1" applyBorder="1" applyAlignment="1" applyProtection="1">
      <alignment horizontal="center" vertical="center"/>
      <protection hidden="1"/>
    </xf>
    <xf numFmtId="0" fontId="6" fillId="2" borderId="4" xfId="0" applyFont="1" applyFill="1" applyBorder="1" applyAlignment="1" applyProtection="1">
      <alignment horizontal="center" vertical="center"/>
      <protection hidden="1"/>
    </xf>
    <xf numFmtId="0" fontId="5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hidden="1"/>
    </xf>
    <xf numFmtId="0" fontId="7" fillId="2" borderId="11" xfId="0" applyFont="1" applyFill="1" applyBorder="1" applyAlignment="1" applyProtection="1">
      <alignment horizontal="center" vertical="center"/>
      <protection hidden="1"/>
    </xf>
    <xf numFmtId="0" fontId="7" fillId="2" borderId="1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27"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4EBD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E8CAAF"/>
        </patternFill>
      </fill>
    </dxf>
    <dxf>
      <fill>
        <patternFill>
          <bgColor rgb="FFEEE0B7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4EBD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AAB3AB"/>
      <color rgb="FF121210"/>
      <color rgb="FFEEDFB4"/>
      <color rgb="FFC4CBB7"/>
      <color rgb="FFF4EBD0"/>
      <color rgb="FFEEE0B7"/>
      <color rgb="FFE8CAAF"/>
      <color rgb="FF8FD053"/>
      <color rgb="FF02907D"/>
      <color rgb="FFD6C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95295</xdr:rowOff>
    </xdr:from>
    <xdr:to>
      <xdr:col>2</xdr:col>
      <xdr:colOff>270225</xdr:colOff>
      <xdr:row>2</xdr:row>
      <xdr:rowOff>104205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E86A3C-4EA7-4BAE-8FE8-84BEFA0B0761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250" y="95295"/>
          <a:ext cx="1584675" cy="38991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323021</xdr:colOff>
      <xdr:row>8</xdr:row>
      <xdr:rowOff>179733</xdr:rowOff>
    </xdr:from>
    <xdr:to>
      <xdr:col>18</xdr:col>
      <xdr:colOff>273326</xdr:colOff>
      <xdr:row>11</xdr:row>
      <xdr:rowOff>77870</xdr:rowOff>
    </xdr:to>
    <xdr:sp macro="[0]!limpa.LIMP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4BF034B-248C-573E-EA90-5FD33117D61A}"/>
            </a:ext>
          </a:extLst>
        </xdr:cNvPr>
        <xdr:cNvSpPr/>
      </xdr:nvSpPr>
      <xdr:spPr>
        <a:xfrm>
          <a:off x="11189804" y="1380711"/>
          <a:ext cx="2062370" cy="48620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  <xdr:twoCellAnchor>
    <xdr:from>
      <xdr:col>1</xdr:col>
      <xdr:colOff>98945</xdr:colOff>
      <xdr:row>5</xdr:row>
      <xdr:rowOff>65329</xdr:rowOff>
    </xdr:from>
    <xdr:to>
      <xdr:col>2</xdr:col>
      <xdr:colOff>549087</xdr:colOff>
      <xdr:row>10</xdr:row>
      <xdr:rowOff>85500</xdr:rowOff>
    </xdr:to>
    <xdr:sp macro="[0]!gsCriarArquivoTex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E302868-C523-4E8F-82BD-EDDEB614517B}"/>
            </a:ext>
          </a:extLst>
        </xdr:cNvPr>
        <xdr:cNvSpPr/>
      </xdr:nvSpPr>
      <xdr:spPr>
        <a:xfrm>
          <a:off x="379092" y="849741"/>
          <a:ext cx="1346613" cy="77096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2"/>
              </a:solidFill>
            </a:rPr>
            <a:t>GERAR</a:t>
          </a:r>
          <a:r>
            <a:rPr lang="pt-BR" sz="1800" b="1" baseline="0">
              <a:solidFill>
                <a:schemeClr val="bg2"/>
              </a:solidFill>
            </a:rPr>
            <a:t> ARQUIVOS</a:t>
          </a:r>
          <a:endParaRPr lang="pt-BR" sz="18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636494</xdr:colOff>
      <xdr:row>1</xdr:row>
      <xdr:rowOff>26893</xdr:rowOff>
    </xdr:from>
    <xdr:to>
      <xdr:col>11</xdr:col>
      <xdr:colOff>591671</xdr:colOff>
      <xdr:row>10</xdr:row>
      <xdr:rowOff>188258</xdr:rowOff>
    </xdr:to>
    <xdr:sp macro="[0]!TEXTOSOBR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2014BDC-091B-EB23-6EFF-DE81C90C5ABC}"/>
            </a:ext>
          </a:extLst>
        </xdr:cNvPr>
        <xdr:cNvSpPr/>
      </xdr:nvSpPr>
      <xdr:spPr>
        <a:xfrm>
          <a:off x="6465794" y="226918"/>
          <a:ext cx="1222002" cy="1571065"/>
        </a:xfrm>
        <a:prstGeom prst="roundRect">
          <a:avLst>
            <a:gd name="adj" fmla="val 19005"/>
          </a:avLst>
        </a:prstGeom>
        <a:blipFill dpi="0" rotWithShape="1">
          <a:blip xmlns:r="http://schemas.openxmlformats.org/officeDocument/2006/relationships" r:embed="rId1"/>
          <a:srcRect/>
          <a:stretch>
            <a:fillRect r="1000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161192</xdr:colOff>
      <xdr:row>18</xdr:row>
      <xdr:rowOff>87740</xdr:rowOff>
    </xdr:from>
    <xdr:to>
      <xdr:col>3</xdr:col>
      <xdr:colOff>168519</xdr:colOff>
      <xdr:row>31</xdr:row>
      <xdr:rowOff>161192</xdr:rowOff>
    </xdr:to>
    <xdr:sp macro="[0]!TEXTOE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714E2A-9E61-4728-B240-C277210FE46C}"/>
            </a:ext>
          </a:extLst>
        </xdr:cNvPr>
        <xdr:cNvSpPr/>
      </xdr:nvSpPr>
      <xdr:spPr>
        <a:xfrm>
          <a:off x="161192" y="3670605"/>
          <a:ext cx="1663212" cy="2557279"/>
        </a:xfrm>
        <a:prstGeom prst="roundRect">
          <a:avLst/>
        </a:prstGeom>
        <a:solidFill>
          <a:srgbClr val="AAB3AB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AAB3AB"/>
              </a:solidFill>
            </a:rPr>
            <a:t>AAA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aderneta\cad.xlsx" TargetMode="External"/><Relationship Id="rId1" Type="http://schemas.openxmlformats.org/officeDocument/2006/relationships/externalLinkPath" Target="/caderneta/c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CALCULO PERFIL"/>
    </sheetNames>
    <sheetDataSet>
      <sheetData sheetId="0">
        <row r="37">
          <cell r="L37" t="str">
            <v>2000</v>
          </cell>
        </row>
        <row r="38">
          <cell r="N38" t="str">
            <v/>
          </cell>
        </row>
        <row r="42">
          <cell r="A42" t="str">
            <v>e3</v>
          </cell>
          <cell r="B42" t="str">
            <v>4</v>
          </cell>
          <cell r="C42" t="str">
            <v/>
          </cell>
          <cell r="D42" t="str">
            <v>200</v>
          </cell>
          <cell r="E42" t="str">
            <v/>
          </cell>
          <cell r="F42" t="str">
            <v>0</v>
          </cell>
          <cell r="G42" t="str">
            <v>10</v>
          </cell>
          <cell r="H42" t="str">
            <v>E</v>
          </cell>
          <cell r="I42" t="str">
            <v>91</v>
          </cell>
          <cell r="J42" t="str">
            <v>3</v>
          </cell>
          <cell r="K42" t="str">
            <v/>
          </cell>
          <cell r="L42" t="str">
            <v>2000</v>
          </cell>
          <cell r="M42" t="str">
            <v/>
          </cell>
          <cell r="N42" t="str">
            <v>197,982</v>
          </cell>
          <cell r="O42" t="str">
            <v>Poste</v>
          </cell>
          <cell r="P42" t="str">
            <v>37</v>
          </cell>
        </row>
        <row r="43">
          <cell r="A43" t="str">
            <v>e3</v>
          </cell>
          <cell r="B43" t="str">
            <v>5</v>
          </cell>
          <cell r="C43" t="str">
            <v/>
          </cell>
          <cell r="D43" t="str">
            <v>200</v>
          </cell>
          <cell r="E43" t="str">
            <v/>
          </cell>
          <cell r="F43" t="str">
            <v>0</v>
          </cell>
          <cell r="G43" t="str">
            <v>10</v>
          </cell>
          <cell r="H43" t="str">
            <v>E</v>
          </cell>
          <cell r="I43" t="str">
            <v>91</v>
          </cell>
          <cell r="J43" t="str">
            <v>3</v>
          </cell>
          <cell r="K43" t="str">
            <v/>
          </cell>
          <cell r="L43" t="str">
            <v>2000</v>
          </cell>
          <cell r="M43" t="str">
            <v/>
          </cell>
          <cell r="N43" t="str">
            <v>252,355</v>
          </cell>
          <cell r="O43" t="str">
            <v/>
          </cell>
          <cell r="P43" t="str">
            <v>38</v>
          </cell>
        </row>
        <row r="44">
          <cell r="A44" t="str">
            <v>e3</v>
          </cell>
          <cell r="B44" t="str">
            <v>6</v>
          </cell>
          <cell r="C44" t="str">
            <v/>
          </cell>
          <cell r="D44" t="str">
            <v>200</v>
          </cell>
          <cell r="E44" t="str">
            <v>5</v>
          </cell>
          <cell r="F44" t="str">
            <v>0</v>
          </cell>
          <cell r="G44" t="str">
            <v>10</v>
          </cell>
          <cell r="H44" t="str">
            <v>E</v>
          </cell>
          <cell r="I44" t="str">
            <v>90</v>
          </cell>
          <cell r="J44" t="str">
            <v>45</v>
          </cell>
          <cell r="K44" t="str">
            <v/>
          </cell>
          <cell r="L44" t="str">
            <v>2000</v>
          </cell>
          <cell r="M44" t="str">
            <v/>
          </cell>
          <cell r="N44" t="str">
            <v>295,309</v>
          </cell>
          <cell r="O44" t="str">
            <v xml:space="preserve">05 liso divisa </v>
          </cell>
          <cell r="P44" t="str">
            <v>39</v>
          </cell>
        </row>
        <row r="45">
          <cell r="A45" t="str">
            <v>e3</v>
          </cell>
          <cell r="B45" t="str">
            <v>7</v>
          </cell>
          <cell r="C45" t="str">
            <v/>
          </cell>
          <cell r="D45" t="str">
            <v>200</v>
          </cell>
          <cell r="E45" t="str">
            <v/>
          </cell>
          <cell r="F45" t="str">
            <v>0</v>
          </cell>
          <cell r="G45" t="str">
            <v>10</v>
          </cell>
          <cell r="H45" t="str">
            <v>E</v>
          </cell>
          <cell r="I45" t="str">
            <v>90</v>
          </cell>
          <cell r="J45" t="str">
            <v>42</v>
          </cell>
          <cell r="K45" t="str">
            <v/>
          </cell>
          <cell r="L45" t="str">
            <v>2000</v>
          </cell>
          <cell r="M45" t="str">
            <v/>
          </cell>
          <cell r="N45" t="str">
            <v>298,472</v>
          </cell>
          <cell r="O45" t="str">
            <v>Poste</v>
          </cell>
          <cell r="P45" t="str">
            <v>40</v>
          </cell>
        </row>
        <row r="46">
          <cell r="A46" t="str">
            <v>e3</v>
          </cell>
          <cell r="B46" t="str">
            <v>8</v>
          </cell>
          <cell r="C46" t="str">
            <v/>
          </cell>
          <cell r="D46" t="str">
            <v>200</v>
          </cell>
          <cell r="E46" t="str">
            <v>3</v>
          </cell>
          <cell r="F46" t="str">
            <v>0</v>
          </cell>
          <cell r="G46" t="str">
            <v>10</v>
          </cell>
          <cell r="H46" t="str">
            <v>E</v>
          </cell>
          <cell r="I46" t="str">
            <v>90</v>
          </cell>
          <cell r="J46" t="str">
            <v>44</v>
          </cell>
          <cell r="K46" t="str">
            <v/>
          </cell>
          <cell r="L46" t="str">
            <v>2000</v>
          </cell>
          <cell r="M46" t="str">
            <v/>
          </cell>
          <cell r="N46" t="str">
            <v>301,257</v>
          </cell>
          <cell r="O46" t="str">
            <v xml:space="preserve">inicio estrada </v>
          </cell>
          <cell r="P46" t="str">
            <v>41</v>
          </cell>
        </row>
        <row r="47">
          <cell r="A47" t="str">
            <v>e3</v>
          </cell>
          <cell r="B47" t="str">
            <v>9</v>
          </cell>
          <cell r="C47" t="str">
            <v/>
          </cell>
          <cell r="D47" t="str">
            <v>200</v>
          </cell>
          <cell r="E47" t="str">
            <v>3</v>
          </cell>
          <cell r="F47" t="str">
            <v>0</v>
          </cell>
          <cell r="G47" t="str">
            <v>10</v>
          </cell>
          <cell r="H47" t="str">
            <v>E</v>
          </cell>
          <cell r="I47" t="str">
            <v>90</v>
          </cell>
          <cell r="J47" t="str">
            <v>34</v>
          </cell>
          <cell r="K47" t="str">
            <v/>
          </cell>
          <cell r="L47" t="str">
            <v>2000</v>
          </cell>
          <cell r="M47" t="str">
            <v/>
          </cell>
          <cell r="N47" t="str">
            <v>315,973</v>
          </cell>
          <cell r="O47" t="str">
            <v xml:space="preserve">estrada </v>
          </cell>
          <cell r="P47" t="str">
            <v>42</v>
          </cell>
        </row>
        <row r="48">
          <cell r="A48" t="str">
            <v>e3</v>
          </cell>
          <cell r="B48" t="str">
            <v>10</v>
          </cell>
          <cell r="C48" t="str">
            <v/>
          </cell>
          <cell r="D48" t="str">
            <v>200</v>
          </cell>
          <cell r="E48" t="str">
            <v>4</v>
          </cell>
          <cell r="F48" t="str">
            <v>0</v>
          </cell>
          <cell r="G48" t="str">
            <v>10</v>
          </cell>
          <cell r="H48" t="str">
            <v>E</v>
          </cell>
          <cell r="I48" t="str">
            <v>90</v>
          </cell>
          <cell r="J48" t="str">
            <v>31</v>
          </cell>
          <cell r="K48" t="str">
            <v/>
          </cell>
          <cell r="L48" t="str">
            <v>2000</v>
          </cell>
          <cell r="M48" t="str">
            <v/>
          </cell>
          <cell r="N48" t="str">
            <v>322,258</v>
          </cell>
          <cell r="O48" t="str">
            <v xml:space="preserve">5ff divisa </v>
          </cell>
          <cell r="P48" t="str">
            <v>43</v>
          </cell>
        </row>
        <row r="49">
          <cell r="A49" t="str">
            <v>e3</v>
          </cell>
          <cell r="B49" t="str">
            <v>11</v>
          </cell>
          <cell r="C49" t="str">
            <v/>
          </cell>
          <cell r="D49" t="str">
            <v>200</v>
          </cell>
          <cell r="E49" t="str">
            <v/>
          </cell>
          <cell r="F49" t="str">
            <v>0</v>
          </cell>
          <cell r="G49" t="str">
            <v>10</v>
          </cell>
          <cell r="H49" t="str">
            <v>E</v>
          </cell>
          <cell r="I49" t="str">
            <v>90</v>
          </cell>
          <cell r="J49" t="str">
            <v>35</v>
          </cell>
          <cell r="K49" t="str">
            <v/>
          </cell>
          <cell r="L49" t="str">
            <v>2000</v>
          </cell>
          <cell r="M49" t="str">
            <v/>
          </cell>
          <cell r="N49" t="str">
            <v>347,612</v>
          </cell>
          <cell r="O49" t="str">
            <v/>
          </cell>
          <cell r="P49" t="str">
            <v>44</v>
          </cell>
        </row>
        <row r="50">
          <cell r="A50" t="str">
            <v>e3</v>
          </cell>
          <cell r="B50" t="str">
            <v>12</v>
          </cell>
          <cell r="C50" t="str">
            <v/>
          </cell>
          <cell r="D50" t="str">
            <v>200</v>
          </cell>
          <cell r="E50" t="str">
            <v/>
          </cell>
          <cell r="F50" t="str">
            <v>0</v>
          </cell>
          <cell r="G50" t="str">
            <v>10</v>
          </cell>
          <cell r="H50" t="str">
            <v>E</v>
          </cell>
          <cell r="I50" t="str">
            <v>90</v>
          </cell>
          <cell r="J50" t="str">
            <v>16</v>
          </cell>
          <cell r="K50" t="str">
            <v/>
          </cell>
          <cell r="L50" t="str">
            <v>2000</v>
          </cell>
          <cell r="M50" t="str">
            <v/>
          </cell>
          <cell r="N50" t="str">
            <v>372,757</v>
          </cell>
          <cell r="O50" t="str">
            <v/>
          </cell>
          <cell r="P50" t="str">
            <v>45</v>
          </cell>
        </row>
        <row r="51">
          <cell r="A51" t="str">
            <v>e3</v>
          </cell>
          <cell r="B51" t="str">
            <v>13</v>
          </cell>
          <cell r="C51" t="str">
            <v/>
          </cell>
          <cell r="D51" t="str">
            <v>200</v>
          </cell>
          <cell r="E51" t="str">
            <v/>
          </cell>
          <cell r="F51" t="str">
            <v>0</v>
          </cell>
          <cell r="G51" t="str">
            <v>10</v>
          </cell>
          <cell r="H51" t="str">
            <v>E</v>
          </cell>
          <cell r="I51" t="str">
            <v>90</v>
          </cell>
          <cell r="J51" t="str">
            <v>10</v>
          </cell>
          <cell r="K51" t="str">
            <v/>
          </cell>
          <cell r="L51" t="str">
            <v>2000</v>
          </cell>
          <cell r="M51" t="str">
            <v/>
          </cell>
          <cell r="N51" t="str">
            <v>401,852</v>
          </cell>
          <cell r="O51" t="str">
            <v>Poste</v>
          </cell>
          <cell r="P51" t="str">
            <v>46</v>
          </cell>
        </row>
        <row r="52">
          <cell r="A52" t="str">
            <v>e3</v>
          </cell>
          <cell r="B52" t="str">
            <v>14</v>
          </cell>
          <cell r="C52" t="str">
            <v/>
          </cell>
          <cell r="D52" t="str">
            <v>200</v>
          </cell>
          <cell r="E52" t="str">
            <v/>
          </cell>
          <cell r="F52" t="str">
            <v>0</v>
          </cell>
          <cell r="G52" t="str">
            <v>10</v>
          </cell>
          <cell r="H52" t="str">
            <v>E</v>
          </cell>
          <cell r="I52" t="str">
            <v>90</v>
          </cell>
          <cell r="J52" t="str">
            <v>4</v>
          </cell>
          <cell r="K52" t="str">
            <v/>
          </cell>
          <cell r="L52" t="str">
            <v>2000</v>
          </cell>
          <cell r="M52" t="str">
            <v/>
          </cell>
          <cell r="N52" t="str">
            <v>444,925</v>
          </cell>
          <cell r="O52" t="str">
            <v/>
          </cell>
          <cell r="P52" t="str">
            <v>47</v>
          </cell>
        </row>
        <row r="53">
          <cell r="A53" t="str">
            <v>e3</v>
          </cell>
          <cell r="B53" t="str">
            <v>e4</v>
          </cell>
          <cell r="C53" t="str">
            <v/>
          </cell>
          <cell r="D53" t="str">
            <v>200</v>
          </cell>
          <cell r="E53" t="str">
            <v/>
          </cell>
          <cell r="F53" t="str">
            <v>0</v>
          </cell>
          <cell r="G53" t="str">
            <v>10</v>
          </cell>
          <cell r="H53" t="str">
            <v>E</v>
          </cell>
          <cell r="I53" t="str">
            <v>89</v>
          </cell>
          <cell r="J53" t="str">
            <v>57</v>
          </cell>
          <cell r="K53" t="str">
            <v/>
          </cell>
          <cell r="L53" t="str">
            <v>2000</v>
          </cell>
          <cell r="M53" t="str">
            <v/>
          </cell>
          <cell r="N53" t="str">
            <v>500,121</v>
          </cell>
          <cell r="O53" t="str">
            <v xml:space="preserve">poste </v>
          </cell>
          <cell r="P53" t="str">
            <v>48</v>
          </cell>
        </row>
        <row r="54">
          <cell r="A54" t="str">
            <v>e4</v>
          </cell>
          <cell r="B54" t="str">
            <v>e3</v>
          </cell>
          <cell r="C54" t="str">
            <v/>
          </cell>
          <cell r="D54" t="str">
            <v>200</v>
          </cell>
          <cell r="E54" t="str">
            <v>20</v>
          </cell>
          <cell r="F54" t="str">
            <v>180</v>
          </cell>
          <cell r="G54" t="str">
            <v>0</v>
          </cell>
          <cell r="H54" t="str">
            <v>E</v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>RÉ</v>
          </cell>
          <cell r="P54" t="str">
            <v>49</v>
          </cell>
        </row>
        <row r="55">
          <cell r="A55" t="str">
            <v>e4</v>
          </cell>
          <cell r="B55" t="str">
            <v>1</v>
          </cell>
          <cell r="C55" t="str">
            <v/>
          </cell>
          <cell r="D55" t="str">
            <v>200</v>
          </cell>
          <cell r="E55" t="str">
            <v/>
          </cell>
          <cell r="F55" t="str">
            <v>0</v>
          </cell>
          <cell r="G55" t="str">
            <v>13</v>
          </cell>
          <cell r="H55" t="str">
            <v>E</v>
          </cell>
          <cell r="I55" t="str">
            <v>87</v>
          </cell>
          <cell r="J55" t="str">
            <v>27</v>
          </cell>
          <cell r="K55" t="str">
            <v/>
          </cell>
          <cell r="L55" t="str">
            <v>2000</v>
          </cell>
          <cell r="M55" t="str">
            <v/>
          </cell>
          <cell r="N55" t="str">
            <v>48,528</v>
          </cell>
          <cell r="O55" t="str">
            <v/>
          </cell>
          <cell r="P55" t="str">
            <v>50</v>
          </cell>
        </row>
        <row r="56">
          <cell r="A56" t="str">
            <v>e4</v>
          </cell>
          <cell r="B56" t="str">
            <v>2</v>
          </cell>
          <cell r="C56" t="str">
            <v/>
          </cell>
          <cell r="D56" t="str">
            <v>200</v>
          </cell>
          <cell r="E56" t="str">
            <v/>
          </cell>
          <cell r="F56" t="str">
            <v>0</v>
          </cell>
          <cell r="G56" t="str">
            <v>13</v>
          </cell>
          <cell r="H56" t="str">
            <v>E</v>
          </cell>
          <cell r="I56" t="str">
            <v>88</v>
          </cell>
          <cell r="J56" t="str">
            <v>19</v>
          </cell>
          <cell r="K56" t="str">
            <v/>
          </cell>
          <cell r="L56" t="str">
            <v>2000</v>
          </cell>
          <cell r="M56" t="str">
            <v/>
          </cell>
          <cell r="N56" t="str">
            <v>100,2</v>
          </cell>
          <cell r="O56" t="str">
            <v>Poste</v>
          </cell>
          <cell r="P56" t="str">
            <v>51</v>
          </cell>
        </row>
        <row r="57">
          <cell r="A57" t="str">
            <v>e4</v>
          </cell>
          <cell r="B57" t="str">
            <v>3</v>
          </cell>
          <cell r="C57" t="str">
            <v/>
          </cell>
          <cell r="D57" t="str">
            <v>200</v>
          </cell>
          <cell r="E57" t="str">
            <v/>
          </cell>
          <cell r="F57" t="str">
            <v>0</v>
          </cell>
          <cell r="G57" t="str">
            <v>13</v>
          </cell>
          <cell r="H57" t="str">
            <v>E</v>
          </cell>
          <cell r="I57" t="str">
            <v>88</v>
          </cell>
          <cell r="J57" t="str">
            <v>45</v>
          </cell>
          <cell r="K57" t="str">
            <v/>
          </cell>
          <cell r="L57" t="str">
            <v>2000</v>
          </cell>
          <cell r="M57" t="str">
            <v/>
          </cell>
          <cell r="N57" t="str">
            <v>153,645</v>
          </cell>
          <cell r="O57" t="str">
            <v/>
          </cell>
          <cell r="P57" t="str">
            <v>52</v>
          </cell>
        </row>
        <row r="58">
          <cell r="A58" t="str">
            <v>e4</v>
          </cell>
          <cell r="B58" t="str">
            <v>4</v>
          </cell>
          <cell r="C58" t="str">
            <v/>
          </cell>
          <cell r="D58" t="str">
            <v>200</v>
          </cell>
          <cell r="E58" t="str">
            <v/>
          </cell>
          <cell r="F58" t="str">
            <v>0</v>
          </cell>
          <cell r="G58" t="str">
            <v>13</v>
          </cell>
          <cell r="H58" t="str">
            <v>E</v>
          </cell>
          <cell r="I58" t="str">
            <v>88</v>
          </cell>
          <cell r="J58" t="str">
            <v>58</v>
          </cell>
          <cell r="K58" t="str">
            <v/>
          </cell>
          <cell r="L58" t="str">
            <v>2000</v>
          </cell>
          <cell r="M58" t="str">
            <v/>
          </cell>
          <cell r="N58" t="str">
            <v>199,92</v>
          </cell>
          <cell r="O58" t="str">
            <v>Poste</v>
          </cell>
          <cell r="P58" t="str">
            <v>53</v>
          </cell>
        </row>
        <row r="59">
          <cell r="A59" t="str">
            <v>e4</v>
          </cell>
          <cell r="B59" t="str">
            <v>5</v>
          </cell>
          <cell r="C59" t="str">
            <v/>
          </cell>
          <cell r="D59" t="str">
            <v>200</v>
          </cell>
          <cell r="E59" t="str">
            <v/>
          </cell>
          <cell r="F59" t="str">
            <v>0</v>
          </cell>
          <cell r="G59" t="str">
            <v>13</v>
          </cell>
          <cell r="H59" t="str">
            <v>E</v>
          </cell>
          <cell r="I59" t="str">
            <v>89</v>
          </cell>
          <cell r="J59" t="str">
            <v>16</v>
          </cell>
          <cell r="K59" t="str">
            <v/>
          </cell>
          <cell r="L59" t="str">
            <v>2000</v>
          </cell>
          <cell r="M59" t="str">
            <v/>
          </cell>
          <cell r="N59" t="str">
            <v>255,8</v>
          </cell>
          <cell r="O59" t="str">
            <v/>
          </cell>
          <cell r="P59" t="str">
            <v>54</v>
          </cell>
        </row>
        <row r="60">
          <cell r="A60" t="str">
            <v>e4</v>
          </cell>
          <cell r="B60" t="str">
            <v>6</v>
          </cell>
          <cell r="C60" t="str">
            <v/>
          </cell>
          <cell r="D60" t="str">
            <v>200</v>
          </cell>
          <cell r="E60" t="str">
            <v/>
          </cell>
          <cell r="F60" t="str">
            <v>0</v>
          </cell>
          <cell r="G60" t="str">
            <v>13</v>
          </cell>
          <cell r="H60" t="str">
            <v>E</v>
          </cell>
          <cell r="I60" t="str">
            <v>89</v>
          </cell>
          <cell r="J60" t="str">
            <v>23</v>
          </cell>
          <cell r="K60" t="str">
            <v/>
          </cell>
          <cell r="L60" t="str">
            <v>2000</v>
          </cell>
          <cell r="M60" t="str">
            <v/>
          </cell>
          <cell r="N60" t="str">
            <v>300,294</v>
          </cell>
          <cell r="O60" t="str">
            <v>Poste</v>
          </cell>
          <cell r="P60" t="str">
            <v>55</v>
          </cell>
        </row>
        <row r="61">
          <cell r="A61" t="str">
            <v>e4</v>
          </cell>
          <cell r="B61" t="str">
            <v>7</v>
          </cell>
          <cell r="C61" t="str">
            <v/>
          </cell>
          <cell r="D61" t="str">
            <v>200</v>
          </cell>
          <cell r="E61" t="str">
            <v/>
          </cell>
          <cell r="F61" t="str">
            <v>0</v>
          </cell>
          <cell r="G61" t="str">
            <v>13</v>
          </cell>
          <cell r="H61" t="str">
            <v>E</v>
          </cell>
          <cell r="I61" t="str">
            <v>89</v>
          </cell>
          <cell r="J61" t="str">
            <v>30</v>
          </cell>
          <cell r="K61" t="str">
            <v/>
          </cell>
          <cell r="L61" t="str">
            <v>2000</v>
          </cell>
          <cell r="M61" t="str">
            <v/>
          </cell>
          <cell r="N61" t="str">
            <v>343,58</v>
          </cell>
          <cell r="O61" t="str">
            <v/>
          </cell>
          <cell r="P61" t="str">
            <v>56</v>
          </cell>
        </row>
        <row r="62">
          <cell r="A62" t="str">
            <v>e4</v>
          </cell>
          <cell r="B62" t="str">
            <v>e5</v>
          </cell>
          <cell r="C62" t="str">
            <v/>
          </cell>
          <cell r="D62" t="str">
            <v>200</v>
          </cell>
          <cell r="E62" t="str">
            <v/>
          </cell>
          <cell r="F62" t="str">
            <v>0</v>
          </cell>
          <cell r="G62" t="str">
            <v>13</v>
          </cell>
          <cell r="H62" t="str">
            <v>E</v>
          </cell>
          <cell r="I62" t="str">
            <v>89</v>
          </cell>
          <cell r="J62" t="str">
            <v>37</v>
          </cell>
          <cell r="K62" t="str">
            <v/>
          </cell>
          <cell r="L62" t="str">
            <v>2000</v>
          </cell>
          <cell r="M62" t="str">
            <v/>
          </cell>
          <cell r="N62" t="str">
            <v>401,612</v>
          </cell>
          <cell r="O62" t="str">
            <v>Poste</v>
          </cell>
          <cell r="P62" t="str">
            <v>57</v>
          </cell>
        </row>
        <row r="63">
          <cell r="A63" t="str">
            <v>e5</v>
          </cell>
          <cell r="B63" t="str">
            <v>e4</v>
          </cell>
          <cell r="C63" t="str">
            <v/>
          </cell>
          <cell r="D63" t="str">
            <v>200</v>
          </cell>
          <cell r="E63" t="str">
            <v>20</v>
          </cell>
          <cell r="F63" t="str">
            <v>180</v>
          </cell>
          <cell r="G63" t="str">
            <v>0</v>
          </cell>
          <cell r="H63" t="str">
            <v>E</v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>RÉ</v>
          </cell>
          <cell r="P63" t="str">
            <v>58</v>
          </cell>
        </row>
        <row r="64">
          <cell r="A64" t="str">
            <v>e5</v>
          </cell>
          <cell r="B64" t="str">
            <v>1</v>
          </cell>
          <cell r="C64" t="str">
            <v/>
          </cell>
          <cell r="D64" t="str">
            <v>200</v>
          </cell>
          <cell r="E64" t="str">
            <v/>
          </cell>
          <cell r="F64" t="str">
            <v>0</v>
          </cell>
          <cell r="G64" t="str">
            <v>9</v>
          </cell>
          <cell r="H64" t="str">
            <v>E</v>
          </cell>
          <cell r="I64" t="str">
            <v>90</v>
          </cell>
          <cell r="J64" t="str">
            <v>6</v>
          </cell>
          <cell r="K64" t="str">
            <v/>
          </cell>
          <cell r="L64" t="str">
            <v>2000</v>
          </cell>
          <cell r="M64" t="str">
            <v/>
          </cell>
          <cell r="N64" t="str">
            <v>44,862</v>
          </cell>
          <cell r="O64" t="str">
            <v/>
          </cell>
          <cell r="P64" t="str">
            <v>59</v>
          </cell>
        </row>
        <row r="65">
          <cell r="A65" t="str">
            <v>e5</v>
          </cell>
          <cell r="B65" t="str">
            <v>2</v>
          </cell>
          <cell r="C65" t="str">
            <v/>
          </cell>
          <cell r="D65" t="str">
            <v>200</v>
          </cell>
          <cell r="E65" t="str">
            <v>3</v>
          </cell>
          <cell r="F65" t="str">
            <v>0</v>
          </cell>
          <cell r="G65" t="str">
            <v>9</v>
          </cell>
          <cell r="H65" t="str">
            <v>E</v>
          </cell>
          <cell r="I65" t="str">
            <v>90</v>
          </cell>
          <cell r="J65" t="str">
            <v>24</v>
          </cell>
          <cell r="K65" t="str">
            <v/>
          </cell>
          <cell r="L65" t="str">
            <v>2000</v>
          </cell>
          <cell r="M65" t="str">
            <v/>
          </cell>
          <cell r="N65" t="str">
            <v>79,445</v>
          </cell>
          <cell r="O65" t="str">
            <v xml:space="preserve">inicio de estrada </v>
          </cell>
          <cell r="P65" t="str">
            <v>60</v>
          </cell>
        </row>
        <row r="66">
          <cell r="A66" t="str">
            <v>e5</v>
          </cell>
          <cell r="B66" t="str">
            <v>3</v>
          </cell>
          <cell r="C66" t="str">
            <v/>
          </cell>
          <cell r="D66" t="str">
            <v>200</v>
          </cell>
          <cell r="E66" t="str">
            <v>3</v>
          </cell>
          <cell r="F66" t="str">
            <v>0</v>
          </cell>
          <cell r="G66" t="str">
            <v>9</v>
          </cell>
          <cell r="H66" t="str">
            <v>E</v>
          </cell>
          <cell r="I66" t="str">
            <v>90</v>
          </cell>
          <cell r="J66" t="str">
            <v>23</v>
          </cell>
          <cell r="K66" t="str">
            <v/>
          </cell>
          <cell r="L66" t="str">
            <v>2000</v>
          </cell>
          <cell r="M66" t="str">
            <v/>
          </cell>
          <cell r="N66" t="str">
            <v>84,229</v>
          </cell>
          <cell r="O66" t="str">
            <v>fim de estrada</v>
          </cell>
          <cell r="P66" t="str">
            <v>61</v>
          </cell>
        </row>
        <row r="67">
          <cell r="A67" t="str">
            <v>e5</v>
          </cell>
          <cell r="B67" t="str">
            <v>4</v>
          </cell>
          <cell r="C67" t="str">
            <v/>
          </cell>
          <cell r="D67" t="str">
            <v>200</v>
          </cell>
          <cell r="E67" t="str">
            <v>5</v>
          </cell>
          <cell r="F67" t="str">
            <v>0</v>
          </cell>
          <cell r="G67" t="str">
            <v>9</v>
          </cell>
          <cell r="H67" t="str">
            <v>E</v>
          </cell>
          <cell r="I67" t="str">
            <v>90</v>
          </cell>
          <cell r="J67" t="str">
            <v>28</v>
          </cell>
          <cell r="K67" t="str">
            <v/>
          </cell>
          <cell r="L67" t="str">
            <v>2000</v>
          </cell>
          <cell r="M67" t="str">
            <v/>
          </cell>
          <cell r="N67" t="str">
            <v>86,546</v>
          </cell>
          <cell r="O67" t="str">
            <v>05 fl</v>
          </cell>
          <cell r="P67" t="str">
            <v>62</v>
          </cell>
        </row>
        <row r="68">
          <cell r="A68" t="str">
            <v>e5</v>
          </cell>
          <cell r="B68" t="str">
            <v>5</v>
          </cell>
          <cell r="C68" t="str">
            <v/>
          </cell>
          <cell r="D68" t="str">
            <v>200</v>
          </cell>
          <cell r="E68" t="str">
            <v/>
          </cell>
          <cell r="F68" t="str">
            <v>0</v>
          </cell>
          <cell r="G68" t="str">
            <v>9</v>
          </cell>
          <cell r="H68" t="str">
            <v>E</v>
          </cell>
          <cell r="I68" t="str">
            <v>90</v>
          </cell>
          <cell r="J68" t="str">
            <v>14</v>
          </cell>
          <cell r="K68" t="str">
            <v/>
          </cell>
          <cell r="L68" t="str">
            <v>2000</v>
          </cell>
          <cell r="M68" t="str">
            <v/>
          </cell>
          <cell r="N68" t="str">
            <v>99,761</v>
          </cell>
          <cell r="O68" t="str">
            <v>Poste</v>
          </cell>
          <cell r="P68" t="str">
            <v>63</v>
          </cell>
        </row>
        <row r="69">
          <cell r="A69" t="str">
            <v>e5</v>
          </cell>
          <cell r="B69" t="str">
            <v>6</v>
          </cell>
          <cell r="C69" t="str">
            <v/>
          </cell>
          <cell r="D69" t="str">
            <v>200</v>
          </cell>
          <cell r="E69" t="str">
            <v/>
          </cell>
          <cell r="F69" t="str">
            <v>0</v>
          </cell>
          <cell r="G69" t="str">
            <v>9</v>
          </cell>
          <cell r="H69" t="str">
            <v>E</v>
          </cell>
          <cell r="I69" t="str">
            <v>90</v>
          </cell>
          <cell r="J69" t="str">
            <v>24</v>
          </cell>
          <cell r="K69" t="str">
            <v/>
          </cell>
          <cell r="L69" t="str">
            <v>2000</v>
          </cell>
          <cell r="M69" t="str">
            <v/>
          </cell>
          <cell r="N69" t="str">
            <v>139,557</v>
          </cell>
          <cell r="O69" t="str">
            <v/>
          </cell>
          <cell r="P69" t="str">
            <v>64</v>
          </cell>
        </row>
        <row r="70">
          <cell r="A70" t="str">
            <v>e5</v>
          </cell>
          <cell r="B70" t="str">
            <v>7</v>
          </cell>
          <cell r="C70" t="str">
            <v/>
          </cell>
          <cell r="D70" t="str">
            <v>200</v>
          </cell>
          <cell r="E70" t="str">
            <v/>
          </cell>
          <cell r="F70" t="str">
            <v>0</v>
          </cell>
          <cell r="G70" t="str">
            <v>9</v>
          </cell>
          <cell r="H70" t="str">
            <v>E</v>
          </cell>
          <cell r="I70" t="str">
            <v>90</v>
          </cell>
          <cell r="J70" t="str">
            <v>24</v>
          </cell>
          <cell r="K70" t="str">
            <v/>
          </cell>
          <cell r="L70" t="str">
            <v>2000</v>
          </cell>
          <cell r="M70" t="str">
            <v/>
          </cell>
          <cell r="N70" t="str">
            <v>167,236</v>
          </cell>
          <cell r="O70" t="str">
            <v/>
          </cell>
          <cell r="P70" t="str">
            <v>65</v>
          </cell>
        </row>
        <row r="71">
          <cell r="A71" t="str">
            <v>e5</v>
          </cell>
          <cell r="B71" t="str">
            <v>8</v>
          </cell>
          <cell r="C71" t="str">
            <v/>
          </cell>
          <cell r="D71" t="str">
            <v>200</v>
          </cell>
          <cell r="E71" t="str">
            <v/>
          </cell>
          <cell r="F71" t="str">
            <v>0</v>
          </cell>
          <cell r="G71" t="str">
            <v>9</v>
          </cell>
          <cell r="H71" t="str">
            <v>E</v>
          </cell>
          <cell r="I71" t="str">
            <v>90</v>
          </cell>
          <cell r="J71" t="str">
            <v>20</v>
          </cell>
          <cell r="K71" t="str">
            <v/>
          </cell>
          <cell r="L71" t="str">
            <v>2000</v>
          </cell>
          <cell r="M71" t="str">
            <v/>
          </cell>
          <cell r="N71" t="str">
            <v>199,862</v>
          </cell>
          <cell r="O71" t="str">
            <v>Poste</v>
          </cell>
          <cell r="P71" t="str">
            <v>66</v>
          </cell>
        </row>
        <row r="72">
          <cell r="A72" t="str">
            <v>e5</v>
          </cell>
          <cell r="B72" t="str">
            <v>9</v>
          </cell>
          <cell r="C72" t="str">
            <v/>
          </cell>
          <cell r="D72" t="str">
            <v>200</v>
          </cell>
          <cell r="E72" t="str">
            <v/>
          </cell>
          <cell r="F72" t="str">
            <v>0</v>
          </cell>
          <cell r="G72" t="str">
            <v>9</v>
          </cell>
          <cell r="H72" t="str">
            <v>E</v>
          </cell>
          <cell r="I72" t="str">
            <v>90</v>
          </cell>
          <cell r="J72" t="str">
            <v>21</v>
          </cell>
          <cell r="K72" t="str">
            <v/>
          </cell>
          <cell r="L72" t="str">
            <v>2000</v>
          </cell>
          <cell r="M72" t="str">
            <v/>
          </cell>
          <cell r="N72" t="str">
            <v>243,925</v>
          </cell>
          <cell r="O72" t="str">
            <v/>
          </cell>
          <cell r="P72" t="str">
            <v>67</v>
          </cell>
        </row>
        <row r="73">
          <cell r="A73" t="str">
            <v>e5</v>
          </cell>
          <cell r="B73" t="str">
            <v>e6</v>
          </cell>
          <cell r="C73" t="str">
            <v/>
          </cell>
          <cell r="D73" t="str">
            <v>200</v>
          </cell>
          <cell r="E73" t="str">
            <v/>
          </cell>
          <cell r="F73" t="str">
            <v>0</v>
          </cell>
          <cell r="G73" t="str">
            <v>9</v>
          </cell>
          <cell r="H73" t="str">
            <v>E</v>
          </cell>
          <cell r="I73" t="str">
            <v>90</v>
          </cell>
          <cell r="J73" t="str">
            <v>21</v>
          </cell>
          <cell r="K73" t="str">
            <v/>
          </cell>
          <cell r="L73" t="str">
            <v>2000</v>
          </cell>
          <cell r="M73" t="str">
            <v/>
          </cell>
          <cell r="N73" t="str">
            <v>299,367</v>
          </cell>
          <cell r="O73" t="str">
            <v/>
          </cell>
          <cell r="P73" t="str">
            <v>68</v>
          </cell>
        </row>
        <row r="74">
          <cell r="A74" t="str">
            <v>e6</v>
          </cell>
          <cell r="B74" t="str">
            <v>e5</v>
          </cell>
          <cell r="C74" t="str">
            <v/>
          </cell>
          <cell r="D74" t="str">
            <v>200</v>
          </cell>
          <cell r="E74" t="str">
            <v>20</v>
          </cell>
          <cell r="F74" t="str">
            <v>180</v>
          </cell>
          <cell r="G74" t="str">
            <v>0</v>
          </cell>
          <cell r="H74" t="str">
            <v>E</v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>RÉ</v>
          </cell>
          <cell r="P74" t="str">
            <v>69</v>
          </cell>
        </row>
        <row r="75">
          <cell r="A75" t="str">
            <v>e6</v>
          </cell>
          <cell r="B75" t="str">
            <v>1</v>
          </cell>
          <cell r="C75" t="str">
            <v/>
          </cell>
          <cell r="D75" t="str">
            <v>200</v>
          </cell>
          <cell r="E75" t="str">
            <v/>
          </cell>
          <cell r="F75" t="str">
            <v>0</v>
          </cell>
          <cell r="G75" t="str">
            <v>2</v>
          </cell>
          <cell r="H75" t="str">
            <v>E</v>
          </cell>
          <cell r="I75" t="str">
            <v>90</v>
          </cell>
          <cell r="J75" t="str">
            <v>39</v>
          </cell>
          <cell r="K75" t="str">
            <v/>
          </cell>
          <cell r="L75" t="str">
            <v>2000</v>
          </cell>
          <cell r="M75" t="str">
            <v/>
          </cell>
          <cell r="N75" t="str">
            <v>57,604</v>
          </cell>
          <cell r="O75" t="str">
            <v/>
          </cell>
          <cell r="P75" t="str">
            <v>70</v>
          </cell>
        </row>
        <row r="76">
          <cell r="A76" t="str">
            <v>e6</v>
          </cell>
          <cell r="B76" t="str">
            <v>2</v>
          </cell>
          <cell r="C76" t="str">
            <v/>
          </cell>
          <cell r="D76" t="str">
            <v>200</v>
          </cell>
          <cell r="E76" t="str">
            <v/>
          </cell>
          <cell r="F76" t="str">
            <v>0</v>
          </cell>
          <cell r="G76" t="str">
            <v>2</v>
          </cell>
          <cell r="H76" t="str">
            <v>E</v>
          </cell>
          <cell r="I76" t="str">
            <v>90</v>
          </cell>
          <cell r="J76" t="str">
            <v>45</v>
          </cell>
          <cell r="K76" t="str">
            <v/>
          </cell>
          <cell r="L76" t="str">
            <v>2000</v>
          </cell>
          <cell r="M76" t="str">
            <v/>
          </cell>
          <cell r="N76" t="str">
            <v>99,795</v>
          </cell>
          <cell r="O76" t="str">
            <v>Poste</v>
          </cell>
          <cell r="P76" t="str">
            <v>71</v>
          </cell>
        </row>
        <row r="77">
          <cell r="A77" t="str">
            <v>e6</v>
          </cell>
          <cell r="B77" t="str">
            <v>3</v>
          </cell>
          <cell r="C77" t="str">
            <v/>
          </cell>
          <cell r="D77" t="str">
            <v>200</v>
          </cell>
          <cell r="E77" t="str">
            <v/>
          </cell>
          <cell r="F77" t="str">
            <v>0</v>
          </cell>
          <cell r="G77" t="str">
            <v>2</v>
          </cell>
          <cell r="H77" t="str">
            <v>E</v>
          </cell>
          <cell r="I77" t="str">
            <v>90</v>
          </cell>
          <cell r="J77" t="str">
            <v>36</v>
          </cell>
          <cell r="K77" t="str">
            <v/>
          </cell>
          <cell r="L77" t="str">
            <v>2000</v>
          </cell>
          <cell r="M77" t="str">
            <v/>
          </cell>
          <cell r="N77" t="str">
            <v>145,505</v>
          </cell>
          <cell r="O77" t="str">
            <v/>
          </cell>
          <cell r="P77" t="str">
            <v>72</v>
          </cell>
        </row>
        <row r="78">
          <cell r="A78" t="str">
            <v>e6</v>
          </cell>
          <cell r="B78" t="str">
            <v>4</v>
          </cell>
          <cell r="C78" t="str">
            <v/>
          </cell>
          <cell r="D78" t="str">
            <v>200</v>
          </cell>
          <cell r="E78" t="str">
            <v/>
          </cell>
          <cell r="F78" t="str">
            <v>0</v>
          </cell>
          <cell r="G78" t="str">
            <v>2</v>
          </cell>
          <cell r="H78" t="str">
            <v>E</v>
          </cell>
          <cell r="I78" t="str">
            <v>90</v>
          </cell>
          <cell r="J78" t="str">
            <v>31</v>
          </cell>
          <cell r="K78" t="str">
            <v/>
          </cell>
          <cell r="L78" t="str">
            <v>2000</v>
          </cell>
          <cell r="M78" t="str">
            <v/>
          </cell>
          <cell r="N78" t="str">
            <v>175,315</v>
          </cell>
          <cell r="O78" t="str">
            <v/>
          </cell>
          <cell r="P78" t="str">
            <v>73</v>
          </cell>
        </row>
        <row r="79">
          <cell r="A79" t="str">
            <v>e6</v>
          </cell>
          <cell r="B79" t="str">
            <v>5</v>
          </cell>
          <cell r="C79" t="str">
            <v/>
          </cell>
          <cell r="D79" t="str">
            <v>200</v>
          </cell>
          <cell r="E79" t="str">
            <v/>
          </cell>
          <cell r="F79" t="str">
            <v>0</v>
          </cell>
          <cell r="G79" t="str">
            <v>2</v>
          </cell>
          <cell r="H79" t="str">
            <v>E</v>
          </cell>
          <cell r="I79" t="str">
            <v>90</v>
          </cell>
          <cell r="J79" t="str">
            <v>30</v>
          </cell>
          <cell r="K79" t="str">
            <v/>
          </cell>
          <cell r="L79" t="str">
            <v>2000</v>
          </cell>
          <cell r="M79" t="str">
            <v/>
          </cell>
          <cell r="N79" t="str">
            <v>198,039</v>
          </cell>
          <cell r="O79" t="str">
            <v>Poste</v>
          </cell>
          <cell r="P79" t="str">
            <v>74</v>
          </cell>
        </row>
        <row r="80">
          <cell r="A80" t="str">
            <v>e6</v>
          </cell>
          <cell r="B80" t="str">
            <v>6</v>
          </cell>
          <cell r="C80" t="str">
            <v/>
          </cell>
          <cell r="D80" t="str">
            <v>200</v>
          </cell>
          <cell r="E80" t="str">
            <v/>
          </cell>
          <cell r="F80" t="str">
            <v>0</v>
          </cell>
          <cell r="G80" t="str">
            <v>2</v>
          </cell>
          <cell r="H80" t="str">
            <v>E</v>
          </cell>
          <cell r="I80" t="str">
            <v>90</v>
          </cell>
          <cell r="J80" t="str">
            <v>29</v>
          </cell>
          <cell r="K80" t="str">
            <v/>
          </cell>
          <cell r="L80" t="str">
            <v>2000</v>
          </cell>
          <cell r="M80" t="str">
            <v/>
          </cell>
          <cell r="N80" t="str">
            <v>244,291</v>
          </cell>
          <cell r="O80" t="str">
            <v/>
          </cell>
          <cell r="P80" t="str">
            <v>75</v>
          </cell>
        </row>
        <row r="81">
          <cell r="A81" t="str">
            <v>e6</v>
          </cell>
          <cell r="B81" t="str">
            <v>7</v>
          </cell>
          <cell r="C81" t="str">
            <v/>
          </cell>
          <cell r="D81" t="str">
            <v>200</v>
          </cell>
          <cell r="E81" t="str">
            <v/>
          </cell>
          <cell r="F81" t="str">
            <v>0</v>
          </cell>
          <cell r="G81" t="str">
            <v>2</v>
          </cell>
          <cell r="H81" t="str">
            <v>E</v>
          </cell>
          <cell r="I81" t="str">
            <v>90</v>
          </cell>
          <cell r="J81" t="str">
            <v>27</v>
          </cell>
          <cell r="K81" t="str">
            <v/>
          </cell>
          <cell r="L81" t="str">
            <v>2000</v>
          </cell>
          <cell r="M81" t="str">
            <v/>
          </cell>
          <cell r="N81" t="str">
            <v>284,017</v>
          </cell>
          <cell r="O81" t="str">
            <v/>
          </cell>
          <cell r="P81" t="str">
            <v>76</v>
          </cell>
        </row>
        <row r="82">
          <cell r="A82" t="str">
            <v>e6</v>
          </cell>
          <cell r="B82" t="str">
            <v>8</v>
          </cell>
          <cell r="C82" t="str">
            <v/>
          </cell>
          <cell r="D82" t="str">
            <v>200</v>
          </cell>
          <cell r="E82" t="str">
            <v/>
          </cell>
          <cell r="F82" t="str">
            <v>0</v>
          </cell>
          <cell r="G82" t="str">
            <v>2</v>
          </cell>
          <cell r="H82" t="str">
            <v>E</v>
          </cell>
          <cell r="I82" t="str">
            <v>90</v>
          </cell>
          <cell r="J82" t="str">
            <v>23</v>
          </cell>
          <cell r="K82" t="str">
            <v/>
          </cell>
          <cell r="L82" t="str">
            <v>2000</v>
          </cell>
          <cell r="M82" t="str">
            <v/>
          </cell>
          <cell r="N82" t="str">
            <v>319,48</v>
          </cell>
          <cell r="O82" t="str">
            <v>Poste</v>
          </cell>
          <cell r="P82" t="str">
            <v>77</v>
          </cell>
        </row>
        <row r="83">
          <cell r="A83" t="str">
            <v>e6</v>
          </cell>
          <cell r="B83" t="str">
            <v>9</v>
          </cell>
          <cell r="C83" t="str">
            <v/>
          </cell>
          <cell r="D83" t="str">
            <v>200</v>
          </cell>
          <cell r="E83" t="str">
            <v/>
          </cell>
          <cell r="F83" t="str">
            <v>0</v>
          </cell>
          <cell r="G83" t="str">
            <v>2</v>
          </cell>
          <cell r="H83" t="str">
            <v>E</v>
          </cell>
          <cell r="I83" t="str">
            <v>90</v>
          </cell>
          <cell r="J83" t="str">
            <v>15</v>
          </cell>
          <cell r="K83" t="str">
            <v/>
          </cell>
          <cell r="L83" t="str">
            <v>2000</v>
          </cell>
          <cell r="M83" t="str">
            <v/>
          </cell>
          <cell r="N83" t="str">
            <v>375,74</v>
          </cell>
          <cell r="O83" t="str">
            <v/>
          </cell>
          <cell r="P83" t="str">
            <v>78</v>
          </cell>
        </row>
        <row r="84">
          <cell r="A84" t="str">
            <v>e6</v>
          </cell>
          <cell r="B84" t="str">
            <v>10</v>
          </cell>
          <cell r="C84" t="str">
            <v/>
          </cell>
          <cell r="D84" t="str">
            <v>200</v>
          </cell>
          <cell r="E84" t="str">
            <v/>
          </cell>
          <cell r="F84" t="str">
            <v>0</v>
          </cell>
          <cell r="G84" t="str">
            <v>2</v>
          </cell>
          <cell r="H84" t="str">
            <v>E</v>
          </cell>
          <cell r="I84" t="str">
            <v>90</v>
          </cell>
          <cell r="J84" t="str">
            <v>11</v>
          </cell>
          <cell r="K84" t="str">
            <v/>
          </cell>
          <cell r="L84" t="str">
            <v>2000</v>
          </cell>
          <cell r="M84" t="str">
            <v/>
          </cell>
          <cell r="N84" t="str">
            <v>419,898</v>
          </cell>
          <cell r="O84" t="str">
            <v>Poste</v>
          </cell>
          <cell r="P84" t="str">
            <v>79</v>
          </cell>
        </row>
        <row r="85">
          <cell r="A85" t="str">
            <v>e6</v>
          </cell>
          <cell r="B85" t="str">
            <v>11</v>
          </cell>
          <cell r="C85" t="str">
            <v/>
          </cell>
          <cell r="D85" t="str">
            <v>200</v>
          </cell>
          <cell r="E85" t="str">
            <v/>
          </cell>
          <cell r="F85" t="str">
            <v>0</v>
          </cell>
          <cell r="G85" t="str">
            <v>2</v>
          </cell>
          <cell r="H85" t="str">
            <v>E</v>
          </cell>
          <cell r="I85" t="str">
            <v>90</v>
          </cell>
          <cell r="J85" t="str">
            <v>8</v>
          </cell>
          <cell r="K85" t="str">
            <v/>
          </cell>
          <cell r="L85" t="str">
            <v>2000</v>
          </cell>
          <cell r="M85" t="str">
            <v/>
          </cell>
          <cell r="N85" t="str">
            <v>459,98</v>
          </cell>
          <cell r="O85" t="str">
            <v/>
          </cell>
          <cell r="P85" t="str">
            <v>80</v>
          </cell>
        </row>
        <row r="86">
          <cell r="A86" t="str">
            <v>e6</v>
          </cell>
          <cell r="B86" t="str">
            <v>12</v>
          </cell>
          <cell r="C86" t="str">
            <v/>
          </cell>
          <cell r="D86" t="str">
            <v>200</v>
          </cell>
          <cell r="E86" t="str">
            <v>5</v>
          </cell>
          <cell r="F86" t="str">
            <v>0</v>
          </cell>
          <cell r="G86" t="str">
            <v>2</v>
          </cell>
          <cell r="H86" t="str">
            <v>E</v>
          </cell>
          <cell r="I86" t="str">
            <v>90</v>
          </cell>
          <cell r="J86" t="str">
            <v>8</v>
          </cell>
          <cell r="K86" t="str">
            <v/>
          </cell>
          <cell r="L86" t="str">
            <v>2000</v>
          </cell>
          <cell r="M86" t="str">
            <v/>
          </cell>
          <cell r="N86" t="str">
            <v>503,354</v>
          </cell>
          <cell r="O86" t="str">
            <v>5fl</v>
          </cell>
          <cell r="P86" t="str">
            <v>81</v>
          </cell>
        </row>
        <row r="87">
          <cell r="A87" t="str">
            <v>e6</v>
          </cell>
          <cell r="B87" t="str">
            <v>e7</v>
          </cell>
          <cell r="C87" t="str">
            <v/>
          </cell>
          <cell r="D87" t="str">
            <v>200</v>
          </cell>
          <cell r="E87" t="str">
            <v/>
          </cell>
          <cell r="F87" t="str">
            <v>0</v>
          </cell>
          <cell r="G87" t="str">
            <v>2</v>
          </cell>
          <cell r="H87" t="str">
            <v>E</v>
          </cell>
          <cell r="I87" t="str">
            <v>90</v>
          </cell>
          <cell r="J87" t="str">
            <v>11</v>
          </cell>
          <cell r="K87" t="str">
            <v/>
          </cell>
          <cell r="L87" t="str">
            <v>2000</v>
          </cell>
          <cell r="M87" t="str">
            <v/>
          </cell>
          <cell r="N87" t="str">
            <v>521,024</v>
          </cell>
          <cell r="O87" t="str">
            <v xml:space="preserve">poste </v>
          </cell>
          <cell r="P87" t="str">
            <v>82</v>
          </cell>
        </row>
        <row r="88">
          <cell r="A88" t="str">
            <v>e7</v>
          </cell>
          <cell r="B88" t="str">
            <v>e6</v>
          </cell>
          <cell r="C88" t="str">
            <v/>
          </cell>
          <cell r="D88" t="str">
            <v>200</v>
          </cell>
          <cell r="E88" t="str">
            <v>20</v>
          </cell>
          <cell r="F88" t="str">
            <v>180</v>
          </cell>
          <cell r="G88" t="str">
            <v>0</v>
          </cell>
          <cell r="H88" t="str">
            <v>E</v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>RÉ</v>
          </cell>
          <cell r="P88" t="str">
            <v>83</v>
          </cell>
        </row>
        <row r="89">
          <cell r="A89" t="str">
            <v>e7</v>
          </cell>
          <cell r="B89" t="str">
            <v>1</v>
          </cell>
          <cell r="C89" t="str">
            <v/>
          </cell>
          <cell r="D89" t="str">
            <v>200</v>
          </cell>
          <cell r="E89" t="str">
            <v/>
          </cell>
          <cell r="F89" t="str">
            <v>0</v>
          </cell>
          <cell r="G89" t="str">
            <v>2</v>
          </cell>
          <cell r="H89" t="str">
            <v>E</v>
          </cell>
          <cell r="I89" t="str">
            <v>90</v>
          </cell>
          <cell r="J89" t="str">
            <v>36</v>
          </cell>
          <cell r="K89" t="str">
            <v/>
          </cell>
          <cell r="L89" t="str">
            <v>2000</v>
          </cell>
          <cell r="M89" t="str">
            <v/>
          </cell>
          <cell r="N89" t="str">
            <v>35,616</v>
          </cell>
          <cell r="O89" t="str">
            <v/>
          </cell>
          <cell r="P89" t="str">
            <v>84</v>
          </cell>
        </row>
        <row r="90">
          <cell r="A90" t="str">
            <v>e7</v>
          </cell>
          <cell r="B90" t="str">
            <v>2</v>
          </cell>
          <cell r="C90" t="str">
            <v/>
          </cell>
          <cell r="D90" t="str">
            <v>200</v>
          </cell>
          <cell r="E90" t="str">
            <v/>
          </cell>
          <cell r="F90" t="str">
            <v>0</v>
          </cell>
          <cell r="G90" t="str">
            <v>2</v>
          </cell>
          <cell r="H90" t="str">
            <v>E</v>
          </cell>
          <cell r="I90" t="str">
            <v>90</v>
          </cell>
          <cell r="J90" t="str">
            <v>22</v>
          </cell>
          <cell r="K90" t="str">
            <v/>
          </cell>
          <cell r="L90" t="str">
            <v>2000</v>
          </cell>
          <cell r="M90" t="str">
            <v/>
          </cell>
          <cell r="N90" t="str">
            <v>60,746</v>
          </cell>
          <cell r="O90" t="str">
            <v/>
          </cell>
          <cell r="P90" t="str">
            <v>85</v>
          </cell>
        </row>
        <row r="91">
          <cell r="A91" t="str">
            <v>e7</v>
          </cell>
          <cell r="B91" t="str">
            <v>3</v>
          </cell>
          <cell r="C91" t="str">
            <v/>
          </cell>
          <cell r="D91" t="str">
            <v>200</v>
          </cell>
          <cell r="E91" t="str">
            <v/>
          </cell>
          <cell r="F91" t="str">
            <v>0</v>
          </cell>
          <cell r="G91" t="str">
            <v>2</v>
          </cell>
          <cell r="H91" t="str">
            <v>E</v>
          </cell>
          <cell r="I91" t="str">
            <v>90</v>
          </cell>
          <cell r="J91" t="str">
            <v>21</v>
          </cell>
          <cell r="K91" t="str">
            <v/>
          </cell>
          <cell r="L91" t="str">
            <v>2000</v>
          </cell>
          <cell r="M91" t="str">
            <v/>
          </cell>
          <cell r="N91" t="str">
            <v>99,938</v>
          </cell>
          <cell r="O91" t="str">
            <v>Poste</v>
          </cell>
          <cell r="P91" t="str">
            <v>86</v>
          </cell>
        </row>
        <row r="92">
          <cell r="A92" t="str">
            <v>e7</v>
          </cell>
          <cell r="B92" t="str">
            <v>4</v>
          </cell>
          <cell r="C92" t="str">
            <v/>
          </cell>
          <cell r="D92" t="str">
            <v>200</v>
          </cell>
          <cell r="E92" t="str">
            <v/>
          </cell>
          <cell r="F92" t="str">
            <v>0</v>
          </cell>
          <cell r="G92" t="str">
            <v>2</v>
          </cell>
          <cell r="H92" t="str">
            <v>E</v>
          </cell>
          <cell r="I92" t="str">
            <v>90</v>
          </cell>
          <cell r="J92" t="str">
            <v>15</v>
          </cell>
          <cell r="K92" t="str">
            <v/>
          </cell>
          <cell r="L92" t="str">
            <v>2000</v>
          </cell>
          <cell r="M92" t="str">
            <v/>
          </cell>
          <cell r="N92" t="str">
            <v>153,173</v>
          </cell>
          <cell r="O92" t="str">
            <v/>
          </cell>
          <cell r="P92" t="str">
            <v>87</v>
          </cell>
        </row>
        <row r="93">
          <cell r="A93" t="str">
            <v>e7</v>
          </cell>
          <cell r="B93" t="str">
            <v>5</v>
          </cell>
          <cell r="C93" t="str">
            <v/>
          </cell>
          <cell r="D93" t="str">
            <v>200</v>
          </cell>
          <cell r="E93" t="str">
            <v/>
          </cell>
          <cell r="F93" t="str">
            <v>0</v>
          </cell>
          <cell r="G93" t="str">
            <v>2</v>
          </cell>
          <cell r="H93" t="str">
            <v>E</v>
          </cell>
          <cell r="I93" t="str">
            <v>90</v>
          </cell>
          <cell r="J93" t="str">
            <v>19</v>
          </cell>
          <cell r="K93" t="str">
            <v/>
          </cell>
          <cell r="L93" t="str">
            <v>2000</v>
          </cell>
          <cell r="M93" t="str">
            <v/>
          </cell>
          <cell r="N93" t="str">
            <v>205,331</v>
          </cell>
          <cell r="O93" t="str">
            <v>Poste</v>
          </cell>
          <cell r="P93" t="str">
            <v>88</v>
          </cell>
        </row>
        <row r="94">
          <cell r="A94" t="str">
            <v>e7</v>
          </cell>
          <cell r="B94" t="str">
            <v>6</v>
          </cell>
          <cell r="C94" t="str">
            <v/>
          </cell>
          <cell r="D94" t="str">
            <v>200</v>
          </cell>
          <cell r="E94" t="str">
            <v/>
          </cell>
          <cell r="F94" t="str">
            <v>0</v>
          </cell>
          <cell r="G94" t="str">
            <v>2</v>
          </cell>
          <cell r="H94" t="str">
            <v>E</v>
          </cell>
          <cell r="I94" t="str">
            <v>90</v>
          </cell>
          <cell r="J94" t="str">
            <v>22</v>
          </cell>
          <cell r="K94" t="str">
            <v/>
          </cell>
          <cell r="L94" t="str">
            <v>2000</v>
          </cell>
          <cell r="M94" t="str">
            <v/>
          </cell>
          <cell r="N94" t="str">
            <v>257,171</v>
          </cell>
          <cell r="O94" t="str">
            <v/>
          </cell>
          <cell r="P94" t="str">
            <v>89</v>
          </cell>
        </row>
        <row r="95">
          <cell r="A95" t="str">
            <v>e7</v>
          </cell>
          <cell r="B95" t="str">
            <v>e8</v>
          </cell>
          <cell r="C95" t="str">
            <v/>
          </cell>
          <cell r="D95" t="str">
            <v>200</v>
          </cell>
          <cell r="E95" t="str">
            <v/>
          </cell>
          <cell r="F95" t="str">
            <v>0</v>
          </cell>
          <cell r="G95" t="str">
            <v>2</v>
          </cell>
          <cell r="H95" t="str">
            <v>E</v>
          </cell>
          <cell r="I95" t="str">
            <v>90</v>
          </cell>
          <cell r="J95" t="str">
            <v>21</v>
          </cell>
          <cell r="K95" t="str">
            <v/>
          </cell>
          <cell r="L95" t="str">
            <v>2000</v>
          </cell>
          <cell r="M95" t="str">
            <v/>
          </cell>
          <cell r="N95" t="str">
            <v>309,554</v>
          </cell>
          <cell r="O95" t="str">
            <v xml:space="preserve">poste </v>
          </cell>
          <cell r="P95" t="str">
            <v>90</v>
          </cell>
        </row>
        <row r="96">
          <cell r="A96" t="str">
            <v>e8</v>
          </cell>
          <cell r="B96" t="str">
            <v>e7</v>
          </cell>
          <cell r="C96" t="str">
            <v/>
          </cell>
          <cell r="D96" t="str">
            <v>200</v>
          </cell>
          <cell r="E96" t="str">
            <v>20</v>
          </cell>
          <cell r="F96" t="str">
            <v>180</v>
          </cell>
          <cell r="G96" t="str">
            <v>0</v>
          </cell>
          <cell r="H96" t="str">
            <v>E</v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>RÉ</v>
          </cell>
          <cell r="P96" t="str">
            <v>91</v>
          </cell>
        </row>
        <row r="97">
          <cell r="A97" t="str">
            <v>e8</v>
          </cell>
          <cell r="B97" t="str">
            <v>1</v>
          </cell>
          <cell r="C97" t="str">
            <v/>
          </cell>
          <cell r="D97" t="str">
            <v>200</v>
          </cell>
          <cell r="E97" t="str">
            <v/>
          </cell>
          <cell r="F97" t="str">
            <v>0</v>
          </cell>
          <cell r="G97" t="str">
            <v>4</v>
          </cell>
          <cell r="H97" t="str">
            <v>E</v>
          </cell>
          <cell r="I97" t="str">
            <v>89</v>
          </cell>
          <cell r="J97" t="str">
            <v>22</v>
          </cell>
          <cell r="K97" t="str">
            <v/>
          </cell>
          <cell r="L97" t="str">
            <v>2000</v>
          </cell>
          <cell r="M97" t="str">
            <v/>
          </cell>
          <cell r="N97" t="str">
            <v>40,791</v>
          </cell>
          <cell r="O97" t="str">
            <v/>
          </cell>
          <cell r="P97" t="str">
            <v>92</v>
          </cell>
        </row>
        <row r="98">
          <cell r="A98" t="str">
            <v>e8</v>
          </cell>
          <cell r="B98" t="str">
            <v>2</v>
          </cell>
          <cell r="C98" t="str">
            <v/>
          </cell>
          <cell r="D98" t="str">
            <v>200</v>
          </cell>
          <cell r="E98" t="str">
            <v/>
          </cell>
          <cell r="F98" t="str">
            <v>0</v>
          </cell>
          <cell r="G98" t="str">
            <v>4</v>
          </cell>
          <cell r="H98" t="str">
            <v>E</v>
          </cell>
          <cell r="I98" t="str">
            <v>89</v>
          </cell>
          <cell r="J98" t="str">
            <v>6</v>
          </cell>
          <cell r="K98" t="str">
            <v/>
          </cell>
          <cell r="L98" t="str">
            <v>2000</v>
          </cell>
          <cell r="M98" t="str">
            <v/>
          </cell>
          <cell r="N98" t="str">
            <v>102,576</v>
          </cell>
          <cell r="O98" t="str">
            <v>Poste</v>
          </cell>
          <cell r="P98" t="str">
            <v>93</v>
          </cell>
        </row>
        <row r="99">
          <cell r="A99" t="str">
            <v>e8</v>
          </cell>
          <cell r="B99" t="str">
            <v>3</v>
          </cell>
          <cell r="C99" t="str">
            <v/>
          </cell>
          <cell r="D99" t="str">
            <v>200</v>
          </cell>
          <cell r="E99" t="str">
            <v/>
          </cell>
          <cell r="F99" t="str">
            <v>0</v>
          </cell>
          <cell r="G99" t="str">
            <v>4</v>
          </cell>
          <cell r="H99" t="str">
            <v>E</v>
          </cell>
          <cell r="I99" t="str">
            <v>89</v>
          </cell>
          <cell r="J99" t="str">
            <v>7</v>
          </cell>
          <cell r="K99" t="str">
            <v/>
          </cell>
          <cell r="L99" t="str">
            <v>2000</v>
          </cell>
          <cell r="M99" t="str">
            <v/>
          </cell>
          <cell r="N99" t="str">
            <v>145,53</v>
          </cell>
          <cell r="O99" t="str">
            <v/>
          </cell>
          <cell r="P99" t="str">
            <v>94</v>
          </cell>
        </row>
        <row r="100">
          <cell r="A100" t="str">
            <v>e8</v>
          </cell>
          <cell r="B100" t="str">
            <v>4</v>
          </cell>
          <cell r="C100" t="str">
            <v/>
          </cell>
          <cell r="D100" t="str">
            <v>200</v>
          </cell>
          <cell r="E100" t="str">
            <v/>
          </cell>
          <cell r="F100" t="str">
            <v>0</v>
          </cell>
          <cell r="G100" t="str">
            <v>4</v>
          </cell>
          <cell r="H100" t="str">
            <v>E</v>
          </cell>
          <cell r="I100" t="str">
            <v>89</v>
          </cell>
          <cell r="J100" t="str">
            <v>9</v>
          </cell>
          <cell r="K100" t="str">
            <v/>
          </cell>
          <cell r="L100" t="str">
            <v>2000</v>
          </cell>
          <cell r="M100" t="str">
            <v/>
          </cell>
          <cell r="N100" t="str">
            <v>202,604</v>
          </cell>
          <cell r="O100" t="str">
            <v>Poste</v>
          </cell>
          <cell r="P100" t="str">
            <v>95</v>
          </cell>
        </row>
        <row r="101">
          <cell r="A101" t="str">
            <v>e8</v>
          </cell>
          <cell r="B101" t="str">
            <v>5</v>
          </cell>
          <cell r="C101" t="str">
            <v/>
          </cell>
          <cell r="D101" t="str">
            <v>200</v>
          </cell>
          <cell r="E101" t="str">
            <v/>
          </cell>
          <cell r="F101" t="str">
            <v>0</v>
          </cell>
          <cell r="G101" t="str">
            <v>4</v>
          </cell>
          <cell r="H101" t="str">
            <v>E</v>
          </cell>
          <cell r="I101" t="str">
            <v>89</v>
          </cell>
          <cell r="J101" t="str">
            <v>11</v>
          </cell>
          <cell r="K101" t="str">
            <v/>
          </cell>
          <cell r="L101" t="str">
            <v>2000</v>
          </cell>
          <cell r="M101" t="str">
            <v/>
          </cell>
          <cell r="N101" t="str">
            <v>250,158</v>
          </cell>
          <cell r="O101" t="str">
            <v/>
          </cell>
          <cell r="P101" t="str">
            <v>96</v>
          </cell>
        </row>
        <row r="102">
          <cell r="A102" t="str">
            <v>e8</v>
          </cell>
          <cell r="B102" t="str">
            <v>6</v>
          </cell>
          <cell r="C102" t="str">
            <v/>
          </cell>
          <cell r="D102" t="str">
            <v>200</v>
          </cell>
          <cell r="E102" t="str">
            <v/>
          </cell>
          <cell r="F102" t="str">
            <v>0</v>
          </cell>
          <cell r="G102" t="str">
            <v>4</v>
          </cell>
          <cell r="H102" t="str">
            <v>E</v>
          </cell>
          <cell r="I102" t="str">
            <v>89</v>
          </cell>
          <cell r="J102" t="str">
            <v>11</v>
          </cell>
          <cell r="K102" t="str">
            <v/>
          </cell>
          <cell r="L102" t="str">
            <v>2000</v>
          </cell>
          <cell r="M102" t="str">
            <v/>
          </cell>
          <cell r="N102" t="str">
            <v>303,014</v>
          </cell>
          <cell r="O102" t="str">
            <v>Poste</v>
          </cell>
          <cell r="P102" t="str">
            <v>97</v>
          </cell>
        </row>
        <row r="103">
          <cell r="A103" t="str">
            <v>e8</v>
          </cell>
          <cell r="B103" t="str">
            <v>7</v>
          </cell>
          <cell r="C103" t="str">
            <v/>
          </cell>
          <cell r="D103" t="str">
            <v>200</v>
          </cell>
          <cell r="E103" t="str">
            <v/>
          </cell>
          <cell r="F103" t="str">
            <v>0</v>
          </cell>
          <cell r="G103" t="str">
            <v>4</v>
          </cell>
          <cell r="H103" t="str">
            <v>E</v>
          </cell>
          <cell r="I103" t="str">
            <v>89</v>
          </cell>
          <cell r="J103" t="str">
            <v>15</v>
          </cell>
          <cell r="K103" t="str">
            <v/>
          </cell>
          <cell r="L103" t="str">
            <v>2000</v>
          </cell>
          <cell r="M103" t="str">
            <v/>
          </cell>
          <cell r="N103" t="str">
            <v>357,075</v>
          </cell>
          <cell r="O103" t="str">
            <v/>
          </cell>
          <cell r="P103" t="str">
            <v>98</v>
          </cell>
        </row>
        <row r="104">
          <cell r="A104" t="str">
            <v>e8</v>
          </cell>
          <cell r="B104" t="str">
            <v>e9</v>
          </cell>
          <cell r="C104" t="str">
            <v/>
          </cell>
          <cell r="D104" t="str">
            <v>200</v>
          </cell>
          <cell r="E104" t="str">
            <v/>
          </cell>
          <cell r="F104" t="str">
            <v>0</v>
          </cell>
          <cell r="G104" t="str">
            <v>4</v>
          </cell>
          <cell r="H104" t="str">
            <v>E</v>
          </cell>
          <cell r="I104" t="str">
            <v>89</v>
          </cell>
          <cell r="J104" t="str">
            <v>16</v>
          </cell>
          <cell r="K104" t="str">
            <v/>
          </cell>
          <cell r="L104" t="str">
            <v>2000</v>
          </cell>
          <cell r="M104" t="str">
            <v/>
          </cell>
          <cell r="N104" t="str">
            <v>401,48</v>
          </cell>
          <cell r="O104" t="str">
            <v xml:space="preserve">poste </v>
          </cell>
          <cell r="P104" t="str">
            <v>99</v>
          </cell>
        </row>
        <row r="105">
          <cell r="A105" t="str">
            <v>e9</v>
          </cell>
          <cell r="B105" t="str">
            <v>e8</v>
          </cell>
          <cell r="C105" t="str">
            <v/>
          </cell>
          <cell r="D105" t="str">
            <v>200</v>
          </cell>
          <cell r="E105" t="str">
            <v>20</v>
          </cell>
          <cell r="F105" t="str">
            <v>180</v>
          </cell>
          <cell r="G105" t="str">
            <v>0</v>
          </cell>
          <cell r="H105" t="str">
            <v>E</v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>RÉ</v>
          </cell>
          <cell r="P105" t="str">
            <v>100</v>
          </cell>
        </row>
        <row r="106">
          <cell r="A106" t="str">
            <v>e9</v>
          </cell>
          <cell r="B106" t="str">
            <v>1</v>
          </cell>
          <cell r="C106" t="str">
            <v/>
          </cell>
          <cell r="D106" t="str">
            <v>200</v>
          </cell>
          <cell r="E106" t="str">
            <v/>
          </cell>
          <cell r="F106" t="str">
            <v>0</v>
          </cell>
          <cell r="G106" t="str">
            <v>9</v>
          </cell>
          <cell r="H106" t="str">
            <v>E</v>
          </cell>
          <cell r="I106" t="str">
            <v>90</v>
          </cell>
          <cell r="J106" t="str">
            <v>5</v>
          </cell>
          <cell r="K106" t="str">
            <v/>
          </cell>
          <cell r="L106" t="str">
            <v>2000</v>
          </cell>
          <cell r="M106" t="str">
            <v/>
          </cell>
          <cell r="N106" t="str">
            <v>58,64</v>
          </cell>
          <cell r="O106" t="str">
            <v/>
          </cell>
          <cell r="P106" t="str">
            <v>101</v>
          </cell>
        </row>
        <row r="107">
          <cell r="A107" t="str">
            <v>e9</v>
          </cell>
          <cell r="B107" t="str">
            <v>2</v>
          </cell>
          <cell r="C107" t="str">
            <v/>
          </cell>
          <cell r="D107" t="str">
            <v>200</v>
          </cell>
          <cell r="E107" t="str">
            <v>5</v>
          </cell>
          <cell r="F107" t="str">
            <v>0</v>
          </cell>
          <cell r="G107" t="str">
            <v>9</v>
          </cell>
          <cell r="H107" t="str">
            <v>E</v>
          </cell>
          <cell r="I107" t="str">
            <v>89</v>
          </cell>
          <cell r="J107" t="str">
            <v>56</v>
          </cell>
          <cell r="K107" t="str">
            <v/>
          </cell>
          <cell r="L107" t="str">
            <v>2000</v>
          </cell>
          <cell r="M107" t="str">
            <v/>
          </cell>
          <cell r="N107" t="str">
            <v>97,545</v>
          </cell>
          <cell r="O107" t="str">
            <v>5fl</v>
          </cell>
          <cell r="P107" t="str">
            <v>102</v>
          </cell>
        </row>
        <row r="108">
          <cell r="A108" t="str">
            <v>e9</v>
          </cell>
          <cell r="B108" t="str">
            <v>3</v>
          </cell>
          <cell r="C108" t="str">
            <v/>
          </cell>
          <cell r="D108" t="str">
            <v>200</v>
          </cell>
          <cell r="E108" t="str">
            <v/>
          </cell>
          <cell r="F108" t="str">
            <v>0</v>
          </cell>
          <cell r="G108" t="str">
            <v>9</v>
          </cell>
          <cell r="H108" t="str">
            <v>E</v>
          </cell>
          <cell r="I108" t="str">
            <v>89</v>
          </cell>
          <cell r="J108" t="str">
            <v>44</v>
          </cell>
          <cell r="K108" t="str">
            <v/>
          </cell>
          <cell r="L108" t="str">
            <v>2000</v>
          </cell>
          <cell r="M108" t="str">
            <v/>
          </cell>
          <cell r="N108" t="str">
            <v>101,116</v>
          </cell>
          <cell r="O108" t="str">
            <v>Poste</v>
          </cell>
          <cell r="P108" t="str">
            <v>103</v>
          </cell>
        </row>
        <row r="109">
          <cell r="A109" t="str">
            <v>e9</v>
          </cell>
          <cell r="B109" t="str">
            <v>4</v>
          </cell>
          <cell r="C109" t="str">
            <v/>
          </cell>
          <cell r="D109" t="str">
            <v>200</v>
          </cell>
          <cell r="E109" t="str">
            <v>3</v>
          </cell>
          <cell r="F109" t="str">
            <v>0</v>
          </cell>
          <cell r="G109" t="str">
            <v>9</v>
          </cell>
          <cell r="H109" t="str">
            <v>E</v>
          </cell>
          <cell r="I109" t="str">
            <v>89</v>
          </cell>
          <cell r="J109" t="str">
            <v>54</v>
          </cell>
          <cell r="K109" t="str">
            <v/>
          </cell>
          <cell r="L109" t="str">
            <v>2000</v>
          </cell>
          <cell r="M109" t="str">
            <v/>
          </cell>
          <cell r="N109" t="str">
            <v>114,357</v>
          </cell>
          <cell r="O109" t="str">
            <v xml:space="preserve">estrada </v>
          </cell>
          <cell r="P109" t="str">
            <v>104</v>
          </cell>
        </row>
        <row r="110">
          <cell r="A110" t="str">
            <v>e9</v>
          </cell>
          <cell r="B110" t="str">
            <v>5</v>
          </cell>
          <cell r="C110" t="str">
            <v/>
          </cell>
          <cell r="D110" t="str">
            <v>200</v>
          </cell>
          <cell r="E110" t="str">
            <v>3</v>
          </cell>
          <cell r="F110" t="str">
            <v>0</v>
          </cell>
          <cell r="G110" t="str">
            <v>9</v>
          </cell>
          <cell r="H110" t="str">
            <v>E</v>
          </cell>
          <cell r="I110" t="str">
            <v>90</v>
          </cell>
          <cell r="J110" t="str">
            <v>0</v>
          </cell>
          <cell r="K110" t="str">
            <v/>
          </cell>
          <cell r="L110" t="str">
            <v>2000</v>
          </cell>
          <cell r="M110" t="str">
            <v/>
          </cell>
          <cell r="N110" t="str">
            <v>139,823</v>
          </cell>
          <cell r="O110" t="str">
            <v xml:space="preserve">estrada </v>
          </cell>
          <cell r="P110" t="str">
            <v>105</v>
          </cell>
        </row>
        <row r="111">
          <cell r="A111" t="str">
            <v>e9</v>
          </cell>
          <cell r="B111" t="str">
            <v>6</v>
          </cell>
          <cell r="C111" t="str">
            <v/>
          </cell>
          <cell r="D111" t="str">
            <v>200</v>
          </cell>
          <cell r="E111" t="str">
            <v>5</v>
          </cell>
          <cell r="F111" t="str">
            <v>0</v>
          </cell>
          <cell r="G111" t="str">
            <v>9</v>
          </cell>
          <cell r="H111" t="str">
            <v>E</v>
          </cell>
          <cell r="I111" t="str">
            <v>89</v>
          </cell>
          <cell r="J111" t="str">
            <v>54</v>
          </cell>
          <cell r="K111" t="str">
            <v/>
          </cell>
          <cell r="L111" t="str">
            <v>2000</v>
          </cell>
          <cell r="M111" t="str">
            <v/>
          </cell>
          <cell r="N111" t="str">
            <v>158,559</v>
          </cell>
          <cell r="O111" t="str">
            <v>5fl</v>
          </cell>
          <cell r="P111" t="str">
            <v>106</v>
          </cell>
        </row>
        <row r="112">
          <cell r="A112" t="str">
            <v>e9</v>
          </cell>
          <cell r="B112" t="str">
            <v>7</v>
          </cell>
          <cell r="C112" t="str">
            <v/>
          </cell>
          <cell r="D112" t="str">
            <v>200</v>
          </cell>
          <cell r="E112" t="str">
            <v/>
          </cell>
          <cell r="F112" t="str">
            <v>0</v>
          </cell>
          <cell r="G112" t="str">
            <v>9</v>
          </cell>
          <cell r="H112" t="str">
            <v>E</v>
          </cell>
          <cell r="I112" t="str">
            <v>90</v>
          </cell>
          <cell r="J112" t="str">
            <v>1</v>
          </cell>
          <cell r="K112" t="str">
            <v/>
          </cell>
          <cell r="L112" t="str">
            <v>2000</v>
          </cell>
          <cell r="M112" t="str">
            <v/>
          </cell>
          <cell r="N112" t="str">
            <v>200,432</v>
          </cell>
          <cell r="O112" t="str">
            <v>Poste</v>
          </cell>
          <cell r="P112" t="str">
            <v>107</v>
          </cell>
        </row>
        <row r="113">
          <cell r="A113" t="str">
            <v>e9</v>
          </cell>
          <cell r="B113" t="str">
            <v>8</v>
          </cell>
          <cell r="C113" t="str">
            <v/>
          </cell>
          <cell r="D113" t="str">
            <v>200</v>
          </cell>
          <cell r="E113" t="str">
            <v/>
          </cell>
          <cell r="F113" t="str">
            <v>0</v>
          </cell>
          <cell r="G113" t="str">
            <v>9</v>
          </cell>
          <cell r="H113" t="str">
            <v>E</v>
          </cell>
          <cell r="I113" t="str">
            <v>90</v>
          </cell>
          <cell r="J113" t="str">
            <v>2</v>
          </cell>
          <cell r="K113" t="str">
            <v/>
          </cell>
          <cell r="L113" t="str">
            <v>2000</v>
          </cell>
          <cell r="M113" t="str">
            <v/>
          </cell>
          <cell r="N113" t="str">
            <v>246,5</v>
          </cell>
          <cell r="O113" t="str">
            <v/>
          </cell>
          <cell r="P113" t="str">
            <v>108</v>
          </cell>
        </row>
        <row r="114">
          <cell r="A114" t="str">
            <v>e9</v>
          </cell>
          <cell r="B114" t="str">
            <v>9</v>
          </cell>
          <cell r="C114" t="str">
            <v/>
          </cell>
          <cell r="D114" t="str">
            <v>200</v>
          </cell>
          <cell r="E114" t="str">
            <v/>
          </cell>
          <cell r="F114" t="str">
            <v>0</v>
          </cell>
          <cell r="G114" t="str">
            <v>9</v>
          </cell>
          <cell r="H114" t="str">
            <v>E</v>
          </cell>
          <cell r="I114" t="str">
            <v>90</v>
          </cell>
          <cell r="J114" t="str">
            <v>7</v>
          </cell>
          <cell r="K114" t="str">
            <v/>
          </cell>
          <cell r="L114" t="str">
            <v>2000</v>
          </cell>
          <cell r="M114" t="str">
            <v/>
          </cell>
          <cell r="N114" t="str">
            <v>302,005</v>
          </cell>
          <cell r="O114" t="str">
            <v>Poste</v>
          </cell>
          <cell r="P114" t="str">
            <v>109</v>
          </cell>
        </row>
        <row r="115">
          <cell r="A115" t="str">
            <v>e9</v>
          </cell>
          <cell r="B115" t="str">
            <v>10</v>
          </cell>
          <cell r="C115" t="str">
            <v/>
          </cell>
          <cell r="D115" t="str">
            <v>200</v>
          </cell>
          <cell r="E115" t="str">
            <v/>
          </cell>
          <cell r="F115" t="str">
            <v>0</v>
          </cell>
          <cell r="G115" t="str">
            <v>9</v>
          </cell>
          <cell r="H115" t="str">
            <v>E</v>
          </cell>
          <cell r="I115" t="str">
            <v>90</v>
          </cell>
          <cell r="J115" t="str">
            <v>9</v>
          </cell>
          <cell r="K115" t="str">
            <v/>
          </cell>
          <cell r="L115" t="str">
            <v>2000</v>
          </cell>
          <cell r="M115" t="str">
            <v/>
          </cell>
          <cell r="N115" t="str">
            <v>351,23</v>
          </cell>
          <cell r="O115" t="str">
            <v/>
          </cell>
          <cell r="P115" t="str">
            <v>110</v>
          </cell>
        </row>
        <row r="116">
          <cell r="A116" t="str">
            <v>e9</v>
          </cell>
          <cell r="B116" t="str">
            <v>e10</v>
          </cell>
          <cell r="C116" t="str">
            <v/>
          </cell>
          <cell r="D116" t="str">
            <v>200</v>
          </cell>
          <cell r="E116" t="str">
            <v/>
          </cell>
          <cell r="F116" t="str">
            <v>0</v>
          </cell>
          <cell r="G116" t="str">
            <v>9</v>
          </cell>
          <cell r="H116" t="str">
            <v>E</v>
          </cell>
          <cell r="I116" t="str">
            <v>90</v>
          </cell>
          <cell r="J116" t="str">
            <v>9</v>
          </cell>
          <cell r="K116" t="str">
            <v/>
          </cell>
          <cell r="L116" t="str">
            <v>2000</v>
          </cell>
          <cell r="M116" t="str">
            <v/>
          </cell>
          <cell r="N116" t="str">
            <v>400,673</v>
          </cell>
          <cell r="O116" t="str">
            <v xml:space="preserve">poste </v>
          </cell>
          <cell r="P116" t="str">
            <v>111</v>
          </cell>
        </row>
        <row r="117">
          <cell r="A117" t="str">
            <v>e10</v>
          </cell>
          <cell r="B117" t="str">
            <v>e9</v>
          </cell>
          <cell r="C117" t="str">
            <v/>
          </cell>
          <cell r="D117" t="str">
            <v>200</v>
          </cell>
          <cell r="E117" t="str">
            <v>20</v>
          </cell>
          <cell r="F117" t="str">
            <v>180</v>
          </cell>
          <cell r="G117" t="str">
            <v>0</v>
          </cell>
          <cell r="H117" t="str">
            <v>E</v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  <cell r="O117" t="str">
            <v>RÉ</v>
          </cell>
          <cell r="P117" t="str">
            <v>112</v>
          </cell>
        </row>
        <row r="118">
          <cell r="A118" t="str">
            <v>e10</v>
          </cell>
          <cell r="B118" t="str">
            <v>1</v>
          </cell>
          <cell r="C118" t="str">
            <v/>
          </cell>
          <cell r="D118" t="str">
            <v>200</v>
          </cell>
          <cell r="E118" t="str">
            <v>5</v>
          </cell>
          <cell r="F118" t="str">
            <v>0</v>
          </cell>
          <cell r="G118" t="str">
            <v>4</v>
          </cell>
          <cell r="H118" t="str">
            <v>E</v>
          </cell>
          <cell r="I118" t="str">
            <v>90</v>
          </cell>
          <cell r="J118" t="str">
            <v>20</v>
          </cell>
          <cell r="K118" t="str">
            <v/>
          </cell>
          <cell r="L118" t="str">
            <v>2000</v>
          </cell>
          <cell r="M118" t="str">
            <v/>
          </cell>
          <cell r="N118" t="str">
            <v>38,921</v>
          </cell>
          <cell r="O118" t="str">
            <v xml:space="preserve">5fl divisa </v>
          </cell>
          <cell r="P118" t="str">
            <v>113</v>
          </cell>
        </row>
        <row r="119">
          <cell r="A119" t="str">
            <v>e10</v>
          </cell>
          <cell r="B119" t="str">
            <v>2</v>
          </cell>
          <cell r="C119" t="str">
            <v/>
          </cell>
          <cell r="D119" t="str">
            <v>200</v>
          </cell>
          <cell r="E119" t="str">
            <v>3</v>
          </cell>
          <cell r="F119" t="str">
            <v>0</v>
          </cell>
          <cell r="G119" t="str">
            <v>4</v>
          </cell>
          <cell r="H119" t="str">
            <v>E</v>
          </cell>
          <cell r="I119" t="str">
            <v>90</v>
          </cell>
          <cell r="J119" t="str">
            <v>10</v>
          </cell>
          <cell r="K119" t="str">
            <v/>
          </cell>
          <cell r="L119" t="str">
            <v>2000</v>
          </cell>
          <cell r="M119" t="str">
            <v/>
          </cell>
          <cell r="N119" t="str">
            <v>40,433</v>
          </cell>
          <cell r="O119" t="str">
            <v xml:space="preserve">estrada </v>
          </cell>
          <cell r="P119" t="str">
            <v>114</v>
          </cell>
        </row>
        <row r="120">
          <cell r="A120" t="str">
            <v>e10</v>
          </cell>
          <cell r="B120" t="str">
            <v>3</v>
          </cell>
          <cell r="C120" t="str">
            <v/>
          </cell>
          <cell r="D120" t="str">
            <v>200</v>
          </cell>
          <cell r="E120" t="str">
            <v>3</v>
          </cell>
          <cell r="F120" t="str">
            <v>0</v>
          </cell>
          <cell r="G120" t="str">
            <v>4</v>
          </cell>
          <cell r="H120" t="str">
            <v>E</v>
          </cell>
          <cell r="I120" t="str">
            <v>90</v>
          </cell>
          <cell r="J120" t="str">
            <v>36</v>
          </cell>
          <cell r="K120" t="str">
            <v/>
          </cell>
          <cell r="L120" t="str">
            <v>2000</v>
          </cell>
          <cell r="M120" t="str">
            <v/>
          </cell>
          <cell r="N120" t="str">
            <v>44,531</v>
          </cell>
          <cell r="O120" t="str">
            <v xml:space="preserve">estrada </v>
          </cell>
          <cell r="P120" t="str">
            <v>115</v>
          </cell>
        </row>
        <row r="121">
          <cell r="A121" t="str">
            <v>e10</v>
          </cell>
          <cell r="B121" t="str">
            <v>4</v>
          </cell>
          <cell r="C121" t="str">
            <v/>
          </cell>
          <cell r="D121" t="str">
            <v>200</v>
          </cell>
          <cell r="E121" t="str">
            <v>5</v>
          </cell>
          <cell r="F121" t="str">
            <v>0</v>
          </cell>
          <cell r="G121" t="str">
            <v>4</v>
          </cell>
          <cell r="H121" t="str">
            <v>E</v>
          </cell>
          <cell r="I121" t="str">
            <v>90</v>
          </cell>
          <cell r="J121" t="str">
            <v>40</v>
          </cell>
          <cell r="K121" t="str">
            <v/>
          </cell>
          <cell r="L121" t="str">
            <v>2000</v>
          </cell>
          <cell r="M121" t="str">
            <v/>
          </cell>
          <cell r="N121" t="str">
            <v>46,15</v>
          </cell>
          <cell r="O121" t="str">
            <v>7fl</v>
          </cell>
          <cell r="P121" t="str">
            <v>116</v>
          </cell>
        </row>
        <row r="122">
          <cell r="A122" t="str">
            <v>e10</v>
          </cell>
          <cell r="B122" t="str">
            <v>5</v>
          </cell>
          <cell r="C122" t="str">
            <v/>
          </cell>
          <cell r="D122" t="str">
            <v>200</v>
          </cell>
          <cell r="E122" t="str">
            <v/>
          </cell>
          <cell r="F122" t="str">
            <v>0</v>
          </cell>
          <cell r="G122" t="str">
            <v>4</v>
          </cell>
          <cell r="H122" t="str">
            <v>E</v>
          </cell>
          <cell r="I122" t="str">
            <v>90</v>
          </cell>
          <cell r="J122" t="str">
            <v>4</v>
          </cell>
          <cell r="K122" t="str">
            <v/>
          </cell>
          <cell r="L122" t="str">
            <v>2000</v>
          </cell>
          <cell r="M122" t="str">
            <v/>
          </cell>
          <cell r="N122" t="str">
            <v>77,013</v>
          </cell>
          <cell r="O122" t="str">
            <v/>
          </cell>
          <cell r="P122" t="str">
            <v>117</v>
          </cell>
        </row>
        <row r="123">
          <cell r="A123" t="str">
            <v>e10</v>
          </cell>
          <cell r="B123" t="str">
            <v>6</v>
          </cell>
          <cell r="C123" t="str">
            <v/>
          </cell>
          <cell r="D123" t="str">
            <v>200</v>
          </cell>
          <cell r="E123" t="str">
            <v/>
          </cell>
          <cell r="F123" t="str">
            <v>0</v>
          </cell>
          <cell r="G123" t="str">
            <v>4</v>
          </cell>
          <cell r="H123" t="str">
            <v>E</v>
          </cell>
          <cell r="I123" t="str">
            <v>90</v>
          </cell>
          <cell r="J123" t="str">
            <v>9</v>
          </cell>
          <cell r="K123" t="str">
            <v/>
          </cell>
          <cell r="L123" t="str">
            <v>2000</v>
          </cell>
          <cell r="M123" t="str">
            <v/>
          </cell>
          <cell r="N123" t="str">
            <v>105,651</v>
          </cell>
          <cell r="O123" t="str">
            <v>Poste</v>
          </cell>
          <cell r="P123" t="str">
            <v>118</v>
          </cell>
        </row>
        <row r="124">
          <cell r="A124" t="str">
            <v>e10</v>
          </cell>
          <cell r="B124" t="str">
            <v>7</v>
          </cell>
          <cell r="C124" t="str">
            <v/>
          </cell>
          <cell r="D124" t="str">
            <v>200</v>
          </cell>
          <cell r="E124" t="str">
            <v/>
          </cell>
          <cell r="F124" t="str">
            <v>0</v>
          </cell>
          <cell r="G124" t="str">
            <v>4</v>
          </cell>
          <cell r="H124" t="str">
            <v>E</v>
          </cell>
          <cell r="I124" t="str">
            <v>90</v>
          </cell>
          <cell r="J124" t="str">
            <v>25</v>
          </cell>
          <cell r="K124" t="str">
            <v/>
          </cell>
          <cell r="L124" t="str">
            <v>2000</v>
          </cell>
          <cell r="M124" t="str">
            <v/>
          </cell>
          <cell r="N124" t="str">
            <v>150,998</v>
          </cell>
          <cell r="O124" t="str">
            <v/>
          </cell>
          <cell r="P124" t="str">
            <v>119</v>
          </cell>
        </row>
        <row r="125">
          <cell r="A125" t="str">
            <v>e10</v>
          </cell>
          <cell r="B125" t="str">
            <v>8</v>
          </cell>
          <cell r="C125" t="str">
            <v/>
          </cell>
          <cell r="D125" t="str">
            <v>200</v>
          </cell>
          <cell r="E125" t="str">
            <v/>
          </cell>
          <cell r="F125" t="str">
            <v>0</v>
          </cell>
          <cell r="G125" t="str">
            <v>4</v>
          </cell>
          <cell r="H125" t="str">
            <v>E</v>
          </cell>
          <cell r="I125" t="str">
            <v>90</v>
          </cell>
          <cell r="J125" t="str">
            <v>34</v>
          </cell>
          <cell r="K125" t="str">
            <v/>
          </cell>
          <cell r="L125" t="str">
            <v>2000</v>
          </cell>
          <cell r="M125" t="str">
            <v/>
          </cell>
          <cell r="N125" t="str">
            <v>186,756</v>
          </cell>
          <cell r="O125" t="str">
            <v>Poste</v>
          </cell>
          <cell r="P125" t="str">
            <v>120</v>
          </cell>
        </row>
        <row r="126">
          <cell r="A126" t="str">
            <v>e10</v>
          </cell>
          <cell r="B126" t="str">
            <v>9</v>
          </cell>
          <cell r="C126" t="str">
            <v/>
          </cell>
          <cell r="D126" t="str">
            <v>200</v>
          </cell>
          <cell r="E126" t="str">
            <v/>
          </cell>
          <cell r="F126" t="str">
            <v>0</v>
          </cell>
          <cell r="G126" t="str">
            <v>4</v>
          </cell>
          <cell r="H126" t="str">
            <v>E</v>
          </cell>
          <cell r="I126" t="str">
            <v>90</v>
          </cell>
          <cell r="J126" t="str">
            <v>40</v>
          </cell>
          <cell r="K126" t="str">
            <v/>
          </cell>
          <cell r="L126" t="str">
            <v>2000</v>
          </cell>
          <cell r="M126" t="str">
            <v/>
          </cell>
          <cell r="N126" t="str">
            <v>216,465</v>
          </cell>
          <cell r="O126" t="str">
            <v/>
          </cell>
          <cell r="P126" t="str">
            <v>121</v>
          </cell>
        </row>
        <row r="127">
          <cell r="A127" t="str">
            <v>e10</v>
          </cell>
          <cell r="B127" t="str">
            <v>10</v>
          </cell>
          <cell r="C127" t="str">
            <v/>
          </cell>
          <cell r="D127" t="str">
            <v>200</v>
          </cell>
          <cell r="E127" t="str">
            <v/>
          </cell>
          <cell r="F127" t="str">
            <v>0</v>
          </cell>
          <cell r="G127" t="str">
            <v>4</v>
          </cell>
          <cell r="H127" t="str">
            <v>E</v>
          </cell>
          <cell r="I127" t="str">
            <v>90</v>
          </cell>
          <cell r="J127" t="str">
            <v>36</v>
          </cell>
          <cell r="K127" t="str">
            <v/>
          </cell>
          <cell r="L127" t="str">
            <v>2000</v>
          </cell>
          <cell r="M127" t="str">
            <v/>
          </cell>
          <cell r="N127" t="str">
            <v>252,743</v>
          </cell>
          <cell r="O127" t="str">
            <v/>
          </cell>
          <cell r="P127" t="str">
            <v>122</v>
          </cell>
        </row>
        <row r="128">
          <cell r="A128" t="str">
            <v>e10</v>
          </cell>
          <cell r="B128" t="str">
            <v>11</v>
          </cell>
          <cell r="C128" t="str">
            <v/>
          </cell>
          <cell r="D128" t="str">
            <v>200</v>
          </cell>
          <cell r="E128" t="str">
            <v/>
          </cell>
          <cell r="F128" t="str">
            <v>0</v>
          </cell>
          <cell r="G128" t="str">
            <v>4</v>
          </cell>
          <cell r="H128" t="str">
            <v>E</v>
          </cell>
          <cell r="I128" t="str">
            <v>90</v>
          </cell>
          <cell r="J128" t="str">
            <v>20</v>
          </cell>
          <cell r="K128" t="str">
            <v/>
          </cell>
          <cell r="L128" t="str">
            <v>2000</v>
          </cell>
          <cell r="M128" t="str">
            <v/>
          </cell>
          <cell r="N128" t="str">
            <v>283,337</v>
          </cell>
          <cell r="O128" t="str">
            <v>Poste</v>
          </cell>
          <cell r="P128" t="str">
            <v>123</v>
          </cell>
        </row>
        <row r="129">
          <cell r="A129" t="str">
            <v>e10</v>
          </cell>
          <cell r="B129" t="str">
            <v>12</v>
          </cell>
          <cell r="C129" t="str">
            <v/>
          </cell>
          <cell r="D129" t="str">
            <v>200</v>
          </cell>
          <cell r="E129" t="str">
            <v>5</v>
          </cell>
          <cell r="F129" t="str">
            <v>0</v>
          </cell>
          <cell r="G129" t="str">
            <v>4</v>
          </cell>
          <cell r="H129" t="str">
            <v>E</v>
          </cell>
          <cell r="I129" t="str">
            <v>90</v>
          </cell>
          <cell r="J129" t="str">
            <v>24</v>
          </cell>
          <cell r="K129" t="str">
            <v/>
          </cell>
          <cell r="L129" t="str">
            <v>2000</v>
          </cell>
          <cell r="M129" t="str">
            <v/>
          </cell>
          <cell r="N129" t="str">
            <v>288,127</v>
          </cell>
          <cell r="O129" t="str">
            <v>6fl</v>
          </cell>
          <cell r="P129" t="str">
            <v>124</v>
          </cell>
        </row>
        <row r="130">
          <cell r="A130" t="str">
            <v>e10</v>
          </cell>
          <cell r="B130" t="str">
            <v>13</v>
          </cell>
          <cell r="C130" t="str">
            <v/>
          </cell>
          <cell r="D130" t="str">
            <v>200</v>
          </cell>
          <cell r="E130" t="str">
            <v>25</v>
          </cell>
          <cell r="F130" t="str">
            <v>0</v>
          </cell>
          <cell r="G130" t="str">
            <v>4</v>
          </cell>
          <cell r="H130" t="str">
            <v>E</v>
          </cell>
          <cell r="I130" t="str">
            <v>90</v>
          </cell>
          <cell r="J130" t="str">
            <v>25</v>
          </cell>
          <cell r="K130" t="str">
            <v/>
          </cell>
          <cell r="L130" t="str">
            <v>2000</v>
          </cell>
          <cell r="M130" t="str">
            <v/>
          </cell>
          <cell r="N130" t="str">
            <v>288,796</v>
          </cell>
          <cell r="O130" t="str">
            <v xml:space="preserve">grota </v>
          </cell>
          <cell r="P130" t="str">
            <v>125</v>
          </cell>
        </row>
        <row r="131">
          <cell r="A131" t="str">
            <v>e10</v>
          </cell>
          <cell r="B131" t="str">
            <v>14</v>
          </cell>
          <cell r="C131" t="str">
            <v/>
          </cell>
          <cell r="D131" t="str">
            <v>200</v>
          </cell>
          <cell r="E131" t="str">
            <v>25</v>
          </cell>
          <cell r="F131" t="str">
            <v>0</v>
          </cell>
          <cell r="G131" t="str">
            <v>4</v>
          </cell>
          <cell r="H131" t="str">
            <v>E</v>
          </cell>
          <cell r="I131" t="str">
            <v>90</v>
          </cell>
          <cell r="J131" t="str">
            <v>18</v>
          </cell>
          <cell r="K131" t="str">
            <v/>
          </cell>
          <cell r="L131" t="str">
            <v>2000</v>
          </cell>
          <cell r="M131" t="str">
            <v/>
          </cell>
          <cell r="N131" t="str">
            <v>312,602</v>
          </cell>
          <cell r="O131" t="str">
            <v xml:space="preserve">grota </v>
          </cell>
          <cell r="P131" t="str">
            <v>126</v>
          </cell>
        </row>
        <row r="132">
          <cell r="A132" t="str">
            <v>e10</v>
          </cell>
          <cell r="B132" t="str">
            <v>15</v>
          </cell>
          <cell r="C132" t="str">
            <v/>
          </cell>
          <cell r="D132" t="str">
            <v>200</v>
          </cell>
          <cell r="E132" t="str">
            <v>5</v>
          </cell>
          <cell r="F132" t="str">
            <v>0</v>
          </cell>
          <cell r="G132" t="str">
            <v>4</v>
          </cell>
          <cell r="H132" t="str">
            <v>E</v>
          </cell>
          <cell r="I132" t="str">
            <v>90</v>
          </cell>
          <cell r="J132" t="str">
            <v>17</v>
          </cell>
          <cell r="K132" t="str">
            <v/>
          </cell>
          <cell r="L132" t="str">
            <v>2000</v>
          </cell>
          <cell r="M132" t="str">
            <v/>
          </cell>
          <cell r="N132" t="str">
            <v>315,531</v>
          </cell>
          <cell r="O132" t="str">
            <v>3fl</v>
          </cell>
          <cell r="P132" t="str">
            <v>127</v>
          </cell>
        </row>
        <row r="133">
          <cell r="A133" t="str">
            <v>e10</v>
          </cell>
          <cell r="B133" t="str">
            <v>16</v>
          </cell>
          <cell r="C133" t="str">
            <v/>
          </cell>
          <cell r="D133" t="str">
            <v>200</v>
          </cell>
          <cell r="E133" t="str">
            <v/>
          </cell>
          <cell r="F133" t="str">
            <v>0</v>
          </cell>
          <cell r="G133" t="str">
            <v>4</v>
          </cell>
          <cell r="H133" t="str">
            <v>E</v>
          </cell>
          <cell r="I133" t="str">
            <v>90</v>
          </cell>
          <cell r="J133" t="str">
            <v>8</v>
          </cell>
          <cell r="K133" t="str">
            <v/>
          </cell>
          <cell r="L133" t="str">
            <v>2000</v>
          </cell>
          <cell r="M133" t="str">
            <v/>
          </cell>
          <cell r="N133" t="str">
            <v>352,219</v>
          </cell>
          <cell r="O133" t="str">
            <v/>
          </cell>
          <cell r="P133" t="str">
            <v>128</v>
          </cell>
        </row>
        <row r="134">
          <cell r="A134" t="str">
            <v>e10</v>
          </cell>
          <cell r="B134" t="str">
            <v>17</v>
          </cell>
          <cell r="C134" t="str">
            <v/>
          </cell>
          <cell r="D134" t="str">
            <v>200</v>
          </cell>
          <cell r="E134" t="str">
            <v/>
          </cell>
          <cell r="F134" t="str">
            <v>0</v>
          </cell>
          <cell r="G134" t="str">
            <v>4</v>
          </cell>
          <cell r="H134" t="str">
            <v>E</v>
          </cell>
          <cell r="I134" t="str">
            <v>90</v>
          </cell>
          <cell r="J134" t="str">
            <v>3</v>
          </cell>
          <cell r="K134" t="str">
            <v/>
          </cell>
          <cell r="L134" t="str">
            <v>2000</v>
          </cell>
          <cell r="M134" t="str">
            <v/>
          </cell>
          <cell r="N134" t="str">
            <v>389,036</v>
          </cell>
          <cell r="O134" t="str">
            <v>Poste</v>
          </cell>
          <cell r="P134" t="str">
            <v>129</v>
          </cell>
        </row>
        <row r="135">
          <cell r="A135" t="str">
            <v>e10</v>
          </cell>
          <cell r="B135" t="str">
            <v>18</v>
          </cell>
          <cell r="C135" t="str">
            <v/>
          </cell>
          <cell r="D135" t="str">
            <v>200</v>
          </cell>
          <cell r="E135" t="str">
            <v/>
          </cell>
          <cell r="F135" t="str">
            <v>0</v>
          </cell>
          <cell r="G135" t="str">
            <v>4</v>
          </cell>
          <cell r="H135" t="str">
            <v>E</v>
          </cell>
          <cell r="I135" t="str">
            <v>89</v>
          </cell>
          <cell r="J135" t="str">
            <v>58</v>
          </cell>
          <cell r="K135" t="str">
            <v/>
          </cell>
          <cell r="L135" t="str">
            <v>2000</v>
          </cell>
          <cell r="M135" t="str">
            <v/>
          </cell>
          <cell r="N135" t="str">
            <v>426,38</v>
          </cell>
          <cell r="O135" t="str">
            <v/>
          </cell>
          <cell r="P135" t="str">
            <v>130</v>
          </cell>
        </row>
        <row r="136">
          <cell r="A136" t="str">
            <v>e10</v>
          </cell>
          <cell r="B136" t="str">
            <v>19</v>
          </cell>
          <cell r="C136" t="str">
            <v/>
          </cell>
          <cell r="D136" t="str">
            <v>200</v>
          </cell>
          <cell r="E136" t="str">
            <v/>
          </cell>
          <cell r="F136" t="str">
            <v>0</v>
          </cell>
          <cell r="G136" t="str">
            <v>4</v>
          </cell>
          <cell r="H136" t="str">
            <v>E</v>
          </cell>
          <cell r="I136" t="str">
            <v>89</v>
          </cell>
          <cell r="J136" t="str">
            <v>54</v>
          </cell>
          <cell r="K136" t="str">
            <v/>
          </cell>
          <cell r="L136" t="str">
            <v>2000</v>
          </cell>
          <cell r="M136" t="str">
            <v/>
          </cell>
          <cell r="N136" t="str">
            <v>451,018</v>
          </cell>
          <cell r="O136" t="str">
            <v/>
          </cell>
          <cell r="P136" t="str">
            <v>131</v>
          </cell>
        </row>
        <row r="137">
          <cell r="A137" t="str">
            <v>e10</v>
          </cell>
          <cell r="B137" t="str">
            <v>e11</v>
          </cell>
          <cell r="C137" t="str">
            <v/>
          </cell>
          <cell r="D137" t="str">
            <v>200</v>
          </cell>
          <cell r="E137" t="str">
            <v/>
          </cell>
          <cell r="F137" t="str">
            <v>0</v>
          </cell>
          <cell r="G137" t="str">
            <v>4</v>
          </cell>
          <cell r="H137" t="str">
            <v>E</v>
          </cell>
          <cell r="I137" t="str">
            <v>89</v>
          </cell>
          <cell r="J137" t="str">
            <v>53</v>
          </cell>
          <cell r="K137" t="str">
            <v/>
          </cell>
          <cell r="L137" t="str">
            <v>2000</v>
          </cell>
          <cell r="M137" t="str">
            <v/>
          </cell>
          <cell r="N137" t="str">
            <v>492,092</v>
          </cell>
          <cell r="O137" t="str">
            <v>Poste</v>
          </cell>
          <cell r="P137" t="str">
            <v>132</v>
          </cell>
        </row>
        <row r="138">
          <cell r="A138" t="str">
            <v>e11</v>
          </cell>
          <cell r="B138" t="str">
            <v>e10</v>
          </cell>
          <cell r="C138" t="str">
            <v/>
          </cell>
          <cell r="D138" t="str">
            <v>200</v>
          </cell>
          <cell r="E138" t="str">
            <v>20</v>
          </cell>
          <cell r="F138" t="str">
            <v>180</v>
          </cell>
          <cell r="G138" t="str">
            <v>0</v>
          </cell>
          <cell r="H138" t="str">
            <v>E</v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  <cell r="O138" t="str">
            <v>RÉ</v>
          </cell>
          <cell r="P138" t="str">
            <v>133</v>
          </cell>
        </row>
        <row r="139">
          <cell r="A139" t="str">
            <v>e11</v>
          </cell>
          <cell r="B139" t="str">
            <v>1</v>
          </cell>
          <cell r="C139" t="str">
            <v/>
          </cell>
          <cell r="D139" t="str">
            <v>200</v>
          </cell>
          <cell r="E139" t="str">
            <v>5</v>
          </cell>
          <cell r="F139" t="str">
            <v>0</v>
          </cell>
          <cell r="G139" t="str">
            <v>9</v>
          </cell>
          <cell r="H139" t="str">
            <v>E</v>
          </cell>
          <cell r="I139" t="str">
            <v>85</v>
          </cell>
          <cell r="J139" t="str">
            <v>9</v>
          </cell>
          <cell r="K139" t="str">
            <v/>
          </cell>
          <cell r="L139" t="str">
            <v>2000</v>
          </cell>
          <cell r="M139" t="str">
            <v/>
          </cell>
          <cell r="N139" t="str">
            <v>6,404</v>
          </cell>
          <cell r="O139" t="str">
            <v>7fl</v>
          </cell>
          <cell r="P139" t="str">
            <v>134</v>
          </cell>
        </row>
        <row r="140">
          <cell r="A140" t="str">
            <v>e11</v>
          </cell>
          <cell r="B140" t="str">
            <v>2</v>
          </cell>
          <cell r="C140" t="str">
            <v/>
          </cell>
          <cell r="D140" t="str">
            <v>200</v>
          </cell>
          <cell r="E140" t="str">
            <v>3</v>
          </cell>
          <cell r="F140" t="str">
            <v>0</v>
          </cell>
          <cell r="G140" t="str">
            <v>9</v>
          </cell>
          <cell r="H140" t="str">
            <v>E</v>
          </cell>
          <cell r="I140" t="str">
            <v>86</v>
          </cell>
          <cell r="J140" t="str">
            <v>59</v>
          </cell>
          <cell r="K140" t="str">
            <v/>
          </cell>
          <cell r="L140" t="str">
            <v>2000</v>
          </cell>
          <cell r="M140" t="str">
            <v/>
          </cell>
          <cell r="N140" t="str">
            <v>11,401</v>
          </cell>
          <cell r="O140" t="str">
            <v xml:space="preserve">estrada </v>
          </cell>
          <cell r="P140" t="str">
            <v>135</v>
          </cell>
        </row>
        <row r="141">
          <cell r="A141" t="str">
            <v>e11</v>
          </cell>
          <cell r="B141" t="str">
            <v>3</v>
          </cell>
          <cell r="C141" t="str">
            <v/>
          </cell>
          <cell r="D141" t="str">
            <v>200</v>
          </cell>
          <cell r="E141" t="str">
            <v>3</v>
          </cell>
          <cell r="F141" t="str">
            <v>0</v>
          </cell>
          <cell r="G141" t="str">
            <v>9</v>
          </cell>
          <cell r="H141" t="str">
            <v>E</v>
          </cell>
          <cell r="I141" t="str">
            <v>88</v>
          </cell>
          <cell r="J141" t="str">
            <v>55</v>
          </cell>
          <cell r="K141" t="str">
            <v/>
          </cell>
          <cell r="L141" t="str">
            <v>2000</v>
          </cell>
          <cell r="M141" t="str">
            <v/>
          </cell>
          <cell r="N141" t="str">
            <v>19,749</v>
          </cell>
          <cell r="O141" t="str">
            <v xml:space="preserve">estrada </v>
          </cell>
          <cell r="P141" t="str">
            <v>136</v>
          </cell>
        </row>
        <row r="142">
          <cell r="A142" t="str">
            <v>e11</v>
          </cell>
          <cell r="B142" t="str">
            <v>4</v>
          </cell>
          <cell r="C142" t="str">
            <v/>
          </cell>
          <cell r="D142" t="str">
            <v>200</v>
          </cell>
          <cell r="E142" t="str">
            <v>5</v>
          </cell>
          <cell r="F142" t="str">
            <v>0</v>
          </cell>
          <cell r="G142" t="str">
            <v>9</v>
          </cell>
          <cell r="H142" t="str">
            <v>E</v>
          </cell>
          <cell r="I142" t="str">
            <v>87</v>
          </cell>
          <cell r="J142" t="str">
            <v>27</v>
          </cell>
          <cell r="K142" t="str">
            <v/>
          </cell>
          <cell r="L142" t="str">
            <v>2000</v>
          </cell>
          <cell r="M142" t="str">
            <v/>
          </cell>
          <cell r="N142" t="str">
            <v>25,278</v>
          </cell>
          <cell r="O142" t="str">
            <v>8fl</v>
          </cell>
          <cell r="P142" t="str">
            <v>137</v>
          </cell>
        </row>
        <row r="143">
          <cell r="A143" t="str">
            <v>e11</v>
          </cell>
          <cell r="B143" t="str">
            <v>5</v>
          </cell>
          <cell r="C143" t="str">
            <v/>
          </cell>
          <cell r="D143" t="str">
            <v>200</v>
          </cell>
          <cell r="E143" t="str">
            <v/>
          </cell>
          <cell r="F143" t="str">
            <v>0</v>
          </cell>
          <cell r="G143" t="str">
            <v>9</v>
          </cell>
          <cell r="H143" t="str">
            <v>E</v>
          </cell>
          <cell r="I143" t="str">
            <v>88</v>
          </cell>
          <cell r="J143" t="str">
            <v>25</v>
          </cell>
          <cell r="K143" t="str">
            <v/>
          </cell>
          <cell r="L143" t="str">
            <v>2000</v>
          </cell>
          <cell r="M143" t="str">
            <v/>
          </cell>
          <cell r="N143" t="str">
            <v>63,471</v>
          </cell>
          <cell r="O143" t="str">
            <v/>
          </cell>
          <cell r="P143" t="str">
            <v>138</v>
          </cell>
        </row>
        <row r="144">
          <cell r="A144" t="str">
            <v>e11</v>
          </cell>
          <cell r="B144" t="str">
            <v>6</v>
          </cell>
          <cell r="C144" t="str">
            <v/>
          </cell>
          <cell r="D144" t="str">
            <v>200</v>
          </cell>
          <cell r="E144" t="str">
            <v/>
          </cell>
          <cell r="F144" t="str">
            <v>0</v>
          </cell>
          <cell r="G144" t="str">
            <v>9</v>
          </cell>
          <cell r="H144" t="str">
            <v>E</v>
          </cell>
          <cell r="I144" t="str">
            <v>88</v>
          </cell>
          <cell r="J144" t="str">
            <v>32</v>
          </cell>
          <cell r="K144" t="str">
            <v/>
          </cell>
          <cell r="L144" t="str">
            <v>2000</v>
          </cell>
          <cell r="M144" t="str">
            <v/>
          </cell>
          <cell r="N144" t="str">
            <v>104,055</v>
          </cell>
          <cell r="O144" t="str">
            <v>Poste</v>
          </cell>
          <cell r="P144" t="str">
            <v>139</v>
          </cell>
        </row>
        <row r="145">
          <cell r="A145" t="str">
            <v>e11</v>
          </cell>
          <cell r="B145" t="str">
            <v>7</v>
          </cell>
          <cell r="C145" t="str">
            <v/>
          </cell>
          <cell r="D145" t="str">
            <v>200</v>
          </cell>
          <cell r="E145" t="str">
            <v/>
          </cell>
          <cell r="F145" t="str">
            <v>0</v>
          </cell>
          <cell r="G145" t="str">
            <v>9</v>
          </cell>
          <cell r="H145" t="str">
            <v>E</v>
          </cell>
          <cell r="I145" t="str">
            <v>88</v>
          </cell>
          <cell r="J145" t="str">
            <v>43</v>
          </cell>
          <cell r="K145" t="str">
            <v/>
          </cell>
          <cell r="L145" t="str">
            <v>2000</v>
          </cell>
          <cell r="M145" t="str">
            <v/>
          </cell>
          <cell r="N145" t="str">
            <v>151,717</v>
          </cell>
          <cell r="O145" t="str">
            <v/>
          </cell>
          <cell r="P145" t="str">
            <v>140</v>
          </cell>
        </row>
        <row r="146">
          <cell r="A146" t="str">
            <v>e11</v>
          </cell>
          <cell r="B146" t="str">
            <v>e12</v>
          </cell>
          <cell r="C146" t="str">
            <v/>
          </cell>
          <cell r="D146" t="str">
            <v>200</v>
          </cell>
          <cell r="E146" t="str">
            <v/>
          </cell>
          <cell r="F146" t="str">
            <v>0</v>
          </cell>
          <cell r="G146" t="str">
            <v>9</v>
          </cell>
          <cell r="H146" t="str">
            <v>E</v>
          </cell>
          <cell r="I146" t="str">
            <v>88</v>
          </cell>
          <cell r="J146" t="str">
            <v>59</v>
          </cell>
          <cell r="K146" t="str">
            <v/>
          </cell>
          <cell r="L146" t="str">
            <v>2000</v>
          </cell>
          <cell r="M146" t="str">
            <v/>
          </cell>
          <cell r="N146" t="str">
            <v>201,493</v>
          </cell>
          <cell r="O146" t="str">
            <v xml:space="preserve">POSTE </v>
          </cell>
          <cell r="P146" t="str">
            <v>141</v>
          </cell>
        </row>
        <row r="147">
          <cell r="A147" t="str">
            <v>e12</v>
          </cell>
          <cell r="B147" t="str">
            <v>e11</v>
          </cell>
          <cell r="C147" t="str">
            <v/>
          </cell>
          <cell r="D147" t="str">
            <v>200</v>
          </cell>
          <cell r="E147" t="str">
            <v>20</v>
          </cell>
          <cell r="F147" t="str">
            <v>180</v>
          </cell>
          <cell r="G147" t="str">
            <v>0</v>
          </cell>
          <cell r="H147" t="str">
            <v>E</v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>RÉ</v>
          </cell>
          <cell r="P147" t="str">
            <v>142</v>
          </cell>
        </row>
        <row r="148">
          <cell r="A148" t="str">
            <v>e12</v>
          </cell>
          <cell r="B148" t="str">
            <v>1</v>
          </cell>
          <cell r="C148" t="str">
            <v/>
          </cell>
          <cell r="D148" t="str">
            <v>200</v>
          </cell>
          <cell r="E148" t="str">
            <v/>
          </cell>
          <cell r="F148" t="str">
            <v>0</v>
          </cell>
          <cell r="G148" t="str">
            <v>20</v>
          </cell>
          <cell r="H148" t="str">
            <v>E</v>
          </cell>
          <cell r="I148" t="str">
            <v>90</v>
          </cell>
          <cell r="J148" t="str">
            <v>20</v>
          </cell>
          <cell r="K148" t="str">
            <v/>
          </cell>
          <cell r="L148" t="str">
            <v>2000</v>
          </cell>
          <cell r="M148" t="str">
            <v/>
          </cell>
          <cell r="N148" t="str">
            <v>37,51</v>
          </cell>
          <cell r="O148" t="str">
            <v/>
          </cell>
          <cell r="P148" t="str">
            <v>143</v>
          </cell>
        </row>
        <row r="149">
          <cell r="A149" t="str">
            <v>e12</v>
          </cell>
          <cell r="B149" t="str">
            <v>2</v>
          </cell>
          <cell r="C149" t="str">
            <v/>
          </cell>
          <cell r="D149" t="str">
            <v>200</v>
          </cell>
          <cell r="E149" t="str">
            <v>5</v>
          </cell>
          <cell r="F149" t="str">
            <v>0</v>
          </cell>
          <cell r="G149" t="str">
            <v>20</v>
          </cell>
          <cell r="H149" t="str">
            <v>E</v>
          </cell>
          <cell r="I149" t="str">
            <v>89</v>
          </cell>
          <cell r="J149" t="str">
            <v>45</v>
          </cell>
          <cell r="K149" t="str">
            <v/>
          </cell>
          <cell r="L149" t="str">
            <v>2000</v>
          </cell>
          <cell r="M149" t="str">
            <v/>
          </cell>
          <cell r="N149" t="str">
            <v>62,456</v>
          </cell>
          <cell r="O149" t="str">
            <v xml:space="preserve">08 fio liso divisa </v>
          </cell>
          <cell r="P149" t="str">
            <v>144</v>
          </cell>
        </row>
        <row r="150">
          <cell r="A150" t="str">
            <v>e12</v>
          </cell>
          <cell r="B150" t="str">
            <v>3</v>
          </cell>
          <cell r="C150" t="str">
            <v/>
          </cell>
          <cell r="D150" t="str">
            <v>200</v>
          </cell>
          <cell r="E150" t="str">
            <v/>
          </cell>
          <cell r="F150" t="str">
            <v>0</v>
          </cell>
          <cell r="G150" t="str">
            <v>20</v>
          </cell>
          <cell r="H150" t="str">
            <v>E</v>
          </cell>
          <cell r="I150" t="str">
            <v>89</v>
          </cell>
          <cell r="J150" t="str">
            <v>48</v>
          </cell>
          <cell r="K150" t="str">
            <v/>
          </cell>
          <cell r="L150" t="str">
            <v>2000</v>
          </cell>
          <cell r="M150" t="str">
            <v/>
          </cell>
          <cell r="N150" t="str">
            <v>106,52</v>
          </cell>
          <cell r="O150" t="str">
            <v>Poste</v>
          </cell>
          <cell r="P150" t="str">
            <v>145</v>
          </cell>
        </row>
        <row r="151">
          <cell r="A151" t="str">
            <v>e12</v>
          </cell>
          <cell r="B151" t="str">
            <v>4</v>
          </cell>
          <cell r="C151" t="str">
            <v/>
          </cell>
          <cell r="D151" t="str">
            <v>200</v>
          </cell>
          <cell r="E151" t="str">
            <v/>
          </cell>
          <cell r="F151" t="str">
            <v>0</v>
          </cell>
          <cell r="G151" t="str">
            <v>20</v>
          </cell>
          <cell r="H151" t="str">
            <v>E</v>
          </cell>
          <cell r="I151" t="str">
            <v>89</v>
          </cell>
          <cell r="J151" t="str">
            <v>55</v>
          </cell>
          <cell r="K151" t="str">
            <v/>
          </cell>
          <cell r="L151" t="str">
            <v>2000</v>
          </cell>
          <cell r="M151" t="str">
            <v/>
          </cell>
          <cell r="N151" t="str">
            <v>160,897</v>
          </cell>
          <cell r="O151" t="str">
            <v/>
          </cell>
          <cell r="P151" t="str">
            <v>146</v>
          </cell>
        </row>
        <row r="152">
          <cell r="A152" t="str">
            <v>e12</v>
          </cell>
          <cell r="B152" t="str">
            <v>v2</v>
          </cell>
          <cell r="C152" t="str">
            <v/>
          </cell>
          <cell r="D152" t="str">
            <v>200</v>
          </cell>
          <cell r="E152" t="str">
            <v/>
          </cell>
          <cell r="F152" t="str">
            <v>0</v>
          </cell>
          <cell r="G152" t="str">
            <v>20</v>
          </cell>
          <cell r="H152" t="str">
            <v>E</v>
          </cell>
          <cell r="I152" t="str">
            <v>90</v>
          </cell>
          <cell r="J152" t="str">
            <v>6</v>
          </cell>
          <cell r="K152" t="str">
            <v/>
          </cell>
          <cell r="L152" t="str">
            <v>2000</v>
          </cell>
          <cell r="M152" t="str">
            <v/>
          </cell>
          <cell r="N152" t="str">
            <v>206,807</v>
          </cell>
          <cell r="O152" t="str">
            <v>Poste</v>
          </cell>
          <cell r="P152" t="str">
            <v>147</v>
          </cell>
        </row>
        <row r="153">
          <cell r="A153" t="str">
            <v>v2</v>
          </cell>
          <cell r="B153" t="str">
            <v>e12</v>
          </cell>
          <cell r="C153" t="str">
            <v/>
          </cell>
          <cell r="D153" t="str">
            <v>200</v>
          </cell>
          <cell r="E153" t="str">
            <v>20</v>
          </cell>
          <cell r="F153" t="str">
            <v>180</v>
          </cell>
          <cell r="G153" t="str">
            <v>0</v>
          </cell>
          <cell r="H153" t="str">
            <v>E</v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  <cell r="O153" t="str">
            <v>RÉ</v>
          </cell>
          <cell r="P153" t="str">
            <v>148</v>
          </cell>
        </row>
        <row r="154">
          <cell r="A154" t="str">
            <v>v2</v>
          </cell>
          <cell r="B154" t="str">
            <v>1</v>
          </cell>
          <cell r="C154" t="str">
            <v/>
          </cell>
          <cell r="D154" t="str">
            <v>200</v>
          </cell>
          <cell r="E154" t="str">
            <v>35</v>
          </cell>
          <cell r="F154" t="str">
            <v>60</v>
          </cell>
          <cell r="G154" t="str">
            <v>32</v>
          </cell>
          <cell r="H154" t="str">
            <v>E</v>
          </cell>
          <cell r="I154" t="str">
            <v>91</v>
          </cell>
          <cell r="J154" t="str">
            <v>22</v>
          </cell>
          <cell r="K154" t="str">
            <v/>
          </cell>
          <cell r="L154" t="str">
            <v>2000</v>
          </cell>
          <cell r="M154" t="str">
            <v/>
          </cell>
          <cell r="N154" t="str">
            <v>21,663</v>
          </cell>
          <cell r="O154" t="str">
            <v>13,5 m</v>
          </cell>
          <cell r="P154" t="str">
            <v>149</v>
          </cell>
        </row>
        <row r="155">
          <cell r="A155" t="str">
            <v>v2</v>
          </cell>
          <cell r="B155" t="str">
            <v>2</v>
          </cell>
          <cell r="C155" t="str">
            <v/>
          </cell>
          <cell r="D155" t="str">
            <v>200</v>
          </cell>
          <cell r="E155" t="str">
            <v>35</v>
          </cell>
          <cell r="F155" t="str">
            <v>60</v>
          </cell>
          <cell r="G155" t="str">
            <v>32</v>
          </cell>
          <cell r="H155" t="str">
            <v>E</v>
          </cell>
          <cell r="I155" t="str">
            <v>91</v>
          </cell>
          <cell r="J155" t="str">
            <v>11</v>
          </cell>
          <cell r="K155" t="str">
            <v/>
          </cell>
          <cell r="L155" t="str">
            <v>2000</v>
          </cell>
          <cell r="M155" t="str">
            <v/>
          </cell>
          <cell r="N155" t="str">
            <v>25,594</v>
          </cell>
          <cell r="O155" t="str">
            <v>14,5 m</v>
          </cell>
          <cell r="P155" t="str">
            <v>150</v>
          </cell>
        </row>
        <row r="156">
          <cell r="A156" t="str">
            <v>v2</v>
          </cell>
          <cell r="B156" t="str">
            <v>3</v>
          </cell>
          <cell r="C156" t="str">
            <v/>
          </cell>
          <cell r="D156" t="str">
            <v>200</v>
          </cell>
          <cell r="E156" t="str">
            <v/>
          </cell>
          <cell r="F156" t="str">
            <v>60</v>
          </cell>
          <cell r="G156" t="str">
            <v>32</v>
          </cell>
          <cell r="H156" t="str">
            <v>E</v>
          </cell>
          <cell r="I156" t="str">
            <v>90</v>
          </cell>
          <cell r="J156" t="str">
            <v>37</v>
          </cell>
          <cell r="K156" t="str">
            <v/>
          </cell>
          <cell r="L156" t="str">
            <v>2000</v>
          </cell>
          <cell r="M156" t="str">
            <v/>
          </cell>
          <cell r="N156" t="str">
            <v>39,658</v>
          </cell>
          <cell r="O156" t="str">
            <v/>
          </cell>
          <cell r="P156" t="str">
            <v>151</v>
          </cell>
        </row>
        <row r="157">
          <cell r="A157" t="str">
            <v>v2</v>
          </cell>
          <cell r="B157" t="str">
            <v>v1</v>
          </cell>
          <cell r="C157" t="str">
            <v/>
          </cell>
          <cell r="D157" t="str">
            <v>200</v>
          </cell>
          <cell r="E157" t="str">
            <v/>
          </cell>
          <cell r="F157" t="str">
            <v>60</v>
          </cell>
          <cell r="G157" t="str">
            <v>32</v>
          </cell>
          <cell r="H157" t="str">
            <v>E</v>
          </cell>
          <cell r="I157" t="str">
            <v>91</v>
          </cell>
          <cell r="J157" t="str">
            <v>23</v>
          </cell>
          <cell r="K157" t="str">
            <v/>
          </cell>
          <cell r="L157" t="str">
            <v>2000</v>
          </cell>
          <cell r="M157" t="str">
            <v/>
          </cell>
          <cell r="N157" t="str">
            <v>67,134</v>
          </cell>
          <cell r="O157" t="str">
            <v/>
          </cell>
          <cell r="P157" t="str">
            <v>152</v>
          </cell>
        </row>
        <row r="158">
          <cell r="A158" t="str">
            <v>v1</v>
          </cell>
          <cell r="B158" t="str">
            <v>v2</v>
          </cell>
          <cell r="C158" t="str">
            <v/>
          </cell>
          <cell r="D158" t="str">
            <v>200</v>
          </cell>
          <cell r="E158" t="str">
            <v>20</v>
          </cell>
          <cell r="F158" t="str">
            <v>180</v>
          </cell>
          <cell r="G158" t="str">
            <v>0</v>
          </cell>
          <cell r="H158" t="str">
            <v>D</v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>RÉ</v>
          </cell>
          <cell r="P158" t="str">
            <v>153</v>
          </cell>
        </row>
        <row r="159">
          <cell r="A159" t="str">
            <v>v1</v>
          </cell>
          <cell r="B159" t="str">
            <v>1</v>
          </cell>
          <cell r="C159" t="str">
            <v/>
          </cell>
          <cell r="D159" t="str">
            <v>200</v>
          </cell>
          <cell r="E159" t="str">
            <v>3</v>
          </cell>
          <cell r="F159" t="str">
            <v>57</v>
          </cell>
          <cell r="G159" t="str">
            <v>46</v>
          </cell>
          <cell r="H159" t="str">
            <v>D</v>
          </cell>
          <cell r="I159" t="str">
            <v>92</v>
          </cell>
          <cell r="J159" t="str">
            <v>2</v>
          </cell>
          <cell r="K159" t="str">
            <v/>
          </cell>
          <cell r="L159" t="str">
            <v>2000</v>
          </cell>
          <cell r="M159" t="str">
            <v/>
          </cell>
          <cell r="N159" t="str">
            <v>24,749</v>
          </cell>
          <cell r="O159" t="str">
            <v xml:space="preserve">inicio estrada </v>
          </cell>
          <cell r="P159" t="str">
            <v>154</v>
          </cell>
        </row>
        <row r="160">
          <cell r="A160" t="str">
            <v>v1</v>
          </cell>
          <cell r="B160" t="str">
            <v>2</v>
          </cell>
          <cell r="C160" t="str">
            <v/>
          </cell>
          <cell r="D160" t="str">
            <v>200</v>
          </cell>
          <cell r="E160" t="str">
            <v>3</v>
          </cell>
          <cell r="F160" t="str">
            <v>57</v>
          </cell>
          <cell r="G160" t="str">
            <v>46</v>
          </cell>
          <cell r="H160" t="str">
            <v>D</v>
          </cell>
          <cell r="I160" t="str">
            <v>92</v>
          </cell>
          <cell r="J160" t="str">
            <v>9</v>
          </cell>
          <cell r="K160" t="str">
            <v/>
          </cell>
          <cell r="L160" t="str">
            <v>2000</v>
          </cell>
          <cell r="M160" t="str">
            <v/>
          </cell>
          <cell r="N160" t="str">
            <v>37,977</v>
          </cell>
          <cell r="O160" t="str">
            <v xml:space="preserve">FIM de estrada </v>
          </cell>
          <cell r="P160" t="str">
            <v>155</v>
          </cell>
        </row>
        <row r="161">
          <cell r="A161" t="str">
            <v>v1</v>
          </cell>
          <cell r="B161" t="str">
            <v>3</v>
          </cell>
          <cell r="C161" t="str">
            <v/>
          </cell>
          <cell r="D161" t="str">
            <v>200</v>
          </cell>
          <cell r="E161" t="str">
            <v/>
          </cell>
          <cell r="F161" t="str">
            <v>57</v>
          </cell>
          <cell r="G161" t="str">
            <v>46</v>
          </cell>
          <cell r="H161" t="str">
            <v>D</v>
          </cell>
          <cell r="I161" t="str">
            <v>90</v>
          </cell>
          <cell r="J161" t="str">
            <v>55</v>
          </cell>
          <cell r="K161" t="str">
            <v/>
          </cell>
          <cell r="L161" t="str">
            <v>2000</v>
          </cell>
          <cell r="M161" t="str">
            <v/>
          </cell>
          <cell r="N161" t="str">
            <v>85,212</v>
          </cell>
          <cell r="O161" t="str">
            <v/>
          </cell>
          <cell r="P161" t="str">
            <v>156</v>
          </cell>
        </row>
        <row r="162">
          <cell r="A162" t="str">
            <v>v1</v>
          </cell>
          <cell r="B162" t="str">
            <v>v3</v>
          </cell>
          <cell r="C162" t="str">
            <v/>
          </cell>
          <cell r="D162" t="str">
            <v>200</v>
          </cell>
          <cell r="E162" t="str">
            <v/>
          </cell>
          <cell r="F162" t="str">
            <v>57</v>
          </cell>
          <cell r="G162" t="str">
            <v>46</v>
          </cell>
          <cell r="H162" t="str">
            <v>D</v>
          </cell>
          <cell r="I162" t="str">
            <v>91</v>
          </cell>
          <cell r="J162" t="str">
            <v>22</v>
          </cell>
          <cell r="K162" t="str">
            <v/>
          </cell>
          <cell r="L162" t="str">
            <v>2000</v>
          </cell>
          <cell r="M162" t="str">
            <v/>
          </cell>
          <cell r="N162" t="str">
            <v>126,068</v>
          </cell>
          <cell r="O162" t="str">
            <v xml:space="preserve">POSTE </v>
          </cell>
          <cell r="P162" t="str">
            <v>157</v>
          </cell>
        </row>
        <row r="163">
          <cell r="A163" t="str">
            <v>v3</v>
          </cell>
          <cell r="B163" t="str">
            <v>v1</v>
          </cell>
          <cell r="C163" t="str">
            <v/>
          </cell>
          <cell r="D163" t="str">
            <v>200</v>
          </cell>
          <cell r="E163" t="str">
            <v>20</v>
          </cell>
          <cell r="F163" t="str">
            <v>180</v>
          </cell>
          <cell r="G163" t="str">
            <v>0</v>
          </cell>
          <cell r="H163" t="str">
            <v>E</v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>RÉ</v>
          </cell>
          <cell r="P163" t="str">
            <v>158</v>
          </cell>
        </row>
        <row r="164">
          <cell r="A164" t="str">
            <v>v3</v>
          </cell>
          <cell r="B164" t="str">
            <v>1</v>
          </cell>
          <cell r="C164" t="str">
            <v/>
          </cell>
          <cell r="D164" t="str">
            <v>200</v>
          </cell>
          <cell r="E164" t="str">
            <v/>
          </cell>
          <cell r="F164" t="str">
            <v>37</v>
          </cell>
          <cell r="G164" t="str">
            <v>25</v>
          </cell>
          <cell r="H164" t="str">
            <v>E</v>
          </cell>
          <cell r="I164" t="str">
            <v>91</v>
          </cell>
          <cell r="J164" t="str">
            <v>40</v>
          </cell>
          <cell r="K164" t="str">
            <v/>
          </cell>
          <cell r="L164" t="str">
            <v>2000</v>
          </cell>
          <cell r="M164" t="str">
            <v/>
          </cell>
          <cell r="N164" t="str">
            <v>30,935</v>
          </cell>
          <cell r="O164" t="str">
            <v/>
          </cell>
          <cell r="P164" t="str">
            <v>159</v>
          </cell>
        </row>
        <row r="165">
          <cell r="A165" t="str">
            <v>v3</v>
          </cell>
          <cell r="B165" t="str">
            <v>2</v>
          </cell>
          <cell r="C165" t="str">
            <v/>
          </cell>
          <cell r="D165" t="str">
            <v>200</v>
          </cell>
          <cell r="E165" t="str">
            <v/>
          </cell>
          <cell r="F165" t="str">
            <v>37</v>
          </cell>
          <cell r="G165" t="str">
            <v>25</v>
          </cell>
          <cell r="H165" t="str">
            <v>E</v>
          </cell>
          <cell r="I165" t="str">
            <v>91</v>
          </cell>
          <cell r="J165" t="str">
            <v>52</v>
          </cell>
          <cell r="K165" t="str">
            <v/>
          </cell>
          <cell r="L165" t="str">
            <v>2000</v>
          </cell>
          <cell r="M165" t="str">
            <v/>
          </cell>
          <cell r="N165" t="str">
            <v>57,51</v>
          </cell>
          <cell r="O165" t="str">
            <v/>
          </cell>
          <cell r="P165" t="str">
            <v>160</v>
          </cell>
        </row>
        <row r="166">
          <cell r="A166" t="str">
            <v>v3</v>
          </cell>
          <cell r="B166" t="str">
            <v>3</v>
          </cell>
          <cell r="C166" t="str">
            <v/>
          </cell>
          <cell r="D166" t="str">
            <v>200</v>
          </cell>
          <cell r="E166" t="str">
            <v>5</v>
          </cell>
          <cell r="F166" t="str">
            <v>37</v>
          </cell>
          <cell r="G166" t="str">
            <v>25</v>
          </cell>
          <cell r="H166" t="str">
            <v>E</v>
          </cell>
          <cell r="I166" t="str">
            <v>92</v>
          </cell>
          <cell r="J166" t="str">
            <v>51</v>
          </cell>
          <cell r="K166" t="str">
            <v/>
          </cell>
          <cell r="L166" t="str">
            <v>2000</v>
          </cell>
          <cell r="M166" t="str">
            <v/>
          </cell>
          <cell r="N166" t="str">
            <v>91,649</v>
          </cell>
          <cell r="O166" t="str">
            <v>05 fios liso</v>
          </cell>
          <cell r="P166" t="str">
            <v>161</v>
          </cell>
        </row>
        <row r="167">
          <cell r="A167" t="str">
            <v>v3</v>
          </cell>
          <cell r="B167" t="str">
            <v>4</v>
          </cell>
          <cell r="C167" t="str">
            <v/>
          </cell>
          <cell r="D167" t="str">
            <v>200</v>
          </cell>
          <cell r="E167" t="str">
            <v/>
          </cell>
          <cell r="F167" t="str">
            <v>37</v>
          </cell>
          <cell r="G167" t="str">
            <v>25</v>
          </cell>
          <cell r="H167" t="str">
            <v>E</v>
          </cell>
          <cell r="I167" t="str">
            <v>92</v>
          </cell>
          <cell r="J167" t="str">
            <v>46</v>
          </cell>
          <cell r="K167" t="str">
            <v/>
          </cell>
          <cell r="L167" t="str">
            <v>2000</v>
          </cell>
          <cell r="M167" t="str">
            <v/>
          </cell>
          <cell r="N167" t="str">
            <v>95,859</v>
          </cell>
          <cell r="O167" t="str">
            <v>Poste</v>
          </cell>
          <cell r="P167" t="str">
            <v>162</v>
          </cell>
        </row>
        <row r="168">
          <cell r="A168" t="str">
            <v>v3</v>
          </cell>
          <cell r="B168" t="str">
            <v>5</v>
          </cell>
          <cell r="C168" t="str">
            <v/>
          </cell>
          <cell r="D168" t="str">
            <v>200</v>
          </cell>
          <cell r="E168" t="str">
            <v/>
          </cell>
          <cell r="F168" t="str">
            <v>37</v>
          </cell>
          <cell r="G168" t="str">
            <v>25</v>
          </cell>
          <cell r="H168" t="str">
            <v>E</v>
          </cell>
          <cell r="I168" t="str">
            <v>93</v>
          </cell>
          <cell r="J168" t="str">
            <v>20</v>
          </cell>
          <cell r="K168" t="str">
            <v/>
          </cell>
          <cell r="L168" t="str">
            <v>2000</v>
          </cell>
          <cell r="M168" t="str">
            <v/>
          </cell>
          <cell r="N168" t="str">
            <v>141,108</v>
          </cell>
          <cell r="O168" t="str">
            <v/>
          </cell>
          <cell r="P168" t="str">
            <v>163</v>
          </cell>
        </row>
        <row r="169">
          <cell r="A169" t="str">
            <v>v3</v>
          </cell>
          <cell r="B169" t="str">
            <v>6</v>
          </cell>
          <cell r="C169" t="str">
            <v/>
          </cell>
          <cell r="D169" t="str">
            <v>200</v>
          </cell>
          <cell r="E169" t="str">
            <v/>
          </cell>
          <cell r="F169" t="str">
            <v>37</v>
          </cell>
          <cell r="G169" t="str">
            <v>25</v>
          </cell>
          <cell r="H169" t="str">
            <v>E</v>
          </cell>
          <cell r="I169" t="str">
            <v>93</v>
          </cell>
          <cell r="J169" t="str">
            <v>29</v>
          </cell>
          <cell r="K169" t="str">
            <v/>
          </cell>
          <cell r="L169" t="str">
            <v>2000</v>
          </cell>
          <cell r="M169" t="str">
            <v/>
          </cell>
          <cell r="N169" t="str">
            <v>170,22</v>
          </cell>
          <cell r="O169" t="str">
            <v/>
          </cell>
          <cell r="P169" t="str">
            <v>164</v>
          </cell>
        </row>
        <row r="170">
          <cell r="A170" t="str">
            <v>v3</v>
          </cell>
          <cell r="B170" t="str">
            <v>7</v>
          </cell>
          <cell r="C170" t="str">
            <v/>
          </cell>
          <cell r="D170" t="str">
            <v>200</v>
          </cell>
          <cell r="E170" t="str">
            <v/>
          </cell>
          <cell r="F170" t="str">
            <v>37</v>
          </cell>
          <cell r="G170" t="str">
            <v>25</v>
          </cell>
          <cell r="H170" t="str">
            <v>E</v>
          </cell>
          <cell r="I170" t="str">
            <v>93</v>
          </cell>
          <cell r="J170" t="str">
            <v>36</v>
          </cell>
          <cell r="K170" t="str">
            <v/>
          </cell>
          <cell r="L170" t="str">
            <v>2000</v>
          </cell>
          <cell r="M170" t="str">
            <v/>
          </cell>
          <cell r="N170" t="str">
            <v>191,144</v>
          </cell>
          <cell r="O170" t="str">
            <v>Poste</v>
          </cell>
          <cell r="P170" t="str">
            <v>165</v>
          </cell>
        </row>
        <row r="171">
          <cell r="A171" t="str">
            <v>v3</v>
          </cell>
          <cell r="B171" t="str">
            <v>8</v>
          </cell>
          <cell r="C171" t="str">
            <v/>
          </cell>
          <cell r="D171" t="str">
            <v>200</v>
          </cell>
          <cell r="E171" t="str">
            <v>5</v>
          </cell>
          <cell r="F171" t="str">
            <v>37</v>
          </cell>
          <cell r="G171" t="str">
            <v>25</v>
          </cell>
          <cell r="H171" t="str">
            <v>E</v>
          </cell>
          <cell r="I171" t="str">
            <v>93</v>
          </cell>
          <cell r="J171" t="str">
            <v>35</v>
          </cell>
          <cell r="K171" t="str">
            <v/>
          </cell>
          <cell r="L171" t="str">
            <v>2000</v>
          </cell>
          <cell r="M171" t="str">
            <v/>
          </cell>
          <cell r="N171" t="str">
            <v>219,306</v>
          </cell>
          <cell r="O171" t="str">
            <v xml:space="preserve">07 fios liso </v>
          </cell>
          <cell r="P171" t="str">
            <v>166</v>
          </cell>
        </row>
        <row r="172">
          <cell r="A172" t="str">
            <v>v3</v>
          </cell>
          <cell r="B172" t="str">
            <v>9</v>
          </cell>
          <cell r="C172" t="str">
            <v/>
          </cell>
          <cell r="D172" t="str">
            <v>200</v>
          </cell>
          <cell r="E172" t="str">
            <v>5</v>
          </cell>
          <cell r="F172" t="str">
            <v>37</v>
          </cell>
          <cell r="G172" t="str">
            <v>25</v>
          </cell>
          <cell r="H172" t="str">
            <v>E</v>
          </cell>
          <cell r="I172" t="str">
            <v>93</v>
          </cell>
          <cell r="J172" t="str">
            <v>28</v>
          </cell>
          <cell r="K172" t="str">
            <v/>
          </cell>
          <cell r="L172" t="str">
            <v>2000</v>
          </cell>
          <cell r="M172" t="str">
            <v/>
          </cell>
          <cell r="N172" t="str">
            <v>245,443</v>
          </cell>
          <cell r="O172" t="str">
            <v xml:space="preserve">07 fios liso </v>
          </cell>
          <cell r="P172" t="str">
            <v>167</v>
          </cell>
        </row>
        <row r="173">
          <cell r="A173" t="str">
            <v>v3</v>
          </cell>
          <cell r="B173" t="str">
            <v>10</v>
          </cell>
          <cell r="C173" t="str">
            <v/>
          </cell>
          <cell r="D173" t="str">
            <v>200</v>
          </cell>
          <cell r="E173" t="str">
            <v>27</v>
          </cell>
          <cell r="F173" t="str">
            <v>37</v>
          </cell>
          <cell r="G173" t="str">
            <v>25</v>
          </cell>
          <cell r="H173" t="str">
            <v>E</v>
          </cell>
          <cell r="I173" t="str">
            <v>93</v>
          </cell>
          <cell r="J173" t="str">
            <v>30</v>
          </cell>
          <cell r="K173" t="str">
            <v/>
          </cell>
          <cell r="L173" t="str">
            <v>2000</v>
          </cell>
          <cell r="M173" t="str">
            <v/>
          </cell>
          <cell r="N173" t="str">
            <v>254,492</v>
          </cell>
          <cell r="O173" t="str">
            <v/>
          </cell>
          <cell r="P173" t="str">
            <v>168</v>
          </cell>
        </row>
        <row r="174">
          <cell r="A174" t="str">
            <v>v3</v>
          </cell>
          <cell r="B174" t="str">
            <v>11</v>
          </cell>
          <cell r="C174" t="str">
            <v/>
          </cell>
          <cell r="D174" t="str">
            <v>200</v>
          </cell>
          <cell r="E174" t="str">
            <v/>
          </cell>
          <cell r="F174" t="str">
            <v>37</v>
          </cell>
          <cell r="G174" t="str">
            <v>25</v>
          </cell>
          <cell r="H174" t="str">
            <v>E</v>
          </cell>
          <cell r="I174" t="str">
            <v>92</v>
          </cell>
          <cell r="J174" t="str">
            <v>19</v>
          </cell>
          <cell r="K174" t="str">
            <v/>
          </cell>
          <cell r="L174" t="str">
            <v>2000</v>
          </cell>
          <cell r="M174" t="str">
            <v/>
          </cell>
          <cell r="N174" t="str">
            <v>458,91</v>
          </cell>
          <cell r="O174" t="str">
            <v xml:space="preserve">fim grota </v>
          </cell>
          <cell r="P174" t="str">
            <v>169</v>
          </cell>
        </row>
        <row r="175">
          <cell r="A175" t="str">
            <v>v3</v>
          </cell>
          <cell r="B175" t="str">
            <v>e13</v>
          </cell>
          <cell r="C175" t="str">
            <v/>
          </cell>
          <cell r="D175" t="str">
            <v>200</v>
          </cell>
          <cell r="E175" t="str">
            <v/>
          </cell>
          <cell r="F175" t="str">
            <v>37</v>
          </cell>
          <cell r="G175" t="str">
            <v>25</v>
          </cell>
          <cell r="H175" t="str">
            <v>E</v>
          </cell>
          <cell r="I175" t="str">
            <v>92</v>
          </cell>
          <cell r="J175" t="str">
            <v>5</v>
          </cell>
          <cell r="K175" t="str">
            <v/>
          </cell>
          <cell r="L175" t="str">
            <v>2000</v>
          </cell>
          <cell r="M175" t="str">
            <v/>
          </cell>
          <cell r="N175" t="str">
            <v>485,705</v>
          </cell>
          <cell r="O175" t="str">
            <v>Poste</v>
          </cell>
          <cell r="P175" t="str">
            <v>170</v>
          </cell>
        </row>
        <row r="176">
          <cell r="A176" t="str">
            <v>e13</v>
          </cell>
          <cell r="B176" t="str">
            <v>v3</v>
          </cell>
          <cell r="C176" t="str">
            <v/>
          </cell>
          <cell r="D176" t="str">
            <v>200</v>
          </cell>
          <cell r="E176" t="str">
            <v>20</v>
          </cell>
          <cell r="F176" t="str">
            <v>180</v>
          </cell>
          <cell r="G176" t="str">
            <v>0</v>
          </cell>
          <cell r="H176" t="str">
            <v>D</v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  <cell r="O176" t="str">
            <v>RÉ</v>
          </cell>
          <cell r="P176" t="str">
            <v>171</v>
          </cell>
        </row>
        <row r="177">
          <cell r="A177" t="str">
            <v>e13</v>
          </cell>
          <cell r="B177" t="str">
            <v>1</v>
          </cell>
          <cell r="C177" t="str">
            <v/>
          </cell>
          <cell r="D177" t="str">
            <v>200</v>
          </cell>
          <cell r="E177" t="str">
            <v/>
          </cell>
          <cell r="F177" t="str">
            <v>0</v>
          </cell>
          <cell r="G177" t="str">
            <v>3</v>
          </cell>
          <cell r="H177" t="str">
            <v>D</v>
          </cell>
          <cell r="I177" t="str">
            <v>88</v>
          </cell>
          <cell r="J177" t="str">
            <v>9</v>
          </cell>
          <cell r="K177" t="str">
            <v/>
          </cell>
          <cell r="L177" t="str">
            <v>2000</v>
          </cell>
          <cell r="M177" t="str">
            <v/>
          </cell>
          <cell r="N177" t="str">
            <v>34,214</v>
          </cell>
          <cell r="O177" t="str">
            <v/>
          </cell>
          <cell r="P177" t="str">
            <v>172</v>
          </cell>
        </row>
        <row r="178">
          <cell r="A178" t="str">
            <v>e13</v>
          </cell>
          <cell r="B178" t="str">
            <v>2</v>
          </cell>
          <cell r="C178" t="str">
            <v/>
          </cell>
          <cell r="D178" t="str">
            <v>200</v>
          </cell>
          <cell r="E178" t="str">
            <v/>
          </cell>
          <cell r="F178" t="str">
            <v>0</v>
          </cell>
          <cell r="G178" t="str">
            <v>3</v>
          </cell>
          <cell r="H178" t="str">
            <v>D</v>
          </cell>
          <cell r="I178" t="str">
            <v>89</v>
          </cell>
          <cell r="J178" t="str">
            <v>11</v>
          </cell>
          <cell r="K178" t="str">
            <v/>
          </cell>
          <cell r="L178" t="str">
            <v>2000</v>
          </cell>
          <cell r="M178" t="str">
            <v/>
          </cell>
          <cell r="N178" t="str">
            <v>70,948</v>
          </cell>
          <cell r="O178" t="str">
            <v/>
          </cell>
          <cell r="P178" t="str">
            <v>173</v>
          </cell>
        </row>
        <row r="179">
          <cell r="A179" t="str">
            <v>e13</v>
          </cell>
          <cell r="B179" t="str">
            <v>3</v>
          </cell>
          <cell r="C179" t="str">
            <v/>
          </cell>
          <cell r="D179" t="str">
            <v>200</v>
          </cell>
          <cell r="E179" t="str">
            <v/>
          </cell>
          <cell r="F179" t="str">
            <v>0</v>
          </cell>
          <cell r="G179" t="str">
            <v>3</v>
          </cell>
          <cell r="H179" t="str">
            <v>D</v>
          </cell>
          <cell r="I179" t="str">
            <v>90</v>
          </cell>
          <cell r="J179" t="str">
            <v>41</v>
          </cell>
          <cell r="K179" t="str">
            <v/>
          </cell>
          <cell r="L179" t="str">
            <v>2000</v>
          </cell>
          <cell r="M179" t="str">
            <v/>
          </cell>
          <cell r="N179" t="str">
            <v>108,164</v>
          </cell>
          <cell r="O179" t="str">
            <v xml:space="preserve">limpeza faixa </v>
          </cell>
          <cell r="P179" t="str">
            <v>174</v>
          </cell>
        </row>
        <row r="180">
          <cell r="A180" t="str">
            <v>e13</v>
          </cell>
          <cell r="B180" t="str">
            <v>4</v>
          </cell>
          <cell r="C180" t="str">
            <v/>
          </cell>
          <cell r="D180" t="str">
            <v>200</v>
          </cell>
          <cell r="E180" t="str">
            <v/>
          </cell>
          <cell r="F180" t="str">
            <v>0</v>
          </cell>
          <cell r="G180" t="str">
            <v>3</v>
          </cell>
          <cell r="H180" t="str">
            <v>D</v>
          </cell>
          <cell r="I180" t="str">
            <v>90</v>
          </cell>
          <cell r="J180" t="str">
            <v>25</v>
          </cell>
          <cell r="K180" t="str">
            <v/>
          </cell>
          <cell r="L180" t="str">
            <v>2000</v>
          </cell>
          <cell r="M180" t="str">
            <v/>
          </cell>
          <cell r="N180" t="str">
            <v>151,152</v>
          </cell>
          <cell r="O180" t="str">
            <v>Poste</v>
          </cell>
          <cell r="P180" t="str">
            <v>175</v>
          </cell>
        </row>
        <row r="181">
          <cell r="A181" t="str">
            <v>e13</v>
          </cell>
          <cell r="B181" t="str">
            <v>5</v>
          </cell>
          <cell r="C181" t="str">
            <v/>
          </cell>
          <cell r="D181" t="str">
            <v>200</v>
          </cell>
          <cell r="E181" t="str">
            <v/>
          </cell>
          <cell r="F181" t="str">
            <v>0</v>
          </cell>
          <cell r="G181" t="str">
            <v>3</v>
          </cell>
          <cell r="H181" t="str">
            <v>D</v>
          </cell>
          <cell r="I181" t="str">
            <v>89</v>
          </cell>
          <cell r="J181" t="str">
            <v>19</v>
          </cell>
          <cell r="K181" t="str">
            <v/>
          </cell>
          <cell r="L181" t="str">
            <v>2000</v>
          </cell>
          <cell r="M181" t="str">
            <v/>
          </cell>
          <cell r="N181" t="str">
            <v>189,623</v>
          </cell>
          <cell r="O181" t="str">
            <v/>
          </cell>
          <cell r="P181" t="str">
            <v>176</v>
          </cell>
        </row>
        <row r="182">
          <cell r="A182" t="str">
            <v>e13</v>
          </cell>
          <cell r="B182" t="str">
            <v>6</v>
          </cell>
          <cell r="C182" t="str">
            <v/>
          </cell>
          <cell r="D182" t="str">
            <v>200</v>
          </cell>
          <cell r="E182" t="str">
            <v/>
          </cell>
          <cell r="F182" t="str">
            <v>0</v>
          </cell>
          <cell r="G182" t="str">
            <v>3</v>
          </cell>
          <cell r="H182" t="str">
            <v>D</v>
          </cell>
          <cell r="I182" t="str">
            <v>88</v>
          </cell>
          <cell r="J182" t="str">
            <v>26</v>
          </cell>
          <cell r="K182" t="str">
            <v/>
          </cell>
          <cell r="L182" t="str">
            <v>2000</v>
          </cell>
          <cell r="M182" t="str">
            <v/>
          </cell>
          <cell r="N182" t="str">
            <v>242,336</v>
          </cell>
          <cell r="O182" t="str">
            <v/>
          </cell>
          <cell r="P182" t="str">
            <v>177</v>
          </cell>
        </row>
        <row r="183">
          <cell r="A183" t="str">
            <v>e13</v>
          </cell>
          <cell r="B183" t="str">
            <v>7</v>
          </cell>
          <cell r="C183" t="str">
            <v/>
          </cell>
          <cell r="D183" t="str">
            <v>200</v>
          </cell>
          <cell r="E183" t="str">
            <v/>
          </cell>
          <cell r="F183" t="str">
            <v>0</v>
          </cell>
          <cell r="G183" t="str">
            <v>3</v>
          </cell>
          <cell r="H183" t="str">
            <v>D</v>
          </cell>
          <cell r="I183" t="str">
            <v>87</v>
          </cell>
          <cell r="J183" t="str">
            <v>55</v>
          </cell>
          <cell r="K183" t="str">
            <v/>
          </cell>
          <cell r="L183" t="str">
            <v>2000</v>
          </cell>
          <cell r="M183" t="str">
            <v/>
          </cell>
          <cell r="N183" t="str">
            <v>289,109</v>
          </cell>
          <cell r="O183" t="str">
            <v>Poste</v>
          </cell>
          <cell r="P183" t="str">
            <v>178</v>
          </cell>
        </row>
        <row r="184">
          <cell r="A184" t="str">
            <v>e13</v>
          </cell>
          <cell r="B184" t="str">
            <v>8</v>
          </cell>
          <cell r="C184" t="str">
            <v/>
          </cell>
          <cell r="D184" t="str">
            <v>200</v>
          </cell>
          <cell r="E184" t="str">
            <v/>
          </cell>
          <cell r="F184" t="str">
            <v>0</v>
          </cell>
          <cell r="G184" t="str">
            <v>3</v>
          </cell>
          <cell r="H184" t="str">
            <v>D</v>
          </cell>
          <cell r="I184" t="str">
            <v>87</v>
          </cell>
          <cell r="J184" t="str">
            <v>59</v>
          </cell>
          <cell r="K184" t="str">
            <v/>
          </cell>
          <cell r="L184" t="str">
            <v>2000</v>
          </cell>
          <cell r="M184" t="str">
            <v/>
          </cell>
          <cell r="N184" t="str">
            <v>322,119</v>
          </cell>
          <cell r="O184" t="str">
            <v/>
          </cell>
          <cell r="P184" t="str">
            <v>179</v>
          </cell>
        </row>
        <row r="185">
          <cell r="A185" t="str">
            <v>e13</v>
          </cell>
          <cell r="B185" t="str">
            <v>9</v>
          </cell>
          <cell r="C185" t="str">
            <v/>
          </cell>
          <cell r="D185" t="str">
            <v>200</v>
          </cell>
          <cell r="E185" t="str">
            <v/>
          </cell>
          <cell r="F185" t="str">
            <v>0</v>
          </cell>
          <cell r="G185" t="str">
            <v>3</v>
          </cell>
          <cell r="H185" t="str">
            <v>D</v>
          </cell>
          <cell r="I185" t="str">
            <v>87</v>
          </cell>
          <cell r="J185" t="str">
            <v>56</v>
          </cell>
          <cell r="K185" t="str">
            <v/>
          </cell>
          <cell r="L185" t="str">
            <v>2000</v>
          </cell>
          <cell r="M185" t="str">
            <v/>
          </cell>
          <cell r="N185" t="str">
            <v>381,536</v>
          </cell>
          <cell r="O185" t="str">
            <v/>
          </cell>
          <cell r="P185" t="str">
            <v>180</v>
          </cell>
        </row>
        <row r="186">
          <cell r="A186" t="str">
            <v>e13</v>
          </cell>
          <cell r="B186" t="str">
            <v>v4</v>
          </cell>
          <cell r="C186" t="str">
            <v/>
          </cell>
          <cell r="D186" t="str">
            <v>200</v>
          </cell>
          <cell r="E186" t="str">
            <v/>
          </cell>
          <cell r="F186" t="str">
            <v>0</v>
          </cell>
          <cell r="G186" t="str">
            <v>3</v>
          </cell>
          <cell r="H186" t="str">
            <v>D</v>
          </cell>
          <cell r="I186" t="str">
            <v>87</v>
          </cell>
          <cell r="J186" t="str">
            <v>55</v>
          </cell>
          <cell r="K186" t="str">
            <v/>
          </cell>
          <cell r="L186" t="str">
            <v>2000</v>
          </cell>
          <cell r="M186" t="str">
            <v/>
          </cell>
          <cell r="N186" t="str">
            <v>435,078</v>
          </cell>
          <cell r="O186" t="str">
            <v xml:space="preserve">poste </v>
          </cell>
          <cell r="P186" t="str">
            <v>181</v>
          </cell>
        </row>
        <row r="187">
          <cell r="A187" t="str">
            <v>v4</v>
          </cell>
          <cell r="B187" t="str">
            <v>e13</v>
          </cell>
          <cell r="C187" t="str">
            <v/>
          </cell>
          <cell r="D187" t="str">
            <v>200</v>
          </cell>
          <cell r="E187" t="str">
            <v>20</v>
          </cell>
          <cell r="F187" t="str">
            <v>180</v>
          </cell>
          <cell r="G187" t="str">
            <v>0</v>
          </cell>
          <cell r="H187" t="str">
            <v>D</v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  <cell r="O187" t="str">
            <v>RÉ</v>
          </cell>
          <cell r="P187" t="str">
            <v>182</v>
          </cell>
        </row>
        <row r="188">
          <cell r="A188" t="str">
            <v>v4</v>
          </cell>
          <cell r="B188" t="str">
            <v>1</v>
          </cell>
          <cell r="C188" t="str">
            <v/>
          </cell>
          <cell r="D188" t="str">
            <v>200</v>
          </cell>
          <cell r="E188" t="str">
            <v/>
          </cell>
          <cell r="F188" t="str">
            <v>18</v>
          </cell>
          <cell r="G188" t="str">
            <v>34</v>
          </cell>
          <cell r="H188" t="str">
            <v>D</v>
          </cell>
          <cell r="I188" t="str">
            <v>89</v>
          </cell>
          <cell r="J188" t="str">
            <v>14</v>
          </cell>
          <cell r="K188" t="str">
            <v/>
          </cell>
          <cell r="L188" t="str">
            <v>2000</v>
          </cell>
          <cell r="M188" t="str">
            <v/>
          </cell>
          <cell r="N188" t="str">
            <v>41,791</v>
          </cell>
          <cell r="O188" t="str">
            <v/>
          </cell>
          <cell r="P188" t="str">
            <v>183</v>
          </cell>
        </row>
        <row r="189">
          <cell r="A189" t="str">
            <v>v4</v>
          </cell>
          <cell r="B189" t="str">
            <v>2</v>
          </cell>
          <cell r="C189" t="str">
            <v/>
          </cell>
          <cell r="D189" t="str">
            <v>200</v>
          </cell>
          <cell r="E189" t="str">
            <v/>
          </cell>
          <cell r="F189" t="str">
            <v>18</v>
          </cell>
          <cell r="G189" t="str">
            <v>34</v>
          </cell>
          <cell r="H189" t="str">
            <v>D</v>
          </cell>
          <cell r="I189" t="str">
            <v>89</v>
          </cell>
          <cell r="J189" t="str">
            <v>24</v>
          </cell>
          <cell r="K189" t="str">
            <v/>
          </cell>
          <cell r="L189" t="str">
            <v>2000</v>
          </cell>
          <cell r="M189" t="str">
            <v/>
          </cell>
          <cell r="N189" t="str">
            <v>92,046</v>
          </cell>
          <cell r="O189" t="str">
            <v/>
          </cell>
          <cell r="P189" t="str">
            <v>184</v>
          </cell>
        </row>
        <row r="190">
          <cell r="A190" t="str">
            <v>v4</v>
          </cell>
          <cell r="B190" t="str">
            <v>3</v>
          </cell>
          <cell r="C190" t="str">
            <v/>
          </cell>
          <cell r="D190" t="str">
            <v>200</v>
          </cell>
          <cell r="E190" t="str">
            <v/>
          </cell>
          <cell r="F190" t="str">
            <v>18</v>
          </cell>
          <cell r="G190" t="str">
            <v>34</v>
          </cell>
          <cell r="H190" t="str">
            <v>D</v>
          </cell>
          <cell r="I190" t="str">
            <v>88</v>
          </cell>
          <cell r="J190" t="str">
            <v>59</v>
          </cell>
          <cell r="K190" t="str">
            <v/>
          </cell>
          <cell r="L190" t="str">
            <v>2000</v>
          </cell>
          <cell r="M190" t="str">
            <v/>
          </cell>
          <cell r="N190" t="str">
            <v>132,054</v>
          </cell>
          <cell r="O190" t="str">
            <v>Poste</v>
          </cell>
          <cell r="P190" t="str">
            <v>185</v>
          </cell>
        </row>
        <row r="191">
          <cell r="A191" t="str">
            <v>v4</v>
          </cell>
          <cell r="B191" t="str">
            <v>4</v>
          </cell>
          <cell r="C191" t="str">
            <v/>
          </cell>
          <cell r="D191" t="str">
            <v>200</v>
          </cell>
          <cell r="E191" t="str">
            <v/>
          </cell>
          <cell r="F191" t="str">
            <v>18</v>
          </cell>
          <cell r="G191" t="str">
            <v>34</v>
          </cell>
          <cell r="H191" t="str">
            <v>D</v>
          </cell>
          <cell r="I191" t="str">
            <v>89</v>
          </cell>
          <cell r="J191" t="str">
            <v>19</v>
          </cell>
          <cell r="K191" t="str">
            <v/>
          </cell>
          <cell r="L191" t="str">
            <v>2000</v>
          </cell>
          <cell r="M191" t="str">
            <v/>
          </cell>
          <cell r="N191" t="str">
            <v>165,257</v>
          </cell>
          <cell r="O191" t="str">
            <v/>
          </cell>
          <cell r="P191" t="str">
            <v>186</v>
          </cell>
        </row>
        <row r="192">
          <cell r="A192" t="str">
            <v>v4</v>
          </cell>
          <cell r="B192" t="str">
            <v>5</v>
          </cell>
          <cell r="C192" t="str">
            <v/>
          </cell>
          <cell r="D192" t="str">
            <v>200</v>
          </cell>
          <cell r="E192" t="str">
            <v/>
          </cell>
          <cell r="F192" t="str">
            <v>18</v>
          </cell>
          <cell r="G192" t="str">
            <v>34</v>
          </cell>
          <cell r="H192" t="str">
            <v>D</v>
          </cell>
          <cell r="I192" t="str">
            <v>89</v>
          </cell>
          <cell r="J192" t="str">
            <v>19</v>
          </cell>
          <cell r="K192" t="str">
            <v/>
          </cell>
          <cell r="L192" t="str">
            <v>2000</v>
          </cell>
          <cell r="M192" t="str">
            <v/>
          </cell>
          <cell r="N192" t="str">
            <v>201,422</v>
          </cell>
          <cell r="O192" t="str">
            <v/>
          </cell>
          <cell r="P192" t="str">
            <v>187</v>
          </cell>
        </row>
        <row r="193">
          <cell r="A193" t="str">
            <v>v4</v>
          </cell>
          <cell r="B193" t="str">
            <v>e14</v>
          </cell>
          <cell r="C193" t="str">
            <v/>
          </cell>
          <cell r="D193" t="str">
            <v>200</v>
          </cell>
          <cell r="E193" t="str">
            <v/>
          </cell>
          <cell r="F193" t="str">
            <v>18</v>
          </cell>
          <cell r="G193" t="str">
            <v>34</v>
          </cell>
          <cell r="H193" t="str">
            <v>D</v>
          </cell>
          <cell r="I193" t="str">
            <v>89</v>
          </cell>
          <cell r="J193" t="str">
            <v>7</v>
          </cell>
          <cell r="K193" t="str">
            <v/>
          </cell>
          <cell r="L193" t="str">
            <v>2000</v>
          </cell>
          <cell r="M193" t="str">
            <v/>
          </cell>
          <cell r="N193" t="str">
            <v>230,837</v>
          </cell>
          <cell r="O193" t="str">
            <v>Poste</v>
          </cell>
          <cell r="P193" t="str">
            <v>188</v>
          </cell>
        </row>
        <row r="194">
          <cell r="A194" t="str">
            <v>e14</v>
          </cell>
          <cell r="B194" t="str">
            <v>v4</v>
          </cell>
          <cell r="C194" t="str">
            <v/>
          </cell>
          <cell r="D194" t="str">
            <v>200</v>
          </cell>
          <cell r="E194" t="str">
            <v>20</v>
          </cell>
          <cell r="F194" t="str">
            <v>180</v>
          </cell>
          <cell r="G194" t="str">
            <v>0</v>
          </cell>
          <cell r="H194" t="str">
            <v>D</v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  <cell r="O194" t="str">
            <v>RÉ</v>
          </cell>
          <cell r="P194" t="str">
            <v>189</v>
          </cell>
        </row>
        <row r="195">
          <cell r="A195" t="str">
            <v>e14</v>
          </cell>
          <cell r="B195" t="str">
            <v>1</v>
          </cell>
          <cell r="C195" t="str">
            <v/>
          </cell>
          <cell r="D195" t="str">
            <v>200</v>
          </cell>
          <cell r="E195" t="str">
            <v/>
          </cell>
          <cell r="F195" t="str">
            <v>0</v>
          </cell>
          <cell r="G195" t="str">
            <v>7</v>
          </cell>
          <cell r="H195" t="str">
            <v>D</v>
          </cell>
          <cell r="I195" t="str">
            <v>90</v>
          </cell>
          <cell r="J195" t="str">
            <v>52</v>
          </cell>
          <cell r="K195" t="str">
            <v/>
          </cell>
          <cell r="L195" t="str">
            <v>2000</v>
          </cell>
          <cell r="M195" t="str">
            <v/>
          </cell>
          <cell r="N195" t="str">
            <v>49,094</v>
          </cell>
          <cell r="O195" t="str">
            <v/>
          </cell>
          <cell r="P195" t="str">
            <v>190</v>
          </cell>
        </row>
        <row r="196">
          <cell r="A196" t="str">
            <v>e14</v>
          </cell>
          <cell r="B196" t="str">
            <v>2</v>
          </cell>
          <cell r="C196" t="str">
            <v/>
          </cell>
          <cell r="D196" t="str">
            <v>200</v>
          </cell>
          <cell r="E196" t="str">
            <v/>
          </cell>
          <cell r="F196" t="str">
            <v>0</v>
          </cell>
          <cell r="G196" t="str">
            <v>7</v>
          </cell>
          <cell r="H196" t="str">
            <v>D</v>
          </cell>
          <cell r="I196" t="str">
            <v>89</v>
          </cell>
          <cell r="J196" t="str">
            <v>39</v>
          </cell>
          <cell r="K196" t="str">
            <v/>
          </cell>
          <cell r="L196" t="str">
            <v>2000</v>
          </cell>
          <cell r="M196" t="str">
            <v/>
          </cell>
          <cell r="N196" t="str">
            <v>99,738</v>
          </cell>
          <cell r="O196" t="str">
            <v xml:space="preserve">poste </v>
          </cell>
          <cell r="P196" t="str">
            <v>191</v>
          </cell>
        </row>
        <row r="197">
          <cell r="A197" t="str">
            <v>e14</v>
          </cell>
          <cell r="B197" t="str">
            <v>3</v>
          </cell>
          <cell r="C197" t="str">
            <v/>
          </cell>
          <cell r="D197" t="str">
            <v>200</v>
          </cell>
          <cell r="E197" t="str">
            <v/>
          </cell>
          <cell r="F197" t="str">
            <v>0</v>
          </cell>
          <cell r="G197" t="str">
            <v>7</v>
          </cell>
          <cell r="H197" t="str">
            <v>D</v>
          </cell>
          <cell r="I197" t="str">
            <v>89</v>
          </cell>
          <cell r="J197" t="str">
            <v>44</v>
          </cell>
          <cell r="K197" t="str">
            <v/>
          </cell>
          <cell r="L197" t="str">
            <v>2000</v>
          </cell>
          <cell r="M197" t="str">
            <v/>
          </cell>
          <cell r="N197" t="str">
            <v>157,602</v>
          </cell>
          <cell r="O197" t="str">
            <v/>
          </cell>
          <cell r="P197" t="str">
            <v>192</v>
          </cell>
        </row>
        <row r="198">
          <cell r="A198" t="str">
            <v>e14</v>
          </cell>
          <cell r="B198" t="str">
            <v>4</v>
          </cell>
          <cell r="C198" t="str">
            <v/>
          </cell>
          <cell r="D198" t="str">
            <v>200</v>
          </cell>
          <cell r="E198" t="str">
            <v/>
          </cell>
          <cell r="F198" t="str">
            <v>0</v>
          </cell>
          <cell r="G198" t="str">
            <v>7</v>
          </cell>
          <cell r="H198" t="str">
            <v>D</v>
          </cell>
          <cell r="I198" t="str">
            <v>89</v>
          </cell>
          <cell r="J198" t="str">
            <v>25</v>
          </cell>
          <cell r="K198" t="str">
            <v/>
          </cell>
          <cell r="L198" t="str">
            <v>2000</v>
          </cell>
          <cell r="M198" t="str">
            <v/>
          </cell>
          <cell r="N198" t="str">
            <v>201,121</v>
          </cell>
          <cell r="O198" t="str">
            <v>Poste</v>
          </cell>
          <cell r="P198" t="str">
            <v>193</v>
          </cell>
        </row>
        <row r="199">
          <cell r="A199" t="str">
            <v>e14</v>
          </cell>
          <cell r="B199" t="str">
            <v>5</v>
          </cell>
          <cell r="C199" t="str">
            <v/>
          </cell>
          <cell r="D199" t="str">
            <v>200</v>
          </cell>
          <cell r="E199" t="str">
            <v/>
          </cell>
          <cell r="F199" t="str">
            <v>0</v>
          </cell>
          <cell r="G199" t="str">
            <v>7</v>
          </cell>
          <cell r="H199" t="str">
            <v>D</v>
          </cell>
          <cell r="I199" t="str">
            <v>89</v>
          </cell>
          <cell r="J199" t="str">
            <v>30</v>
          </cell>
          <cell r="K199" t="str">
            <v/>
          </cell>
          <cell r="L199" t="str">
            <v>2000</v>
          </cell>
          <cell r="M199" t="str">
            <v/>
          </cell>
          <cell r="N199" t="str">
            <v>248,487</v>
          </cell>
          <cell r="O199" t="str">
            <v/>
          </cell>
          <cell r="P199" t="str">
            <v>194</v>
          </cell>
        </row>
        <row r="200">
          <cell r="A200" t="str">
            <v>e14</v>
          </cell>
          <cell r="B200" t="str">
            <v>6</v>
          </cell>
          <cell r="C200" t="str">
            <v/>
          </cell>
          <cell r="D200" t="str">
            <v>200</v>
          </cell>
          <cell r="E200" t="str">
            <v/>
          </cell>
          <cell r="F200" t="str">
            <v>0</v>
          </cell>
          <cell r="G200" t="str">
            <v>7</v>
          </cell>
          <cell r="H200" t="str">
            <v>D</v>
          </cell>
          <cell r="I200" t="str">
            <v>89</v>
          </cell>
          <cell r="J200" t="str">
            <v>12</v>
          </cell>
          <cell r="K200" t="str">
            <v/>
          </cell>
          <cell r="L200" t="str">
            <v>2000</v>
          </cell>
          <cell r="M200" t="str">
            <v/>
          </cell>
          <cell r="N200" t="str">
            <v>303,182</v>
          </cell>
          <cell r="O200" t="str">
            <v>Poste</v>
          </cell>
          <cell r="P200" t="str">
            <v>195</v>
          </cell>
        </row>
        <row r="201">
          <cell r="A201" t="str">
            <v>e14</v>
          </cell>
          <cell r="B201" t="str">
            <v>7</v>
          </cell>
          <cell r="C201" t="str">
            <v/>
          </cell>
          <cell r="D201" t="str">
            <v>200</v>
          </cell>
          <cell r="E201" t="str">
            <v/>
          </cell>
          <cell r="F201" t="str">
            <v>0</v>
          </cell>
          <cell r="G201" t="str">
            <v>7</v>
          </cell>
          <cell r="H201" t="str">
            <v>D</v>
          </cell>
          <cell r="I201" t="str">
            <v>89</v>
          </cell>
          <cell r="J201" t="str">
            <v>19</v>
          </cell>
          <cell r="K201" t="str">
            <v/>
          </cell>
          <cell r="L201" t="str">
            <v>2000</v>
          </cell>
          <cell r="M201" t="str">
            <v/>
          </cell>
          <cell r="N201" t="str">
            <v>360,406</v>
          </cell>
          <cell r="O201" t="str">
            <v/>
          </cell>
          <cell r="P201" t="str">
            <v>196</v>
          </cell>
        </row>
        <row r="202">
          <cell r="A202" t="str">
            <v>e14</v>
          </cell>
          <cell r="B202" t="str">
            <v>e15</v>
          </cell>
          <cell r="C202" t="str">
            <v/>
          </cell>
          <cell r="D202" t="str">
            <v>200</v>
          </cell>
          <cell r="E202" t="str">
            <v/>
          </cell>
          <cell r="F202" t="str">
            <v>0</v>
          </cell>
          <cell r="G202" t="str">
            <v>7</v>
          </cell>
          <cell r="H202" t="str">
            <v>D</v>
          </cell>
          <cell r="I202" t="str">
            <v>89</v>
          </cell>
          <cell r="J202" t="str">
            <v>7</v>
          </cell>
          <cell r="K202" t="str">
            <v/>
          </cell>
          <cell r="L202" t="str">
            <v>2000</v>
          </cell>
          <cell r="M202" t="str">
            <v/>
          </cell>
          <cell r="N202" t="str">
            <v>404,121</v>
          </cell>
          <cell r="O202" t="str">
            <v xml:space="preserve">poste </v>
          </cell>
          <cell r="P202" t="str">
            <v>197</v>
          </cell>
        </row>
        <row r="203">
          <cell r="A203" t="str">
            <v>e15</v>
          </cell>
          <cell r="B203" t="str">
            <v>e14</v>
          </cell>
          <cell r="C203" t="str">
            <v/>
          </cell>
          <cell r="D203" t="str">
            <v>200</v>
          </cell>
          <cell r="E203" t="str">
            <v>20</v>
          </cell>
          <cell r="F203" t="str">
            <v>180</v>
          </cell>
          <cell r="G203" t="str">
            <v>0</v>
          </cell>
          <cell r="H203" t="str">
            <v>D</v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  <cell r="O203" t="str">
            <v>RÉ</v>
          </cell>
          <cell r="P203" t="str">
            <v>198</v>
          </cell>
        </row>
        <row r="204">
          <cell r="A204" t="str">
            <v>e15</v>
          </cell>
          <cell r="B204" t="str">
            <v>1</v>
          </cell>
          <cell r="C204" t="str">
            <v/>
          </cell>
          <cell r="D204" t="str">
            <v>200</v>
          </cell>
          <cell r="E204" t="str">
            <v/>
          </cell>
          <cell r="F204" t="str">
            <v>0</v>
          </cell>
          <cell r="G204" t="str">
            <v>7</v>
          </cell>
          <cell r="H204" t="str">
            <v>D</v>
          </cell>
          <cell r="I204" t="str">
            <v>89</v>
          </cell>
          <cell r="J204" t="str">
            <v>56</v>
          </cell>
          <cell r="K204" t="str">
            <v/>
          </cell>
          <cell r="L204" t="str">
            <v>2000</v>
          </cell>
          <cell r="M204" t="str">
            <v/>
          </cell>
          <cell r="N204" t="str">
            <v>55,216</v>
          </cell>
          <cell r="O204" t="str">
            <v/>
          </cell>
          <cell r="P204" t="str">
            <v>199</v>
          </cell>
        </row>
        <row r="205">
          <cell r="A205" t="str">
            <v>e15</v>
          </cell>
          <cell r="B205" t="str">
            <v>2</v>
          </cell>
          <cell r="C205" t="str">
            <v/>
          </cell>
          <cell r="D205" t="str">
            <v>200</v>
          </cell>
          <cell r="E205" t="str">
            <v/>
          </cell>
          <cell r="F205" t="str">
            <v>0</v>
          </cell>
          <cell r="G205" t="str">
            <v>7</v>
          </cell>
          <cell r="H205" t="str">
            <v>D</v>
          </cell>
          <cell r="I205" t="str">
            <v>89</v>
          </cell>
          <cell r="J205" t="str">
            <v>33</v>
          </cell>
          <cell r="K205" t="str">
            <v/>
          </cell>
          <cell r="L205" t="str">
            <v>2000</v>
          </cell>
          <cell r="M205" t="str">
            <v/>
          </cell>
          <cell r="N205" t="str">
            <v>97,971</v>
          </cell>
          <cell r="O205" t="str">
            <v>Poste</v>
          </cell>
          <cell r="P205" t="str">
            <v>200</v>
          </cell>
        </row>
        <row r="206">
          <cell r="A206" t="str">
            <v>e15</v>
          </cell>
          <cell r="B206" t="str">
            <v>3</v>
          </cell>
          <cell r="C206" t="str">
            <v/>
          </cell>
          <cell r="D206" t="str">
            <v>200</v>
          </cell>
          <cell r="E206" t="str">
            <v/>
          </cell>
          <cell r="F206" t="str">
            <v>0</v>
          </cell>
          <cell r="G206" t="str">
            <v>7</v>
          </cell>
          <cell r="H206" t="str">
            <v>D</v>
          </cell>
          <cell r="I206" t="str">
            <v>89</v>
          </cell>
          <cell r="J206" t="str">
            <v>40</v>
          </cell>
          <cell r="K206" t="str">
            <v/>
          </cell>
          <cell r="L206" t="str">
            <v>2000</v>
          </cell>
          <cell r="M206" t="str">
            <v/>
          </cell>
          <cell r="N206" t="str">
            <v>145,182</v>
          </cell>
          <cell r="O206" t="str">
            <v/>
          </cell>
          <cell r="P206" t="str">
            <v>201</v>
          </cell>
        </row>
        <row r="207">
          <cell r="A207" t="str">
            <v>e15</v>
          </cell>
          <cell r="B207" t="str">
            <v>4</v>
          </cell>
          <cell r="C207" t="str">
            <v/>
          </cell>
          <cell r="D207" t="str">
            <v>200</v>
          </cell>
          <cell r="E207" t="str">
            <v/>
          </cell>
          <cell r="F207" t="str">
            <v>0</v>
          </cell>
          <cell r="G207" t="str">
            <v>7</v>
          </cell>
          <cell r="H207" t="str">
            <v>D</v>
          </cell>
          <cell r="I207" t="str">
            <v>89</v>
          </cell>
          <cell r="J207" t="str">
            <v>39</v>
          </cell>
          <cell r="K207" t="str">
            <v/>
          </cell>
          <cell r="L207" t="str">
            <v>2000</v>
          </cell>
          <cell r="M207" t="str">
            <v/>
          </cell>
          <cell r="N207" t="str">
            <v>179,396</v>
          </cell>
          <cell r="O207" t="str">
            <v/>
          </cell>
          <cell r="P207" t="str">
            <v>202</v>
          </cell>
        </row>
        <row r="208">
          <cell r="A208" t="str">
            <v>e15</v>
          </cell>
          <cell r="B208" t="str">
            <v>5</v>
          </cell>
          <cell r="C208" t="str">
            <v/>
          </cell>
          <cell r="D208" t="str">
            <v>200</v>
          </cell>
          <cell r="E208" t="str">
            <v/>
          </cell>
          <cell r="F208" t="str">
            <v>0</v>
          </cell>
          <cell r="G208" t="str">
            <v>7</v>
          </cell>
          <cell r="H208" t="str">
            <v>D</v>
          </cell>
          <cell r="I208" t="str">
            <v>89</v>
          </cell>
          <cell r="J208" t="str">
            <v>23</v>
          </cell>
          <cell r="K208" t="str">
            <v/>
          </cell>
          <cell r="L208" t="str">
            <v>2000</v>
          </cell>
          <cell r="M208" t="str">
            <v/>
          </cell>
          <cell r="N208" t="str">
            <v>200,998</v>
          </cell>
          <cell r="O208" t="str">
            <v>Poste</v>
          </cell>
          <cell r="P208" t="str">
            <v>203</v>
          </cell>
        </row>
        <row r="209">
          <cell r="A209" t="str">
            <v>e15</v>
          </cell>
          <cell r="B209" t="str">
            <v>6</v>
          </cell>
          <cell r="C209" t="str">
            <v/>
          </cell>
          <cell r="D209" t="str">
            <v>200</v>
          </cell>
          <cell r="E209" t="str">
            <v/>
          </cell>
          <cell r="F209" t="str">
            <v>0</v>
          </cell>
          <cell r="G209" t="str">
            <v>7</v>
          </cell>
          <cell r="H209" t="str">
            <v>D</v>
          </cell>
          <cell r="I209" t="str">
            <v>89</v>
          </cell>
          <cell r="J209" t="str">
            <v>48</v>
          </cell>
          <cell r="K209" t="str">
            <v/>
          </cell>
          <cell r="L209" t="str">
            <v>2000</v>
          </cell>
          <cell r="M209" t="str">
            <v/>
          </cell>
          <cell r="N209" t="str">
            <v>242,279</v>
          </cell>
          <cell r="O209" t="str">
            <v/>
          </cell>
          <cell r="P209" t="str">
            <v>204</v>
          </cell>
        </row>
        <row r="210">
          <cell r="A210" t="str">
            <v>e15</v>
          </cell>
          <cell r="B210" t="str">
            <v>7</v>
          </cell>
          <cell r="C210" t="str">
            <v/>
          </cell>
          <cell r="D210" t="str">
            <v>200</v>
          </cell>
          <cell r="E210" t="str">
            <v/>
          </cell>
          <cell r="F210" t="str">
            <v>0</v>
          </cell>
          <cell r="G210" t="str">
            <v>7</v>
          </cell>
          <cell r="H210" t="str">
            <v>D</v>
          </cell>
          <cell r="I210" t="str">
            <v>89</v>
          </cell>
          <cell r="J210" t="str">
            <v>52</v>
          </cell>
          <cell r="K210" t="str">
            <v/>
          </cell>
          <cell r="L210" t="str">
            <v>2000</v>
          </cell>
          <cell r="M210" t="str">
            <v/>
          </cell>
          <cell r="N210" t="str">
            <v>278,809</v>
          </cell>
          <cell r="O210" t="str">
            <v/>
          </cell>
          <cell r="P210" t="str">
            <v>205</v>
          </cell>
        </row>
        <row r="211">
          <cell r="A211" t="str">
            <v>e15</v>
          </cell>
          <cell r="B211" t="str">
            <v>e16</v>
          </cell>
          <cell r="C211" t="str">
            <v/>
          </cell>
          <cell r="D211" t="str">
            <v>200</v>
          </cell>
          <cell r="E211" t="str">
            <v/>
          </cell>
          <cell r="F211" t="str">
            <v>0</v>
          </cell>
          <cell r="G211" t="str">
            <v>7</v>
          </cell>
          <cell r="H211" t="str">
            <v>D</v>
          </cell>
          <cell r="I211" t="str">
            <v>89</v>
          </cell>
          <cell r="J211" t="str">
            <v>54</v>
          </cell>
          <cell r="K211" t="str">
            <v/>
          </cell>
          <cell r="L211" t="str">
            <v>2000</v>
          </cell>
          <cell r="M211" t="str">
            <v/>
          </cell>
          <cell r="N211" t="str">
            <v>305,598</v>
          </cell>
          <cell r="O211" t="str">
            <v>Poste</v>
          </cell>
          <cell r="P211" t="str">
            <v>206</v>
          </cell>
        </row>
        <row r="212">
          <cell r="A212" t="str">
            <v>e16</v>
          </cell>
          <cell r="B212" t="str">
            <v>e15</v>
          </cell>
          <cell r="C212" t="str">
            <v/>
          </cell>
          <cell r="D212" t="str">
            <v>200</v>
          </cell>
          <cell r="E212" t="str">
            <v>20</v>
          </cell>
          <cell r="F212" t="str">
            <v>180</v>
          </cell>
          <cell r="G212" t="str">
            <v>0</v>
          </cell>
          <cell r="H212" t="str">
            <v>D</v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  <cell r="O212" t="str">
            <v>RÉ</v>
          </cell>
          <cell r="P212" t="str">
            <v>207</v>
          </cell>
        </row>
        <row r="213">
          <cell r="A213" t="str">
            <v>e16</v>
          </cell>
          <cell r="B213" t="str">
            <v>1</v>
          </cell>
          <cell r="C213" t="str">
            <v/>
          </cell>
          <cell r="D213" t="str">
            <v>200</v>
          </cell>
          <cell r="E213" t="str">
            <v/>
          </cell>
          <cell r="F213" t="str">
            <v>0</v>
          </cell>
          <cell r="G213" t="str">
            <v>1</v>
          </cell>
          <cell r="H213" t="str">
            <v>D</v>
          </cell>
          <cell r="I213" t="str">
            <v>90</v>
          </cell>
          <cell r="J213" t="str">
            <v>57</v>
          </cell>
          <cell r="K213" t="str">
            <v/>
          </cell>
          <cell r="L213" t="str">
            <v>2000</v>
          </cell>
          <cell r="M213" t="str">
            <v/>
          </cell>
          <cell r="N213" t="str">
            <v>44,441</v>
          </cell>
          <cell r="O213" t="str">
            <v/>
          </cell>
          <cell r="P213" t="str">
            <v>208</v>
          </cell>
        </row>
        <row r="214">
          <cell r="A214" t="str">
            <v>e16</v>
          </cell>
          <cell r="B214" t="str">
            <v>2</v>
          </cell>
          <cell r="C214" t="str">
            <v/>
          </cell>
          <cell r="D214" t="str">
            <v>200</v>
          </cell>
          <cell r="E214" t="str">
            <v/>
          </cell>
          <cell r="F214" t="str">
            <v>0</v>
          </cell>
          <cell r="G214" t="str">
            <v>1</v>
          </cell>
          <cell r="H214" t="str">
            <v>D</v>
          </cell>
          <cell r="I214" t="str">
            <v>90</v>
          </cell>
          <cell r="J214" t="str">
            <v>37</v>
          </cell>
          <cell r="K214" t="str">
            <v/>
          </cell>
          <cell r="L214" t="str">
            <v>2000</v>
          </cell>
          <cell r="M214" t="str">
            <v/>
          </cell>
          <cell r="N214" t="str">
            <v>96,061</v>
          </cell>
          <cell r="O214" t="str">
            <v>Poste brt</v>
          </cell>
          <cell r="P214" t="str">
            <v>209</v>
          </cell>
        </row>
        <row r="215">
          <cell r="A215" t="str">
            <v>e16</v>
          </cell>
          <cell r="B215" t="str">
            <v>3</v>
          </cell>
          <cell r="C215" t="str">
            <v/>
          </cell>
          <cell r="D215" t="str">
            <v>200</v>
          </cell>
          <cell r="E215" t="str">
            <v/>
          </cell>
          <cell r="F215" t="str">
            <v>0</v>
          </cell>
          <cell r="G215" t="str">
            <v>1</v>
          </cell>
          <cell r="H215" t="str">
            <v>D</v>
          </cell>
          <cell r="I215" t="str">
            <v>90</v>
          </cell>
          <cell r="J215" t="str">
            <v>47</v>
          </cell>
          <cell r="K215" t="str">
            <v/>
          </cell>
          <cell r="L215" t="str">
            <v>2000</v>
          </cell>
          <cell r="M215" t="str">
            <v/>
          </cell>
          <cell r="N215" t="str">
            <v>141,323</v>
          </cell>
          <cell r="O215" t="str">
            <v/>
          </cell>
          <cell r="P215" t="str">
            <v>210</v>
          </cell>
        </row>
        <row r="216">
          <cell r="A216" t="str">
            <v>e16</v>
          </cell>
          <cell r="B216" t="str">
            <v>4</v>
          </cell>
          <cell r="C216" t="str">
            <v/>
          </cell>
          <cell r="D216" t="str">
            <v>200</v>
          </cell>
          <cell r="E216" t="str">
            <v/>
          </cell>
          <cell r="F216" t="str">
            <v>0</v>
          </cell>
          <cell r="G216" t="str">
            <v>1</v>
          </cell>
          <cell r="H216" t="str">
            <v>D</v>
          </cell>
          <cell r="I216" t="str">
            <v>90</v>
          </cell>
          <cell r="J216" t="str">
            <v>43</v>
          </cell>
          <cell r="K216" t="str">
            <v/>
          </cell>
          <cell r="L216" t="str">
            <v>2000</v>
          </cell>
          <cell r="M216" t="str">
            <v/>
          </cell>
          <cell r="N216" t="str">
            <v>166,658</v>
          </cell>
          <cell r="O216" t="str">
            <v/>
          </cell>
          <cell r="P216" t="str">
            <v>211</v>
          </cell>
        </row>
        <row r="217">
          <cell r="A217" t="str">
            <v>e16</v>
          </cell>
          <cell r="B217" t="str">
            <v>5</v>
          </cell>
          <cell r="C217" t="str">
            <v/>
          </cell>
          <cell r="D217" t="str">
            <v>200</v>
          </cell>
          <cell r="E217" t="str">
            <v/>
          </cell>
          <cell r="F217" t="str">
            <v>0</v>
          </cell>
          <cell r="G217" t="str">
            <v>1</v>
          </cell>
          <cell r="H217" t="str">
            <v>D</v>
          </cell>
          <cell r="I217" t="str">
            <v>90</v>
          </cell>
          <cell r="J217" t="str">
            <v>28</v>
          </cell>
          <cell r="K217" t="str">
            <v/>
          </cell>
          <cell r="L217" t="str">
            <v>2000</v>
          </cell>
          <cell r="M217" t="str">
            <v/>
          </cell>
          <cell r="N217" t="str">
            <v>196,061</v>
          </cell>
          <cell r="O217" t="str">
            <v>Poste</v>
          </cell>
          <cell r="P217" t="str">
            <v>212</v>
          </cell>
        </row>
        <row r="218">
          <cell r="A218" t="str">
            <v>e16</v>
          </cell>
          <cell r="B218" t="str">
            <v>6</v>
          </cell>
          <cell r="C218" t="str">
            <v/>
          </cell>
          <cell r="D218" t="str">
            <v>200</v>
          </cell>
          <cell r="E218" t="str">
            <v/>
          </cell>
          <cell r="F218" t="str">
            <v>0</v>
          </cell>
          <cell r="G218" t="str">
            <v>1</v>
          </cell>
          <cell r="H218" t="str">
            <v>D</v>
          </cell>
          <cell r="I218" t="str">
            <v>90</v>
          </cell>
          <cell r="J218" t="str">
            <v>41</v>
          </cell>
          <cell r="K218" t="str">
            <v/>
          </cell>
          <cell r="L218" t="str">
            <v>2000</v>
          </cell>
          <cell r="M218" t="str">
            <v/>
          </cell>
          <cell r="N218" t="str">
            <v>245,494</v>
          </cell>
          <cell r="O218" t="str">
            <v/>
          </cell>
          <cell r="P218" t="str">
            <v>213</v>
          </cell>
        </row>
        <row r="219">
          <cell r="A219" t="str">
            <v>e16</v>
          </cell>
          <cell r="B219" t="str">
            <v>7</v>
          </cell>
          <cell r="C219" t="str">
            <v/>
          </cell>
          <cell r="D219" t="str">
            <v>200</v>
          </cell>
          <cell r="E219" t="str">
            <v/>
          </cell>
          <cell r="F219" t="str">
            <v>0</v>
          </cell>
          <cell r="G219" t="str">
            <v>1</v>
          </cell>
          <cell r="H219" t="str">
            <v>D</v>
          </cell>
          <cell r="I219" t="str">
            <v>90</v>
          </cell>
          <cell r="J219" t="str">
            <v>36</v>
          </cell>
          <cell r="K219" t="str">
            <v/>
          </cell>
          <cell r="L219" t="str">
            <v>2000</v>
          </cell>
          <cell r="M219" t="str">
            <v/>
          </cell>
          <cell r="N219" t="str">
            <v>297,859</v>
          </cell>
          <cell r="O219" t="str">
            <v>Poste</v>
          </cell>
          <cell r="P219" t="str">
            <v>214</v>
          </cell>
        </row>
        <row r="220">
          <cell r="A220" t="str">
            <v>e16</v>
          </cell>
          <cell r="B220" t="str">
            <v>8</v>
          </cell>
          <cell r="C220" t="str">
            <v/>
          </cell>
          <cell r="D220" t="str">
            <v>200</v>
          </cell>
          <cell r="E220" t="str">
            <v/>
          </cell>
          <cell r="F220" t="str">
            <v>0</v>
          </cell>
          <cell r="G220" t="str">
            <v>1</v>
          </cell>
          <cell r="H220" t="str">
            <v>D</v>
          </cell>
          <cell r="I220" t="str">
            <v>90</v>
          </cell>
          <cell r="J220" t="str">
            <v>37</v>
          </cell>
          <cell r="K220" t="str">
            <v/>
          </cell>
          <cell r="L220" t="str">
            <v>2000</v>
          </cell>
          <cell r="M220" t="str">
            <v/>
          </cell>
          <cell r="N220" t="str">
            <v>308,958</v>
          </cell>
          <cell r="O220" t="str">
            <v xml:space="preserve">inicio estrada </v>
          </cell>
          <cell r="P220" t="str">
            <v>215</v>
          </cell>
        </row>
        <row r="221">
          <cell r="A221" t="str">
            <v>e16</v>
          </cell>
          <cell r="B221" t="str">
            <v>9</v>
          </cell>
          <cell r="C221" t="str">
            <v/>
          </cell>
          <cell r="D221" t="str">
            <v>200</v>
          </cell>
          <cell r="E221" t="str">
            <v/>
          </cell>
          <cell r="F221" t="str">
            <v>0</v>
          </cell>
          <cell r="G221" t="str">
            <v>1</v>
          </cell>
          <cell r="H221" t="str">
            <v>D</v>
          </cell>
          <cell r="I221" t="str">
            <v>90</v>
          </cell>
          <cell r="J221" t="str">
            <v>35</v>
          </cell>
          <cell r="K221" t="str">
            <v/>
          </cell>
          <cell r="L221" t="str">
            <v>2000</v>
          </cell>
          <cell r="M221" t="str">
            <v/>
          </cell>
          <cell r="N221" t="str">
            <v>314,891</v>
          </cell>
          <cell r="O221" t="str">
            <v>fim</v>
          </cell>
          <cell r="P221" t="str">
            <v>216</v>
          </cell>
        </row>
        <row r="222">
          <cell r="A222" t="str">
            <v>e16</v>
          </cell>
          <cell r="B222" t="str">
            <v>10</v>
          </cell>
          <cell r="C222" t="str">
            <v/>
          </cell>
          <cell r="D222" t="str">
            <v>200</v>
          </cell>
          <cell r="E222" t="str">
            <v/>
          </cell>
          <cell r="F222" t="str">
            <v>0</v>
          </cell>
          <cell r="G222" t="str">
            <v>1</v>
          </cell>
          <cell r="H222" t="str">
            <v>D</v>
          </cell>
          <cell r="I222" t="str">
            <v>90</v>
          </cell>
          <cell r="J222" t="str">
            <v>36</v>
          </cell>
          <cell r="K222" t="str">
            <v/>
          </cell>
          <cell r="L222" t="str">
            <v>2000</v>
          </cell>
          <cell r="M222" t="str">
            <v/>
          </cell>
          <cell r="N222" t="str">
            <v>354,126</v>
          </cell>
          <cell r="O222" t="str">
            <v/>
          </cell>
          <cell r="P222" t="str">
            <v>217</v>
          </cell>
        </row>
        <row r="223">
          <cell r="A223" t="str">
            <v>e16</v>
          </cell>
          <cell r="B223" t="str">
            <v>11</v>
          </cell>
          <cell r="C223" t="str">
            <v/>
          </cell>
          <cell r="D223" t="str">
            <v>200</v>
          </cell>
          <cell r="E223" t="str">
            <v/>
          </cell>
          <cell r="F223" t="str">
            <v>0</v>
          </cell>
          <cell r="G223" t="str">
            <v>1</v>
          </cell>
          <cell r="H223" t="str">
            <v>D</v>
          </cell>
          <cell r="I223" t="str">
            <v>90</v>
          </cell>
          <cell r="J223" t="str">
            <v>27</v>
          </cell>
          <cell r="K223" t="str">
            <v/>
          </cell>
          <cell r="L223" t="str">
            <v>2000</v>
          </cell>
          <cell r="M223" t="str">
            <v/>
          </cell>
          <cell r="N223" t="str">
            <v>394,479</v>
          </cell>
          <cell r="O223" t="str">
            <v>Poste</v>
          </cell>
          <cell r="P223" t="str">
            <v>218</v>
          </cell>
        </row>
        <row r="224">
          <cell r="A224" t="str">
            <v>e16</v>
          </cell>
          <cell r="B224" t="str">
            <v>12</v>
          </cell>
          <cell r="C224" t="str">
            <v/>
          </cell>
          <cell r="D224" t="str">
            <v>200</v>
          </cell>
          <cell r="E224" t="str">
            <v/>
          </cell>
          <cell r="F224" t="str">
            <v>0</v>
          </cell>
          <cell r="G224" t="str">
            <v>1</v>
          </cell>
          <cell r="H224" t="str">
            <v>D</v>
          </cell>
          <cell r="I224" t="str">
            <v>90</v>
          </cell>
          <cell r="J224" t="str">
            <v>36</v>
          </cell>
          <cell r="K224" t="str">
            <v/>
          </cell>
          <cell r="L224" t="str">
            <v>2000</v>
          </cell>
          <cell r="M224" t="str">
            <v/>
          </cell>
          <cell r="N224" t="str">
            <v>471,97</v>
          </cell>
          <cell r="O224" t="str">
            <v xml:space="preserve">poste religador </v>
          </cell>
          <cell r="P224" t="str">
            <v>219</v>
          </cell>
        </row>
        <row r="225">
          <cell r="A225" t="str">
            <v>e16</v>
          </cell>
          <cell r="B225" t="str">
            <v>13</v>
          </cell>
          <cell r="C225" t="str">
            <v/>
          </cell>
          <cell r="D225" t="str">
            <v>200</v>
          </cell>
          <cell r="E225" t="str">
            <v/>
          </cell>
          <cell r="F225" t="str">
            <v>0</v>
          </cell>
          <cell r="G225" t="str">
            <v>1</v>
          </cell>
          <cell r="H225" t="str">
            <v>D</v>
          </cell>
          <cell r="I225" t="str">
            <v>90</v>
          </cell>
          <cell r="J225" t="str">
            <v>36</v>
          </cell>
          <cell r="K225" t="str">
            <v/>
          </cell>
          <cell r="L225" t="str">
            <v>2000</v>
          </cell>
          <cell r="M225" t="str">
            <v/>
          </cell>
          <cell r="N225" t="str">
            <v>475,484</v>
          </cell>
          <cell r="O225" t="str">
            <v xml:space="preserve">inicio estrada </v>
          </cell>
          <cell r="P225" t="str">
            <v>220</v>
          </cell>
        </row>
        <row r="226">
          <cell r="A226" t="str">
            <v>e16</v>
          </cell>
          <cell r="B226" t="str">
            <v>14</v>
          </cell>
          <cell r="C226" t="str">
            <v/>
          </cell>
          <cell r="D226" t="str">
            <v>200</v>
          </cell>
          <cell r="E226" t="str">
            <v/>
          </cell>
          <cell r="F226" t="str">
            <v>0</v>
          </cell>
          <cell r="G226" t="str">
            <v>1</v>
          </cell>
          <cell r="H226" t="str">
            <v>D</v>
          </cell>
          <cell r="I226" t="str">
            <v>90</v>
          </cell>
          <cell r="J226" t="str">
            <v>32</v>
          </cell>
          <cell r="K226" t="str">
            <v/>
          </cell>
          <cell r="L226" t="str">
            <v>2000</v>
          </cell>
          <cell r="M226" t="str">
            <v/>
          </cell>
          <cell r="N226" t="str">
            <v>483,132</v>
          </cell>
          <cell r="O226" t="str">
            <v>fim</v>
          </cell>
          <cell r="P226" t="str">
            <v>221</v>
          </cell>
        </row>
        <row r="227">
          <cell r="A227" t="str">
            <v>e16</v>
          </cell>
          <cell r="B227" t="str">
            <v>15</v>
          </cell>
          <cell r="C227" t="str">
            <v/>
          </cell>
          <cell r="D227" t="str">
            <v>200</v>
          </cell>
          <cell r="E227" t="str">
            <v/>
          </cell>
          <cell r="F227" t="str">
            <v>0</v>
          </cell>
          <cell r="G227" t="str">
            <v>1</v>
          </cell>
          <cell r="H227" t="str">
            <v>D</v>
          </cell>
          <cell r="I227" t="str">
            <v>90</v>
          </cell>
          <cell r="J227" t="str">
            <v>36</v>
          </cell>
          <cell r="K227" t="str">
            <v/>
          </cell>
          <cell r="L227" t="str">
            <v>2000</v>
          </cell>
          <cell r="M227" t="str">
            <v/>
          </cell>
          <cell r="N227" t="str">
            <v>486,049</v>
          </cell>
          <cell r="O227" t="str">
            <v>5 fl</v>
          </cell>
          <cell r="P227" t="str">
            <v>222</v>
          </cell>
        </row>
        <row r="228">
          <cell r="A228" t="str">
            <v>e16</v>
          </cell>
          <cell r="B228" t="str">
            <v>16</v>
          </cell>
          <cell r="C228" t="str">
            <v/>
          </cell>
          <cell r="D228" t="str">
            <v>200</v>
          </cell>
          <cell r="E228" t="str">
            <v/>
          </cell>
          <cell r="F228" t="str">
            <v>0</v>
          </cell>
          <cell r="G228" t="str">
            <v>1</v>
          </cell>
          <cell r="H228" t="str">
            <v>D</v>
          </cell>
          <cell r="I228" t="str">
            <v>90</v>
          </cell>
          <cell r="J228" t="str">
            <v>35</v>
          </cell>
          <cell r="K228" t="str">
            <v/>
          </cell>
          <cell r="L228" t="str">
            <v>2000</v>
          </cell>
          <cell r="M228" t="str">
            <v/>
          </cell>
          <cell r="N228" t="str">
            <v>491,46</v>
          </cell>
          <cell r="O228" t="str">
            <v>Poste</v>
          </cell>
          <cell r="P228" t="str">
            <v>223</v>
          </cell>
        </row>
      </sheetData>
      <sheetData sheetId="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41EF226-D4C2-4481-9044-AB5ADA90EE8B}" autoFormatId="16" applyNumberFormats="0" applyBorderFormats="0" applyFontFormats="0" applyPatternFormats="0" applyAlignmentFormats="0" applyWidthHeightFormats="0">
  <queryTableRefresh nextId="22">
    <queryTableFields count="16">
      <queryTableField id="1" name="ESTAÇÃO" tableColumnId="1"/>
      <queryTableField id="2" name="VISADA" tableColumnId="2"/>
      <queryTableField id="18" name="CVN" tableColumnId="18"/>
      <queryTableField id="4" name="ALTURA APARELHO (cm)" tableColumnId="4"/>
      <queryTableField id="19" name="CAN" tableColumnId="19"/>
      <queryTableField id="6" name="ÂNGULO" tableColumnId="6"/>
      <queryTableField id="7" name="MINUTO" tableColumnId="7"/>
      <queryTableField id="8" name="S" tableColumnId="8"/>
      <queryTableField id="9" name="ÂNGULO2" tableColumnId="9"/>
      <queryTableField id="10" name="MINUTO3" tableColumnId="10"/>
      <queryTableField id="11" name="FIO INFERIOR" tableColumnId="11"/>
      <queryTableField id="12" name="FIO MÉDIO" tableColumnId="12"/>
      <queryTableField id="13" name="FIO SUPERIOR" tableColumnId="13"/>
      <queryTableField id="14" name="DISTÂNCIA ESTADIMÉTRICA" tableColumnId="14"/>
      <queryTableField id="15" name="OBSERVAÇÃO" tableColumnId="15"/>
      <queryTableField id="16" name="N° LEITURA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E50BE9-7682-4587-9140-C8BB5863844F}" name="Tabela4_1" displayName="Tabela4_1" ref="A1:P502" tableType="queryTable" totalsRowShown="0">
  <autoFilter ref="A1:P502" xr:uid="{ECE50BE9-7682-4587-9140-C8BB5863844F}"/>
  <tableColumns count="16">
    <tableColumn id="1" xr3:uid="{E4974AD4-FC94-4469-97D3-15F4354C09B8}" uniqueName="1" name="ESTAÇÃO" queryTableFieldId="1" dataDxfId="26"/>
    <tableColumn id="2" xr3:uid="{94F26850-1674-4A79-85E2-FE2F3F11605E}" uniqueName="2" name="VISADA" queryTableFieldId="2" dataDxfId="25"/>
    <tableColumn id="18" xr3:uid="{694FC46B-5C25-4A0B-8B52-9D58241D44F7}" uniqueName="18" name="CVN" queryTableFieldId="18"/>
    <tableColumn id="4" xr3:uid="{DDE406DF-85A1-47D4-9C84-007B28BD5580}" uniqueName="4" name="ALTURA APARELHO (cm)" queryTableFieldId="4"/>
    <tableColumn id="19" xr3:uid="{3CD84811-316B-43EB-B3C0-9A2A2F45818C}" uniqueName="19" name="CAN" queryTableFieldId="19"/>
    <tableColumn id="6" xr3:uid="{FE87AB50-8573-4DCD-B927-E3072CE72A29}" uniqueName="6" name="ÂNGULO" queryTableFieldId="6"/>
    <tableColumn id="7" xr3:uid="{A1BD82D5-0838-4032-8F50-F3EAE3648CF0}" uniqueName="7" name="MINUTO" queryTableFieldId="7"/>
    <tableColumn id="8" xr3:uid="{A43E9053-1337-421E-AA95-1B64AA977DCF}" uniqueName="8" name="S" queryTableFieldId="8" dataDxfId="24"/>
    <tableColumn id="9" xr3:uid="{73059615-6BA7-4B95-95A0-6E86F8049BA9}" uniqueName="9" name="ÂNGULO2" queryTableFieldId="9"/>
    <tableColumn id="10" xr3:uid="{2F51A34A-4E5A-4405-A17A-170EAD16CE95}" uniqueName="10" name="MINUTO3" queryTableFieldId="10"/>
    <tableColumn id="11" xr3:uid="{C3D825E9-6EA0-4288-A936-9BD2491F50F1}" uniqueName="11" name="FIO INFERIOR" queryTableFieldId="11"/>
    <tableColumn id="12" xr3:uid="{85A4BA89-8CC8-4337-9CBF-A7BBBF90AD95}" uniqueName="12" name="FIO MÉDIO" queryTableFieldId="12"/>
    <tableColumn id="13" xr3:uid="{1B4B6A33-B808-438D-9CD2-5E6397CC66D3}" uniqueName="13" name="FIO SUPERIOR" queryTableFieldId="13"/>
    <tableColumn id="14" xr3:uid="{EADFB95D-1FDF-4C45-B243-6682A7A412EA}" uniqueName="14" name="DISTÂNCIA ESTADIMÉTRICA" queryTableFieldId="14"/>
    <tableColumn id="15" xr3:uid="{363E262A-2F31-4D1B-AD01-4319054CD02F}" uniqueName="15" name="OBSERVAÇÃO" queryTableFieldId="15" dataDxfId="23"/>
    <tableColumn id="16" xr3:uid="{5222DDBA-9F5D-4E08-9BB6-505D5E4E41DF}" uniqueName="16" name="N° LEITURA" queryTableField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EA5FA0-BA95-4291-937F-7FCC41DB907C}" name="Tabela4" displayName="Tabela4" ref="A5:P506" totalsRowShown="0" headerRowDxfId="22">
  <autoFilter ref="A5:P506" xr:uid="{5FEA5FA0-BA95-4291-937F-7FCC41DB907C}"/>
  <tableColumns count="16">
    <tableColumn id="1" xr3:uid="{BF910C91-88B8-4329-A791-013E53DA5220}" name="ESTAÇÃO">
      <calculatedColumnFormula>IF([1]Sheet1!A42="","",[1]Sheet1!A42)</calculatedColumnFormula>
    </tableColumn>
    <tableColumn id="2" xr3:uid="{6E7A1087-DD5C-4963-B16D-1093B8E069E0}" name="VISADA">
      <calculatedColumnFormula>IF([1]Sheet1!B42="","",[1]Sheet1!B42)</calculatedColumnFormula>
    </tableColumn>
    <tableColumn id="3" xr3:uid="{2CF62D43-8828-418E-BFFB-5F79C419C083}" name="CV">
      <calculatedColumnFormula>IF([1]Sheet1!C42="","",[1]Sheet1!C42)</calculatedColumnFormula>
    </tableColumn>
    <tableColumn id="4" xr3:uid="{DB372D9A-9260-4F1D-AEED-BFAB9C9340B9}" name="ALTURA APARELHO (cm)">
      <calculatedColumnFormula>IF([1]Sheet1!D42="","",[1]Sheet1!D42)</calculatedColumnFormula>
    </tableColumn>
    <tableColumn id="5" xr3:uid="{D80ABA73-68B3-49EA-AFC2-D33F6F41883E}" name="CA">
      <calculatedColumnFormula>IF([1]Sheet1!E42="","",[1]Sheet1!E42)</calculatedColumnFormula>
    </tableColumn>
    <tableColumn id="6" xr3:uid="{785E725D-C2D5-484E-8530-D9D93922DB3B}" name="ÂNGULO">
      <calculatedColumnFormula>IF([1]Sheet1!F42="","",[1]Sheet1!F42)</calculatedColumnFormula>
    </tableColumn>
    <tableColumn id="7" xr3:uid="{7D285D27-F140-4ECD-B2BA-82541C9EC372}" name="MINUTO">
      <calculatedColumnFormula>IF([1]Sheet1!G42="","",[1]Sheet1!G42)</calculatedColumnFormula>
    </tableColumn>
    <tableColumn id="8" xr3:uid="{3B7481C9-109D-4D66-83E1-B40853E19F84}" name="S">
      <calculatedColumnFormula>IF([1]Sheet1!H42="","",[1]Sheet1!H42)</calculatedColumnFormula>
    </tableColumn>
    <tableColumn id="9" xr3:uid="{945C70DA-7FFA-4010-9BF1-3CA832D91B25}" name="ÂNGULO2">
      <calculatedColumnFormula>IF([1]Sheet1!I42="","",[1]Sheet1!I42)</calculatedColumnFormula>
    </tableColumn>
    <tableColumn id="10" xr3:uid="{B17F2FA7-6CB6-43BD-B670-F5BCE6A714C6}" name="MINUTO3">
      <calculatedColumnFormula>IF([1]Sheet1!J42="","",[1]Sheet1!J42)</calculatedColumnFormula>
    </tableColumn>
    <tableColumn id="11" xr3:uid="{19C7CACD-9280-4093-8BDB-5E3D76AD5F86}" name="FIO INFERIOR">
      <calculatedColumnFormula>IF([1]Sheet1!K42="","",[1]Sheet1!K42)</calculatedColumnFormula>
    </tableColumn>
    <tableColumn id="12" xr3:uid="{319354CD-A5BE-4227-B0C6-D61E07C561A8}" name="FIO MÉDIO">
      <calculatedColumnFormula>IF([1]Sheet1!L42="","",[1]Sheet1!L42)</calculatedColumnFormula>
    </tableColumn>
    <tableColumn id="13" xr3:uid="{404DEC5E-5005-44BF-8101-E45B6B0FE6E0}" name="FIO SUPERIOR">
      <calculatedColumnFormula>IF([1]Sheet1!M42="","",[1]Sheet1!M42)</calculatedColumnFormula>
    </tableColumn>
    <tableColumn id="14" xr3:uid="{1E18D226-AB6C-4F04-8714-5BD50EB49415}" name="DISTÂNCIA ESTADIMÉTRICA">
      <calculatedColumnFormula>IF([1]Sheet1!N42="","",[1]Sheet1!N42)</calculatedColumnFormula>
    </tableColumn>
    <tableColumn id="15" xr3:uid="{6E2357C4-4821-4CD3-AAE8-678EE7478E1D}" name="OBSERVAÇÃO">
      <calculatedColumnFormula>IF([1]Sheet1!O42="","",[1]Sheet1!O42)</calculatedColumnFormula>
    </tableColumn>
    <tableColumn id="16" xr3:uid="{E6B4634E-F5DF-45AC-8D6A-ADC2F1F7B720}" name="N° LEITURA">
      <calculatedColumnFormula>IF([1]Sheet1!P42="","",[1]Sheet1!P42)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7CAA6-FE2E-4C37-805F-C1581AC91968}">
  <sheetPr codeName="Planilha2"/>
  <dimension ref="A1:P502"/>
  <sheetViews>
    <sheetView topLeftCell="A4" workbookViewId="0">
      <selection activeCell="D11" sqref="D11"/>
    </sheetView>
  </sheetViews>
  <sheetFormatPr defaultRowHeight="15" x14ac:dyDescent="0.25"/>
  <cols>
    <col min="1" max="1" width="11.42578125" bestFit="1" customWidth="1"/>
    <col min="2" max="2" width="10" bestFit="1" customWidth="1"/>
    <col min="3" max="3" width="7.140625" bestFit="1" customWidth="1"/>
    <col min="4" max="4" width="25" bestFit="1" customWidth="1"/>
    <col min="5" max="5" width="7.140625" bestFit="1" customWidth="1"/>
    <col min="6" max="6" width="11.140625" bestFit="1" customWidth="1"/>
    <col min="7" max="7" width="11" bestFit="1" customWidth="1"/>
    <col min="8" max="8" width="4.28515625" bestFit="1" customWidth="1"/>
    <col min="9" max="9" width="12.140625" bestFit="1" customWidth="1"/>
    <col min="10" max="10" width="12" bestFit="1" customWidth="1"/>
    <col min="11" max="11" width="15" bestFit="1" customWidth="1"/>
    <col min="12" max="12" width="12.85546875" bestFit="1" customWidth="1"/>
    <col min="13" max="13" width="15.7109375" bestFit="1" customWidth="1"/>
    <col min="14" max="14" width="28" bestFit="1" customWidth="1"/>
    <col min="15" max="15" width="16.140625" bestFit="1" customWidth="1"/>
    <col min="16" max="16" width="13.140625" bestFit="1" customWidth="1"/>
    <col min="17" max="17" width="15.5703125" bestFit="1" customWidth="1"/>
    <col min="18" max="18" width="13.140625" bestFit="1" customWidth="1"/>
    <col min="19" max="19" width="5.85546875" bestFit="1" customWidth="1"/>
  </cols>
  <sheetData>
    <row r="1" spans="1:16" x14ac:dyDescent="0.25">
      <c r="A1" t="s">
        <v>27</v>
      </c>
      <c r="B1" t="s">
        <v>91</v>
      </c>
      <c r="C1" t="s">
        <v>104</v>
      </c>
      <c r="D1" t="s">
        <v>93</v>
      </c>
      <c r="E1" t="s">
        <v>105</v>
      </c>
      <c r="F1" t="s">
        <v>31</v>
      </c>
      <c r="G1" t="s">
        <v>32</v>
      </c>
      <c r="H1" t="s">
        <v>58</v>
      </c>
      <c r="I1" t="s">
        <v>100</v>
      </c>
      <c r="J1" t="s">
        <v>101</v>
      </c>
      <c r="K1" t="s">
        <v>34</v>
      </c>
      <c r="L1" t="s">
        <v>35</v>
      </c>
      <c r="M1" t="s">
        <v>36</v>
      </c>
      <c r="N1" t="s">
        <v>97</v>
      </c>
      <c r="O1" t="s">
        <v>98</v>
      </c>
      <c r="P1" t="s">
        <v>99</v>
      </c>
    </row>
    <row r="2" spans="1:16" x14ac:dyDescent="0.25">
      <c r="A2" t="s">
        <v>110</v>
      </c>
      <c r="B2" t="s">
        <v>111</v>
      </c>
      <c r="C2">
        <v>0</v>
      </c>
      <c r="D2">
        <v>200</v>
      </c>
      <c r="E2">
        <v>5</v>
      </c>
      <c r="F2">
        <v>0</v>
      </c>
      <c r="G2">
        <v>10</v>
      </c>
      <c r="H2" t="s">
        <v>75</v>
      </c>
      <c r="I2">
        <v>91</v>
      </c>
      <c r="J2">
        <v>3</v>
      </c>
      <c r="K2" t="s">
        <v>102</v>
      </c>
      <c r="L2">
        <v>2000</v>
      </c>
      <c r="M2" t="s">
        <v>102</v>
      </c>
      <c r="N2">
        <v>197.982</v>
      </c>
      <c r="O2" t="s">
        <v>112</v>
      </c>
      <c r="P2">
        <v>37</v>
      </c>
    </row>
    <row r="3" spans="1:16" x14ac:dyDescent="0.25">
      <c r="A3" t="s">
        <v>110</v>
      </c>
      <c r="B3" t="s">
        <v>113</v>
      </c>
      <c r="C3">
        <v>0</v>
      </c>
      <c r="D3">
        <v>200</v>
      </c>
      <c r="E3">
        <v>0</v>
      </c>
      <c r="F3">
        <v>0</v>
      </c>
      <c r="G3">
        <v>10</v>
      </c>
      <c r="H3" t="s">
        <v>75</v>
      </c>
      <c r="I3">
        <v>91</v>
      </c>
      <c r="J3">
        <v>3</v>
      </c>
      <c r="K3" t="s">
        <v>102</v>
      </c>
      <c r="L3">
        <v>2000</v>
      </c>
      <c r="M3" t="s">
        <v>102</v>
      </c>
      <c r="N3">
        <v>252.35499999999999</v>
      </c>
      <c r="O3" t="s">
        <v>102</v>
      </c>
      <c r="P3">
        <v>38</v>
      </c>
    </row>
    <row r="4" spans="1:16" x14ac:dyDescent="0.25">
      <c r="A4" t="s">
        <v>110</v>
      </c>
      <c r="B4" t="s">
        <v>114</v>
      </c>
      <c r="C4">
        <v>0</v>
      </c>
      <c r="D4">
        <v>200</v>
      </c>
      <c r="E4">
        <v>5</v>
      </c>
      <c r="F4">
        <v>0</v>
      </c>
      <c r="G4">
        <v>10</v>
      </c>
      <c r="H4" t="s">
        <v>75</v>
      </c>
      <c r="I4">
        <v>90</v>
      </c>
      <c r="J4">
        <v>45</v>
      </c>
      <c r="K4" t="s">
        <v>102</v>
      </c>
      <c r="L4">
        <v>2000</v>
      </c>
      <c r="M4" t="s">
        <v>102</v>
      </c>
      <c r="N4">
        <v>295.30900000000003</v>
      </c>
      <c r="O4" t="s">
        <v>115</v>
      </c>
      <c r="P4">
        <v>39</v>
      </c>
    </row>
    <row r="5" spans="1:16" x14ac:dyDescent="0.25">
      <c r="A5" t="s">
        <v>110</v>
      </c>
      <c r="B5" t="s">
        <v>116</v>
      </c>
      <c r="C5">
        <v>0</v>
      </c>
      <c r="D5">
        <v>200</v>
      </c>
      <c r="E5">
        <v>5</v>
      </c>
      <c r="F5">
        <v>0</v>
      </c>
      <c r="G5">
        <v>10</v>
      </c>
      <c r="H5" t="s">
        <v>75</v>
      </c>
      <c r="I5">
        <v>90</v>
      </c>
      <c r="J5">
        <v>42</v>
      </c>
      <c r="K5" t="s">
        <v>102</v>
      </c>
      <c r="L5">
        <v>2000</v>
      </c>
      <c r="M5" t="s">
        <v>102</v>
      </c>
      <c r="N5">
        <v>298.47199999999998</v>
      </c>
      <c r="O5" t="s">
        <v>112</v>
      </c>
      <c r="P5">
        <v>40</v>
      </c>
    </row>
    <row r="6" spans="1:16" x14ac:dyDescent="0.25">
      <c r="A6" t="s">
        <v>110</v>
      </c>
      <c r="B6" t="s">
        <v>117</v>
      </c>
      <c r="C6">
        <v>0</v>
      </c>
      <c r="D6">
        <v>200</v>
      </c>
      <c r="E6">
        <v>5</v>
      </c>
      <c r="F6">
        <v>0</v>
      </c>
      <c r="G6">
        <v>10</v>
      </c>
      <c r="H6" t="s">
        <v>75</v>
      </c>
      <c r="I6">
        <v>90</v>
      </c>
      <c r="J6">
        <v>44</v>
      </c>
      <c r="K6" t="s">
        <v>102</v>
      </c>
      <c r="L6">
        <v>2000</v>
      </c>
      <c r="M6" t="s">
        <v>102</v>
      </c>
      <c r="N6">
        <v>301.25700000000001</v>
      </c>
      <c r="O6" t="s">
        <v>118</v>
      </c>
      <c r="P6">
        <v>41</v>
      </c>
    </row>
    <row r="7" spans="1:16" x14ac:dyDescent="0.25">
      <c r="A7" t="s">
        <v>110</v>
      </c>
      <c r="B7" t="s">
        <v>119</v>
      </c>
      <c r="C7">
        <v>0</v>
      </c>
      <c r="D7">
        <v>200</v>
      </c>
      <c r="E7">
        <v>5</v>
      </c>
      <c r="F7">
        <v>0</v>
      </c>
      <c r="G7">
        <v>10</v>
      </c>
      <c r="H7" t="s">
        <v>75</v>
      </c>
      <c r="I7">
        <v>90</v>
      </c>
      <c r="J7">
        <v>34</v>
      </c>
      <c r="K7" t="s">
        <v>102</v>
      </c>
      <c r="L7">
        <v>2000</v>
      </c>
      <c r="M7" t="s">
        <v>102</v>
      </c>
      <c r="N7">
        <v>315.97300000000001</v>
      </c>
      <c r="O7" t="s">
        <v>120</v>
      </c>
      <c r="P7">
        <v>42</v>
      </c>
    </row>
    <row r="8" spans="1:16" x14ac:dyDescent="0.25">
      <c r="A8" t="s">
        <v>110</v>
      </c>
      <c r="B8" t="s">
        <v>121</v>
      </c>
      <c r="C8">
        <v>0</v>
      </c>
      <c r="D8">
        <v>200</v>
      </c>
      <c r="E8">
        <v>5</v>
      </c>
      <c r="F8">
        <v>0</v>
      </c>
      <c r="G8">
        <v>10</v>
      </c>
      <c r="H8" t="s">
        <v>75</v>
      </c>
      <c r="I8">
        <v>90</v>
      </c>
      <c r="J8">
        <v>31</v>
      </c>
      <c r="K8" t="s">
        <v>102</v>
      </c>
      <c r="L8">
        <v>2000</v>
      </c>
      <c r="M8" t="s">
        <v>102</v>
      </c>
      <c r="N8">
        <v>322.25799999999998</v>
      </c>
      <c r="O8" t="s">
        <v>122</v>
      </c>
      <c r="P8">
        <v>43</v>
      </c>
    </row>
    <row r="9" spans="1:16" x14ac:dyDescent="0.25">
      <c r="A9" t="s">
        <v>110</v>
      </c>
      <c r="B9" t="s">
        <v>123</v>
      </c>
      <c r="C9">
        <v>0</v>
      </c>
      <c r="D9">
        <v>200</v>
      </c>
      <c r="E9">
        <v>0</v>
      </c>
      <c r="F9">
        <v>0</v>
      </c>
      <c r="G9">
        <v>10</v>
      </c>
      <c r="H9" t="s">
        <v>75</v>
      </c>
      <c r="I9">
        <v>90</v>
      </c>
      <c r="J9">
        <v>35</v>
      </c>
      <c r="K9" t="s">
        <v>102</v>
      </c>
      <c r="L9">
        <v>2000</v>
      </c>
      <c r="M9" t="s">
        <v>102</v>
      </c>
      <c r="N9">
        <v>347.61200000000002</v>
      </c>
      <c r="O9" t="s">
        <v>102</v>
      </c>
      <c r="P9">
        <v>44</v>
      </c>
    </row>
    <row r="10" spans="1:16" x14ac:dyDescent="0.25">
      <c r="A10" t="s">
        <v>110</v>
      </c>
      <c r="B10" t="s">
        <v>124</v>
      </c>
      <c r="C10">
        <v>0</v>
      </c>
      <c r="D10">
        <v>200</v>
      </c>
      <c r="E10">
        <v>0</v>
      </c>
      <c r="F10">
        <v>0</v>
      </c>
      <c r="G10">
        <v>10</v>
      </c>
      <c r="H10" t="s">
        <v>75</v>
      </c>
      <c r="I10">
        <v>90</v>
      </c>
      <c r="J10">
        <v>16</v>
      </c>
      <c r="K10" t="s">
        <v>102</v>
      </c>
      <c r="L10">
        <v>2000</v>
      </c>
      <c r="M10" t="s">
        <v>102</v>
      </c>
      <c r="N10">
        <v>372.75700000000001</v>
      </c>
      <c r="O10" t="s">
        <v>102</v>
      </c>
      <c r="P10">
        <v>45</v>
      </c>
    </row>
    <row r="11" spans="1:16" x14ac:dyDescent="0.25">
      <c r="A11" t="s">
        <v>110</v>
      </c>
      <c r="B11" t="s">
        <v>125</v>
      </c>
      <c r="C11">
        <v>0</v>
      </c>
      <c r="D11">
        <v>200</v>
      </c>
      <c r="E11">
        <v>5</v>
      </c>
      <c r="F11">
        <v>0</v>
      </c>
      <c r="G11">
        <v>10</v>
      </c>
      <c r="H11" t="s">
        <v>75</v>
      </c>
      <c r="I11">
        <v>90</v>
      </c>
      <c r="J11">
        <v>10</v>
      </c>
      <c r="K11" t="s">
        <v>102</v>
      </c>
      <c r="L11">
        <v>2000</v>
      </c>
      <c r="M11" t="s">
        <v>102</v>
      </c>
      <c r="N11">
        <v>401.85199999999998</v>
      </c>
      <c r="O11" t="s">
        <v>112</v>
      </c>
      <c r="P11">
        <v>46</v>
      </c>
    </row>
    <row r="12" spans="1:16" x14ac:dyDescent="0.25">
      <c r="A12" t="s">
        <v>110</v>
      </c>
      <c r="B12" t="s">
        <v>126</v>
      </c>
      <c r="C12">
        <v>0</v>
      </c>
      <c r="D12">
        <v>200</v>
      </c>
      <c r="E12">
        <v>0</v>
      </c>
      <c r="F12">
        <v>0</v>
      </c>
      <c r="G12">
        <v>10</v>
      </c>
      <c r="H12" t="s">
        <v>75</v>
      </c>
      <c r="I12">
        <v>90</v>
      </c>
      <c r="J12">
        <v>4</v>
      </c>
      <c r="K12" t="s">
        <v>102</v>
      </c>
      <c r="L12">
        <v>2000</v>
      </c>
      <c r="M12" t="s">
        <v>102</v>
      </c>
      <c r="N12">
        <v>444.92500000000001</v>
      </c>
      <c r="O12" t="s">
        <v>102</v>
      </c>
      <c r="P12">
        <v>47</v>
      </c>
    </row>
    <row r="13" spans="1:16" x14ac:dyDescent="0.25">
      <c r="A13" t="s">
        <v>110</v>
      </c>
      <c r="B13" t="s">
        <v>127</v>
      </c>
      <c r="C13">
        <v>1</v>
      </c>
      <c r="D13">
        <v>200</v>
      </c>
      <c r="E13">
        <v>8</v>
      </c>
      <c r="F13">
        <v>0</v>
      </c>
      <c r="G13">
        <v>10</v>
      </c>
      <c r="H13" t="s">
        <v>75</v>
      </c>
      <c r="I13">
        <v>89</v>
      </c>
      <c r="J13">
        <v>57</v>
      </c>
      <c r="K13" t="s">
        <v>102</v>
      </c>
      <c r="L13">
        <v>2000</v>
      </c>
      <c r="M13" t="s">
        <v>102</v>
      </c>
      <c r="N13">
        <v>500.12099999999998</v>
      </c>
      <c r="O13" t="s">
        <v>128</v>
      </c>
      <c r="P13">
        <v>48</v>
      </c>
    </row>
    <row r="14" spans="1:16" x14ac:dyDescent="0.25">
      <c r="A14" t="s">
        <v>127</v>
      </c>
      <c r="B14" t="s">
        <v>110</v>
      </c>
      <c r="C14">
        <v>2</v>
      </c>
      <c r="D14">
        <v>200</v>
      </c>
      <c r="E14">
        <v>20</v>
      </c>
      <c r="F14">
        <v>180</v>
      </c>
      <c r="G14">
        <v>0</v>
      </c>
      <c r="H14" t="s">
        <v>75</v>
      </c>
      <c r="K14" t="s">
        <v>102</v>
      </c>
      <c r="M14" t="s">
        <v>102</v>
      </c>
      <c r="O14" t="s">
        <v>103</v>
      </c>
      <c r="P14">
        <v>49</v>
      </c>
    </row>
    <row r="15" spans="1:16" x14ac:dyDescent="0.25">
      <c r="A15" t="s">
        <v>127</v>
      </c>
      <c r="B15" t="s">
        <v>129</v>
      </c>
      <c r="C15">
        <v>0</v>
      </c>
      <c r="D15">
        <v>200</v>
      </c>
      <c r="E15">
        <v>0</v>
      </c>
      <c r="F15">
        <v>0</v>
      </c>
      <c r="G15">
        <v>13</v>
      </c>
      <c r="H15" t="s">
        <v>75</v>
      </c>
      <c r="I15">
        <v>87</v>
      </c>
      <c r="J15">
        <v>27</v>
      </c>
      <c r="K15" t="s">
        <v>102</v>
      </c>
      <c r="L15">
        <v>2000</v>
      </c>
      <c r="M15" t="s">
        <v>102</v>
      </c>
      <c r="N15">
        <v>48.527999999999999</v>
      </c>
      <c r="O15" t="s">
        <v>102</v>
      </c>
      <c r="P15">
        <v>50</v>
      </c>
    </row>
    <row r="16" spans="1:16" x14ac:dyDescent="0.25">
      <c r="A16" t="s">
        <v>127</v>
      </c>
      <c r="B16" t="s">
        <v>130</v>
      </c>
      <c r="C16">
        <v>0</v>
      </c>
      <c r="D16">
        <v>200</v>
      </c>
      <c r="E16">
        <v>5</v>
      </c>
      <c r="F16">
        <v>0</v>
      </c>
      <c r="G16">
        <v>13</v>
      </c>
      <c r="H16" t="s">
        <v>75</v>
      </c>
      <c r="I16">
        <v>88</v>
      </c>
      <c r="J16">
        <v>19</v>
      </c>
      <c r="K16" t="s">
        <v>102</v>
      </c>
      <c r="L16">
        <v>2000</v>
      </c>
      <c r="M16" t="s">
        <v>102</v>
      </c>
      <c r="N16">
        <v>100.2</v>
      </c>
      <c r="O16" t="s">
        <v>112</v>
      </c>
      <c r="P16">
        <v>51</v>
      </c>
    </row>
    <row r="17" spans="1:16" x14ac:dyDescent="0.25">
      <c r="A17" t="s">
        <v>127</v>
      </c>
      <c r="B17" t="s">
        <v>131</v>
      </c>
      <c r="C17">
        <v>0</v>
      </c>
      <c r="D17">
        <v>200</v>
      </c>
      <c r="E17">
        <v>0</v>
      </c>
      <c r="F17">
        <v>0</v>
      </c>
      <c r="G17">
        <v>13</v>
      </c>
      <c r="H17" t="s">
        <v>75</v>
      </c>
      <c r="I17">
        <v>88</v>
      </c>
      <c r="J17">
        <v>45</v>
      </c>
      <c r="K17" t="s">
        <v>102</v>
      </c>
      <c r="L17">
        <v>2000</v>
      </c>
      <c r="M17" t="s">
        <v>102</v>
      </c>
      <c r="N17">
        <v>153.64500000000001</v>
      </c>
      <c r="O17" t="s">
        <v>102</v>
      </c>
      <c r="P17">
        <v>52</v>
      </c>
    </row>
    <row r="18" spans="1:16" x14ac:dyDescent="0.25">
      <c r="A18" t="s">
        <v>127</v>
      </c>
      <c r="B18" t="s">
        <v>111</v>
      </c>
      <c r="C18">
        <v>0</v>
      </c>
      <c r="D18">
        <v>200</v>
      </c>
      <c r="E18">
        <v>5</v>
      </c>
      <c r="F18">
        <v>0</v>
      </c>
      <c r="G18">
        <v>13</v>
      </c>
      <c r="H18" t="s">
        <v>75</v>
      </c>
      <c r="I18">
        <v>88</v>
      </c>
      <c r="J18">
        <v>58</v>
      </c>
      <c r="K18" t="s">
        <v>102</v>
      </c>
      <c r="L18">
        <v>2000</v>
      </c>
      <c r="M18" t="s">
        <v>102</v>
      </c>
      <c r="N18">
        <v>199.92</v>
      </c>
      <c r="O18" t="s">
        <v>112</v>
      </c>
      <c r="P18">
        <v>53</v>
      </c>
    </row>
    <row r="19" spans="1:16" x14ac:dyDescent="0.25">
      <c r="A19" t="s">
        <v>127</v>
      </c>
      <c r="B19" t="s">
        <v>113</v>
      </c>
      <c r="C19">
        <v>0</v>
      </c>
      <c r="D19">
        <v>200</v>
      </c>
      <c r="E19">
        <v>0</v>
      </c>
      <c r="F19">
        <v>0</v>
      </c>
      <c r="G19">
        <v>13</v>
      </c>
      <c r="H19" t="s">
        <v>75</v>
      </c>
      <c r="I19">
        <v>89</v>
      </c>
      <c r="J19">
        <v>16</v>
      </c>
      <c r="K19" t="s">
        <v>102</v>
      </c>
      <c r="L19">
        <v>2000</v>
      </c>
      <c r="M19" t="s">
        <v>102</v>
      </c>
      <c r="N19">
        <v>255.8</v>
      </c>
      <c r="O19" t="s">
        <v>102</v>
      </c>
      <c r="P19">
        <v>54</v>
      </c>
    </row>
    <row r="20" spans="1:16" x14ac:dyDescent="0.25">
      <c r="A20" t="s">
        <v>127</v>
      </c>
      <c r="B20" t="s">
        <v>114</v>
      </c>
      <c r="C20">
        <v>0</v>
      </c>
      <c r="D20">
        <v>200</v>
      </c>
      <c r="E20">
        <v>5</v>
      </c>
      <c r="F20">
        <v>0</v>
      </c>
      <c r="G20">
        <v>13</v>
      </c>
      <c r="H20" t="s">
        <v>75</v>
      </c>
      <c r="I20">
        <v>89</v>
      </c>
      <c r="J20">
        <v>23</v>
      </c>
      <c r="K20" t="s">
        <v>102</v>
      </c>
      <c r="L20">
        <v>2000</v>
      </c>
      <c r="M20" t="s">
        <v>102</v>
      </c>
      <c r="N20">
        <v>300.29399999999998</v>
      </c>
      <c r="O20" t="s">
        <v>112</v>
      </c>
      <c r="P20">
        <v>55</v>
      </c>
    </row>
    <row r="21" spans="1:16" x14ac:dyDescent="0.25">
      <c r="A21" t="s">
        <v>127</v>
      </c>
      <c r="B21" t="s">
        <v>116</v>
      </c>
      <c r="C21">
        <v>1</v>
      </c>
      <c r="D21">
        <v>200</v>
      </c>
      <c r="E21">
        <v>8</v>
      </c>
      <c r="F21">
        <v>0</v>
      </c>
      <c r="G21">
        <v>13</v>
      </c>
      <c r="H21" t="s">
        <v>75</v>
      </c>
      <c r="I21">
        <v>89</v>
      </c>
      <c r="J21">
        <v>30</v>
      </c>
      <c r="K21" t="s">
        <v>102</v>
      </c>
      <c r="L21">
        <v>2000</v>
      </c>
      <c r="M21" t="s">
        <v>102</v>
      </c>
      <c r="N21">
        <v>343.58</v>
      </c>
      <c r="O21" t="s">
        <v>102</v>
      </c>
      <c r="P21">
        <v>56</v>
      </c>
    </row>
    <row r="22" spans="1:16" x14ac:dyDescent="0.25">
      <c r="A22" t="s">
        <v>127</v>
      </c>
      <c r="B22" t="s">
        <v>132</v>
      </c>
      <c r="C22">
        <v>0</v>
      </c>
      <c r="D22">
        <v>200</v>
      </c>
      <c r="E22">
        <v>5</v>
      </c>
      <c r="F22">
        <v>0</v>
      </c>
      <c r="G22">
        <v>13</v>
      </c>
      <c r="H22" t="s">
        <v>75</v>
      </c>
      <c r="I22">
        <v>89</v>
      </c>
      <c r="J22">
        <v>37</v>
      </c>
      <c r="K22" t="s">
        <v>102</v>
      </c>
      <c r="L22">
        <v>2000</v>
      </c>
      <c r="M22" t="s">
        <v>102</v>
      </c>
      <c r="N22">
        <v>401.61200000000002</v>
      </c>
      <c r="O22" t="s">
        <v>112</v>
      </c>
      <c r="P22">
        <v>57</v>
      </c>
    </row>
    <row r="23" spans="1:16" x14ac:dyDescent="0.25">
      <c r="A23" t="s">
        <v>132</v>
      </c>
      <c r="B23" t="s">
        <v>127</v>
      </c>
      <c r="C23">
        <v>2</v>
      </c>
      <c r="D23">
        <v>200</v>
      </c>
      <c r="E23">
        <v>20</v>
      </c>
      <c r="F23">
        <v>180</v>
      </c>
      <c r="G23">
        <v>0</v>
      </c>
      <c r="H23" t="s">
        <v>75</v>
      </c>
      <c r="K23" t="s">
        <v>102</v>
      </c>
      <c r="M23" t="s">
        <v>102</v>
      </c>
      <c r="O23" t="s">
        <v>103</v>
      </c>
      <c r="P23">
        <v>58</v>
      </c>
    </row>
    <row r="24" spans="1:16" x14ac:dyDescent="0.25">
      <c r="A24" t="s">
        <v>132</v>
      </c>
      <c r="B24" t="s">
        <v>129</v>
      </c>
      <c r="C24">
        <v>0</v>
      </c>
      <c r="D24">
        <v>200</v>
      </c>
      <c r="E24">
        <v>0</v>
      </c>
      <c r="F24">
        <v>0</v>
      </c>
      <c r="G24">
        <v>9</v>
      </c>
      <c r="H24" t="s">
        <v>75</v>
      </c>
      <c r="I24">
        <v>90</v>
      </c>
      <c r="J24">
        <v>6</v>
      </c>
      <c r="K24" t="s">
        <v>102</v>
      </c>
      <c r="L24">
        <v>2000</v>
      </c>
      <c r="M24" t="s">
        <v>102</v>
      </c>
      <c r="N24">
        <v>44.862000000000002</v>
      </c>
      <c r="O24" t="s">
        <v>102</v>
      </c>
      <c r="P24">
        <v>59</v>
      </c>
    </row>
    <row r="25" spans="1:16" x14ac:dyDescent="0.25">
      <c r="A25" t="s">
        <v>132</v>
      </c>
      <c r="B25" t="s">
        <v>130</v>
      </c>
      <c r="C25">
        <v>0</v>
      </c>
      <c r="D25">
        <v>200</v>
      </c>
      <c r="E25">
        <v>5</v>
      </c>
      <c r="F25">
        <v>0</v>
      </c>
      <c r="G25">
        <v>9</v>
      </c>
      <c r="H25" t="s">
        <v>75</v>
      </c>
      <c r="I25">
        <v>90</v>
      </c>
      <c r="J25">
        <v>24</v>
      </c>
      <c r="K25" t="s">
        <v>102</v>
      </c>
      <c r="L25">
        <v>2000</v>
      </c>
      <c r="M25" t="s">
        <v>102</v>
      </c>
      <c r="N25">
        <v>79.444999999999993</v>
      </c>
      <c r="O25" t="s">
        <v>133</v>
      </c>
      <c r="P25">
        <v>60</v>
      </c>
    </row>
    <row r="26" spans="1:16" x14ac:dyDescent="0.25">
      <c r="A26" t="s">
        <v>132</v>
      </c>
      <c r="B26" t="s">
        <v>131</v>
      </c>
      <c r="C26">
        <v>0</v>
      </c>
      <c r="D26">
        <v>200</v>
      </c>
      <c r="E26">
        <v>5</v>
      </c>
      <c r="F26">
        <v>0</v>
      </c>
      <c r="G26">
        <v>9</v>
      </c>
      <c r="H26" t="s">
        <v>75</v>
      </c>
      <c r="I26">
        <v>90</v>
      </c>
      <c r="J26">
        <v>23</v>
      </c>
      <c r="K26" t="s">
        <v>102</v>
      </c>
      <c r="L26">
        <v>2000</v>
      </c>
      <c r="M26" t="s">
        <v>102</v>
      </c>
      <c r="N26">
        <v>84.228999999999999</v>
      </c>
      <c r="O26" t="s">
        <v>134</v>
      </c>
      <c r="P26">
        <v>61</v>
      </c>
    </row>
    <row r="27" spans="1:16" x14ac:dyDescent="0.25">
      <c r="A27" t="s">
        <v>132</v>
      </c>
      <c r="B27" t="s">
        <v>111</v>
      </c>
      <c r="C27">
        <v>0</v>
      </c>
      <c r="D27">
        <v>200</v>
      </c>
      <c r="E27">
        <v>5</v>
      </c>
      <c r="F27">
        <v>0</v>
      </c>
      <c r="G27">
        <v>9</v>
      </c>
      <c r="H27" t="s">
        <v>75</v>
      </c>
      <c r="I27">
        <v>90</v>
      </c>
      <c r="J27">
        <v>28</v>
      </c>
      <c r="K27" t="s">
        <v>102</v>
      </c>
      <c r="L27">
        <v>2000</v>
      </c>
      <c r="M27" t="s">
        <v>102</v>
      </c>
      <c r="N27">
        <v>86.546000000000006</v>
      </c>
      <c r="O27" t="s">
        <v>135</v>
      </c>
      <c r="P27">
        <v>62</v>
      </c>
    </row>
    <row r="28" spans="1:16" x14ac:dyDescent="0.25">
      <c r="A28" t="s">
        <v>132</v>
      </c>
      <c r="B28" t="s">
        <v>113</v>
      </c>
      <c r="C28">
        <v>0</v>
      </c>
      <c r="D28">
        <v>200</v>
      </c>
      <c r="E28">
        <v>5</v>
      </c>
      <c r="F28">
        <v>0</v>
      </c>
      <c r="G28">
        <v>9</v>
      </c>
      <c r="H28" t="s">
        <v>75</v>
      </c>
      <c r="I28">
        <v>90</v>
      </c>
      <c r="J28">
        <v>14</v>
      </c>
      <c r="K28" t="s">
        <v>102</v>
      </c>
      <c r="L28">
        <v>2000</v>
      </c>
      <c r="M28" t="s">
        <v>102</v>
      </c>
      <c r="N28">
        <v>99.760999999999996</v>
      </c>
      <c r="O28" t="s">
        <v>112</v>
      </c>
      <c r="P28">
        <v>63</v>
      </c>
    </row>
    <row r="29" spans="1:16" x14ac:dyDescent="0.25">
      <c r="A29" t="s">
        <v>132</v>
      </c>
      <c r="B29" t="s">
        <v>114</v>
      </c>
      <c r="C29">
        <v>0</v>
      </c>
      <c r="D29">
        <v>200</v>
      </c>
      <c r="E29">
        <v>0</v>
      </c>
      <c r="F29">
        <v>0</v>
      </c>
      <c r="G29">
        <v>9</v>
      </c>
      <c r="H29" t="s">
        <v>75</v>
      </c>
      <c r="I29">
        <v>90</v>
      </c>
      <c r="J29">
        <v>24</v>
      </c>
      <c r="K29" t="s">
        <v>102</v>
      </c>
      <c r="L29">
        <v>2000</v>
      </c>
      <c r="M29" t="s">
        <v>102</v>
      </c>
      <c r="N29">
        <v>139.55699999999999</v>
      </c>
      <c r="O29" t="s">
        <v>102</v>
      </c>
      <c r="P29">
        <v>64</v>
      </c>
    </row>
    <row r="30" spans="1:16" x14ac:dyDescent="0.25">
      <c r="A30" t="s">
        <v>132</v>
      </c>
      <c r="B30" t="s">
        <v>116</v>
      </c>
      <c r="C30">
        <v>1</v>
      </c>
      <c r="D30">
        <v>200</v>
      </c>
      <c r="E30">
        <v>8</v>
      </c>
      <c r="F30">
        <v>0</v>
      </c>
      <c r="G30">
        <v>9</v>
      </c>
      <c r="H30" t="s">
        <v>75</v>
      </c>
      <c r="I30">
        <v>90</v>
      </c>
      <c r="J30">
        <v>24</v>
      </c>
      <c r="K30" t="s">
        <v>102</v>
      </c>
      <c r="L30">
        <v>2000</v>
      </c>
      <c r="M30" t="s">
        <v>102</v>
      </c>
      <c r="N30">
        <v>167.23599999999999</v>
      </c>
      <c r="O30" t="s">
        <v>102</v>
      </c>
      <c r="P30">
        <v>65</v>
      </c>
    </row>
    <row r="31" spans="1:16" x14ac:dyDescent="0.25">
      <c r="A31" t="s">
        <v>132</v>
      </c>
      <c r="B31" t="s">
        <v>117</v>
      </c>
      <c r="C31">
        <v>0</v>
      </c>
      <c r="D31">
        <v>200</v>
      </c>
      <c r="E31">
        <v>5</v>
      </c>
      <c r="F31">
        <v>0</v>
      </c>
      <c r="G31">
        <v>9</v>
      </c>
      <c r="H31" t="s">
        <v>75</v>
      </c>
      <c r="I31">
        <v>90</v>
      </c>
      <c r="J31">
        <v>20</v>
      </c>
      <c r="K31" t="s">
        <v>102</v>
      </c>
      <c r="L31">
        <v>2000</v>
      </c>
      <c r="M31" t="s">
        <v>102</v>
      </c>
      <c r="N31">
        <v>199.86199999999999</v>
      </c>
      <c r="O31" t="s">
        <v>112</v>
      </c>
      <c r="P31">
        <v>66</v>
      </c>
    </row>
    <row r="32" spans="1:16" x14ac:dyDescent="0.25">
      <c r="A32" t="s">
        <v>132</v>
      </c>
      <c r="B32" t="s">
        <v>119</v>
      </c>
      <c r="C32">
        <v>0</v>
      </c>
      <c r="D32">
        <v>200</v>
      </c>
      <c r="E32">
        <v>0</v>
      </c>
      <c r="F32">
        <v>0</v>
      </c>
      <c r="G32">
        <v>9</v>
      </c>
      <c r="H32" t="s">
        <v>75</v>
      </c>
      <c r="I32">
        <v>90</v>
      </c>
      <c r="J32">
        <v>21</v>
      </c>
      <c r="K32" t="s">
        <v>102</v>
      </c>
      <c r="L32">
        <v>2000</v>
      </c>
      <c r="M32" t="s">
        <v>102</v>
      </c>
      <c r="N32">
        <v>243.92500000000001</v>
      </c>
      <c r="O32" t="s">
        <v>102</v>
      </c>
      <c r="P32">
        <v>67</v>
      </c>
    </row>
    <row r="33" spans="1:16" x14ac:dyDescent="0.25">
      <c r="A33" t="s">
        <v>132</v>
      </c>
      <c r="B33" t="s">
        <v>136</v>
      </c>
      <c r="C33">
        <v>0</v>
      </c>
      <c r="D33">
        <v>200</v>
      </c>
      <c r="E33">
        <v>0</v>
      </c>
      <c r="F33">
        <v>0</v>
      </c>
      <c r="G33">
        <v>9</v>
      </c>
      <c r="H33" t="s">
        <v>75</v>
      </c>
      <c r="I33">
        <v>90</v>
      </c>
      <c r="J33">
        <v>21</v>
      </c>
      <c r="K33" t="s">
        <v>102</v>
      </c>
      <c r="L33">
        <v>2000</v>
      </c>
      <c r="M33" t="s">
        <v>102</v>
      </c>
      <c r="N33">
        <v>299.36700000000002</v>
      </c>
      <c r="O33" t="s">
        <v>102</v>
      </c>
      <c r="P33">
        <v>68</v>
      </c>
    </row>
    <row r="34" spans="1:16" x14ac:dyDescent="0.25">
      <c r="A34" t="s">
        <v>136</v>
      </c>
      <c r="B34" t="s">
        <v>132</v>
      </c>
      <c r="C34">
        <v>2</v>
      </c>
      <c r="D34">
        <v>200</v>
      </c>
      <c r="E34">
        <v>20</v>
      </c>
      <c r="F34">
        <v>180</v>
      </c>
      <c r="G34">
        <v>0</v>
      </c>
      <c r="H34" t="s">
        <v>75</v>
      </c>
      <c r="K34" t="s">
        <v>102</v>
      </c>
      <c r="M34" t="s">
        <v>102</v>
      </c>
      <c r="O34" t="s">
        <v>103</v>
      </c>
      <c r="P34">
        <v>69</v>
      </c>
    </row>
    <row r="35" spans="1:16" x14ac:dyDescent="0.25">
      <c r="A35" t="s">
        <v>136</v>
      </c>
      <c r="B35" t="s">
        <v>129</v>
      </c>
      <c r="C35">
        <v>0</v>
      </c>
      <c r="D35">
        <v>200</v>
      </c>
      <c r="E35">
        <v>0</v>
      </c>
      <c r="F35">
        <v>0</v>
      </c>
      <c r="G35">
        <v>2</v>
      </c>
      <c r="H35" t="s">
        <v>75</v>
      </c>
      <c r="I35">
        <v>90</v>
      </c>
      <c r="J35">
        <v>39</v>
      </c>
      <c r="K35" t="s">
        <v>102</v>
      </c>
      <c r="L35">
        <v>2000</v>
      </c>
      <c r="M35" t="s">
        <v>102</v>
      </c>
      <c r="N35">
        <v>57.603999999999999</v>
      </c>
      <c r="O35" t="s">
        <v>102</v>
      </c>
      <c r="P35">
        <v>70</v>
      </c>
    </row>
    <row r="36" spans="1:16" x14ac:dyDescent="0.25">
      <c r="A36" t="s">
        <v>136</v>
      </c>
      <c r="B36" t="s">
        <v>130</v>
      </c>
      <c r="C36">
        <v>0</v>
      </c>
      <c r="D36">
        <v>200</v>
      </c>
      <c r="E36">
        <v>5</v>
      </c>
      <c r="F36">
        <v>0</v>
      </c>
      <c r="G36">
        <v>2</v>
      </c>
      <c r="H36" t="s">
        <v>75</v>
      </c>
      <c r="I36">
        <v>90</v>
      </c>
      <c r="J36">
        <v>45</v>
      </c>
      <c r="K36" t="s">
        <v>102</v>
      </c>
      <c r="L36">
        <v>2000</v>
      </c>
      <c r="M36" t="s">
        <v>102</v>
      </c>
      <c r="N36">
        <v>99.795000000000002</v>
      </c>
      <c r="O36" t="s">
        <v>112</v>
      </c>
      <c r="P36">
        <v>71</v>
      </c>
    </row>
    <row r="37" spans="1:16" x14ac:dyDescent="0.25">
      <c r="A37" t="s">
        <v>136</v>
      </c>
      <c r="B37" t="s">
        <v>131</v>
      </c>
      <c r="C37">
        <v>0</v>
      </c>
      <c r="D37">
        <v>200</v>
      </c>
      <c r="E37">
        <v>0</v>
      </c>
      <c r="F37">
        <v>0</v>
      </c>
      <c r="G37">
        <v>2</v>
      </c>
      <c r="H37" t="s">
        <v>75</v>
      </c>
      <c r="I37">
        <v>90</v>
      </c>
      <c r="J37">
        <v>36</v>
      </c>
      <c r="K37" t="s">
        <v>102</v>
      </c>
      <c r="L37">
        <v>2000</v>
      </c>
      <c r="M37" t="s">
        <v>102</v>
      </c>
      <c r="N37">
        <v>145.505</v>
      </c>
      <c r="O37" t="s">
        <v>102</v>
      </c>
      <c r="P37">
        <v>72</v>
      </c>
    </row>
    <row r="38" spans="1:16" x14ac:dyDescent="0.25">
      <c r="A38" t="s">
        <v>136</v>
      </c>
      <c r="B38" t="s">
        <v>111</v>
      </c>
      <c r="C38">
        <v>0</v>
      </c>
      <c r="D38">
        <v>200</v>
      </c>
      <c r="E38">
        <v>0</v>
      </c>
      <c r="F38">
        <v>0</v>
      </c>
      <c r="G38">
        <v>2</v>
      </c>
      <c r="H38" t="s">
        <v>75</v>
      </c>
      <c r="I38">
        <v>90</v>
      </c>
      <c r="J38">
        <v>31</v>
      </c>
      <c r="K38" t="s">
        <v>102</v>
      </c>
      <c r="L38">
        <v>2000</v>
      </c>
      <c r="M38" t="s">
        <v>102</v>
      </c>
      <c r="N38">
        <v>175.315</v>
      </c>
      <c r="O38" t="s">
        <v>102</v>
      </c>
      <c r="P38">
        <v>73</v>
      </c>
    </row>
    <row r="39" spans="1:16" x14ac:dyDescent="0.25">
      <c r="A39" t="s">
        <v>136</v>
      </c>
      <c r="B39" t="s">
        <v>113</v>
      </c>
      <c r="C39">
        <v>0</v>
      </c>
      <c r="D39">
        <v>200</v>
      </c>
      <c r="E39">
        <v>5</v>
      </c>
      <c r="F39">
        <v>0</v>
      </c>
      <c r="G39">
        <v>2</v>
      </c>
      <c r="H39" t="s">
        <v>75</v>
      </c>
      <c r="I39">
        <v>90</v>
      </c>
      <c r="J39">
        <v>30</v>
      </c>
      <c r="K39" t="s">
        <v>102</v>
      </c>
      <c r="L39">
        <v>2000</v>
      </c>
      <c r="M39" t="s">
        <v>102</v>
      </c>
      <c r="N39">
        <v>198.03899999999999</v>
      </c>
      <c r="O39" t="s">
        <v>112</v>
      </c>
      <c r="P39">
        <v>74</v>
      </c>
    </row>
    <row r="40" spans="1:16" x14ac:dyDescent="0.25">
      <c r="A40" t="s">
        <v>136</v>
      </c>
      <c r="B40" t="s">
        <v>114</v>
      </c>
      <c r="C40">
        <v>0</v>
      </c>
      <c r="D40">
        <v>200</v>
      </c>
      <c r="E40">
        <v>0</v>
      </c>
      <c r="F40">
        <v>0</v>
      </c>
      <c r="G40">
        <v>2</v>
      </c>
      <c r="H40" t="s">
        <v>75</v>
      </c>
      <c r="I40">
        <v>90</v>
      </c>
      <c r="J40">
        <v>29</v>
      </c>
      <c r="K40" t="s">
        <v>102</v>
      </c>
      <c r="L40">
        <v>2000</v>
      </c>
      <c r="M40" t="s">
        <v>102</v>
      </c>
      <c r="N40">
        <v>244.291</v>
      </c>
      <c r="O40" t="s">
        <v>102</v>
      </c>
      <c r="P40">
        <v>75</v>
      </c>
    </row>
    <row r="41" spans="1:16" x14ac:dyDescent="0.25">
      <c r="A41" t="s">
        <v>136</v>
      </c>
      <c r="B41" t="s">
        <v>116</v>
      </c>
      <c r="C41">
        <v>0</v>
      </c>
      <c r="D41">
        <v>200</v>
      </c>
      <c r="E41">
        <v>0</v>
      </c>
      <c r="F41">
        <v>0</v>
      </c>
      <c r="G41">
        <v>2</v>
      </c>
      <c r="H41" t="s">
        <v>75</v>
      </c>
      <c r="I41">
        <v>90</v>
      </c>
      <c r="J41">
        <v>27</v>
      </c>
      <c r="K41" t="s">
        <v>102</v>
      </c>
      <c r="L41">
        <v>2000</v>
      </c>
      <c r="M41" t="s">
        <v>102</v>
      </c>
      <c r="N41">
        <v>284.017</v>
      </c>
      <c r="O41" t="s">
        <v>102</v>
      </c>
      <c r="P41">
        <v>76</v>
      </c>
    </row>
    <row r="42" spans="1:16" x14ac:dyDescent="0.25">
      <c r="A42" t="s">
        <v>136</v>
      </c>
      <c r="B42" t="s">
        <v>117</v>
      </c>
      <c r="C42">
        <v>1</v>
      </c>
      <c r="D42">
        <v>200</v>
      </c>
      <c r="E42">
        <v>8</v>
      </c>
      <c r="F42">
        <v>0</v>
      </c>
      <c r="G42">
        <v>2</v>
      </c>
      <c r="H42" t="s">
        <v>75</v>
      </c>
      <c r="I42">
        <v>90</v>
      </c>
      <c r="J42">
        <v>23</v>
      </c>
      <c r="K42" t="s">
        <v>102</v>
      </c>
      <c r="L42">
        <v>2000</v>
      </c>
      <c r="M42" t="s">
        <v>102</v>
      </c>
      <c r="N42">
        <v>319.48</v>
      </c>
      <c r="O42" t="s">
        <v>112</v>
      </c>
      <c r="P42">
        <v>77</v>
      </c>
    </row>
    <row r="43" spans="1:16" x14ac:dyDescent="0.25">
      <c r="A43" t="s">
        <v>136</v>
      </c>
      <c r="B43" t="s">
        <v>119</v>
      </c>
      <c r="C43">
        <v>0</v>
      </c>
      <c r="D43">
        <v>200</v>
      </c>
      <c r="E43">
        <v>0</v>
      </c>
      <c r="F43">
        <v>0</v>
      </c>
      <c r="G43">
        <v>2</v>
      </c>
      <c r="H43" t="s">
        <v>75</v>
      </c>
      <c r="I43">
        <v>90</v>
      </c>
      <c r="J43">
        <v>15</v>
      </c>
      <c r="K43" t="s">
        <v>102</v>
      </c>
      <c r="L43">
        <v>2000</v>
      </c>
      <c r="M43" t="s">
        <v>102</v>
      </c>
      <c r="N43">
        <v>375.74</v>
      </c>
      <c r="O43" t="s">
        <v>102</v>
      </c>
      <c r="P43">
        <v>78</v>
      </c>
    </row>
    <row r="44" spans="1:16" x14ac:dyDescent="0.25">
      <c r="A44" t="s">
        <v>136</v>
      </c>
      <c r="B44" t="s">
        <v>121</v>
      </c>
      <c r="C44">
        <v>0</v>
      </c>
      <c r="D44">
        <v>200</v>
      </c>
      <c r="E44">
        <v>5</v>
      </c>
      <c r="F44">
        <v>0</v>
      </c>
      <c r="G44">
        <v>2</v>
      </c>
      <c r="H44" t="s">
        <v>75</v>
      </c>
      <c r="I44">
        <v>90</v>
      </c>
      <c r="J44">
        <v>11</v>
      </c>
      <c r="K44" t="s">
        <v>102</v>
      </c>
      <c r="L44">
        <v>2000</v>
      </c>
      <c r="M44" t="s">
        <v>102</v>
      </c>
      <c r="N44">
        <v>419.89800000000002</v>
      </c>
      <c r="O44" t="s">
        <v>112</v>
      </c>
      <c r="P44">
        <v>79</v>
      </c>
    </row>
    <row r="45" spans="1:16" x14ac:dyDescent="0.25">
      <c r="A45" t="s">
        <v>136</v>
      </c>
      <c r="B45" t="s">
        <v>123</v>
      </c>
      <c r="C45">
        <v>0</v>
      </c>
      <c r="D45">
        <v>200</v>
      </c>
      <c r="E45">
        <v>0</v>
      </c>
      <c r="F45">
        <v>0</v>
      </c>
      <c r="G45">
        <v>2</v>
      </c>
      <c r="H45" t="s">
        <v>75</v>
      </c>
      <c r="I45">
        <v>90</v>
      </c>
      <c r="J45">
        <v>8</v>
      </c>
      <c r="K45" t="s">
        <v>102</v>
      </c>
      <c r="L45">
        <v>2000</v>
      </c>
      <c r="M45" t="s">
        <v>102</v>
      </c>
      <c r="N45">
        <v>459.98</v>
      </c>
      <c r="O45" t="s">
        <v>102</v>
      </c>
      <c r="P45">
        <v>80</v>
      </c>
    </row>
    <row r="46" spans="1:16" x14ac:dyDescent="0.25">
      <c r="A46" t="s">
        <v>136</v>
      </c>
      <c r="B46" t="s">
        <v>124</v>
      </c>
      <c r="C46">
        <v>0</v>
      </c>
      <c r="D46">
        <v>200</v>
      </c>
      <c r="E46">
        <v>5</v>
      </c>
      <c r="F46">
        <v>0</v>
      </c>
      <c r="G46">
        <v>2</v>
      </c>
      <c r="H46" t="s">
        <v>75</v>
      </c>
      <c r="I46">
        <v>90</v>
      </c>
      <c r="J46">
        <v>8</v>
      </c>
      <c r="K46" t="s">
        <v>102</v>
      </c>
      <c r="L46">
        <v>2000</v>
      </c>
      <c r="M46" t="s">
        <v>102</v>
      </c>
      <c r="N46">
        <v>503.35399999999998</v>
      </c>
      <c r="O46" t="s">
        <v>137</v>
      </c>
      <c r="P46">
        <v>81</v>
      </c>
    </row>
    <row r="47" spans="1:16" x14ac:dyDescent="0.25">
      <c r="A47" t="s">
        <v>136</v>
      </c>
      <c r="B47" t="s">
        <v>138</v>
      </c>
      <c r="C47">
        <v>0</v>
      </c>
      <c r="D47">
        <v>200</v>
      </c>
      <c r="E47">
        <v>5</v>
      </c>
      <c r="F47">
        <v>0</v>
      </c>
      <c r="G47">
        <v>2</v>
      </c>
      <c r="H47" t="s">
        <v>75</v>
      </c>
      <c r="I47">
        <v>90</v>
      </c>
      <c r="J47">
        <v>11</v>
      </c>
      <c r="K47" t="s">
        <v>102</v>
      </c>
      <c r="L47">
        <v>2000</v>
      </c>
      <c r="M47" t="s">
        <v>102</v>
      </c>
      <c r="N47">
        <v>521.024</v>
      </c>
      <c r="O47" t="s">
        <v>128</v>
      </c>
      <c r="P47">
        <v>82</v>
      </c>
    </row>
    <row r="48" spans="1:16" x14ac:dyDescent="0.25">
      <c r="A48" t="s">
        <v>138</v>
      </c>
      <c r="B48" t="s">
        <v>136</v>
      </c>
      <c r="C48">
        <v>2</v>
      </c>
      <c r="D48">
        <v>200</v>
      </c>
      <c r="E48">
        <v>20</v>
      </c>
      <c r="F48">
        <v>180</v>
      </c>
      <c r="G48">
        <v>0</v>
      </c>
      <c r="H48" t="s">
        <v>75</v>
      </c>
      <c r="K48" t="s">
        <v>102</v>
      </c>
      <c r="M48" t="s">
        <v>102</v>
      </c>
      <c r="O48" t="s">
        <v>103</v>
      </c>
      <c r="P48">
        <v>83</v>
      </c>
    </row>
    <row r="49" spans="1:16" x14ac:dyDescent="0.25">
      <c r="A49" t="s">
        <v>138</v>
      </c>
      <c r="B49" t="s">
        <v>129</v>
      </c>
      <c r="C49">
        <v>0</v>
      </c>
      <c r="D49">
        <v>200</v>
      </c>
      <c r="E49">
        <v>0</v>
      </c>
      <c r="F49">
        <v>0</v>
      </c>
      <c r="G49">
        <v>2</v>
      </c>
      <c r="H49" t="s">
        <v>75</v>
      </c>
      <c r="I49">
        <v>90</v>
      </c>
      <c r="J49">
        <v>36</v>
      </c>
      <c r="K49" t="s">
        <v>102</v>
      </c>
      <c r="L49">
        <v>2000</v>
      </c>
      <c r="M49" t="s">
        <v>102</v>
      </c>
      <c r="N49">
        <v>35.616</v>
      </c>
      <c r="O49" t="s">
        <v>102</v>
      </c>
      <c r="P49">
        <v>84</v>
      </c>
    </row>
    <row r="50" spans="1:16" x14ac:dyDescent="0.25">
      <c r="A50" t="s">
        <v>138</v>
      </c>
      <c r="B50" t="s">
        <v>130</v>
      </c>
      <c r="C50">
        <v>0</v>
      </c>
      <c r="D50">
        <v>200</v>
      </c>
      <c r="E50">
        <v>0</v>
      </c>
      <c r="F50">
        <v>0</v>
      </c>
      <c r="G50">
        <v>2</v>
      </c>
      <c r="H50" t="s">
        <v>75</v>
      </c>
      <c r="I50">
        <v>90</v>
      </c>
      <c r="J50">
        <v>22</v>
      </c>
      <c r="K50" t="s">
        <v>102</v>
      </c>
      <c r="L50">
        <v>2000</v>
      </c>
      <c r="M50" t="s">
        <v>102</v>
      </c>
      <c r="N50">
        <v>60.746000000000002</v>
      </c>
      <c r="O50" t="s">
        <v>102</v>
      </c>
      <c r="P50">
        <v>85</v>
      </c>
    </row>
    <row r="51" spans="1:16" x14ac:dyDescent="0.25">
      <c r="A51" t="s">
        <v>138</v>
      </c>
      <c r="B51" t="s">
        <v>131</v>
      </c>
      <c r="C51">
        <v>0</v>
      </c>
      <c r="D51">
        <v>200</v>
      </c>
      <c r="E51">
        <v>5</v>
      </c>
      <c r="F51">
        <v>0</v>
      </c>
      <c r="G51">
        <v>2</v>
      </c>
      <c r="H51" t="s">
        <v>75</v>
      </c>
      <c r="I51">
        <v>90</v>
      </c>
      <c r="J51">
        <v>21</v>
      </c>
      <c r="K51" t="s">
        <v>102</v>
      </c>
      <c r="L51">
        <v>2000</v>
      </c>
      <c r="M51" t="s">
        <v>102</v>
      </c>
      <c r="N51">
        <v>99.938000000000002</v>
      </c>
      <c r="O51" t="s">
        <v>112</v>
      </c>
      <c r="P51">
        <v>86</v>
      </c>
    </row>
    <row r="52" spans="1:16" x14ac:dyDescent="0.25">
      <c r="A52" t="s">
        <v>138</v>
      </c>
      <c r="B52" t="s">
        <v>111</v>
      </c>
      <c r="C52">
        <v>0</v>
      </c>
      <c r="D52">
        <v>200</v>
      </c>
      <c r="E52">
        <v>0</v>
      </c>
      <c r="F52">
        <v>0</v>
      </c>
      <c r="G52">
        <v>2</v>
      </c>
      <c r="H52" t="s">
        <v>75</v>
      </c>
      <c r="I52">
        <v>90</v>
      </c>
      <c r="J52">
        <v>15</v>
      </c>
      <c r="K52" t="s">
        <v>102</v>
      </c>
      <c r="L52">
        <v>2000</v>
      </c>
      <c r="M52" t="s">
        <v>102</v>
      </c>
      <c r="N52">
        <v>153.173</v>
      </c>
      <c r="O52" t="s">
        <v>102</v>
      </c>
      <c r="P52">
        <v>87</v>
      </c>
    </row>
    <row r="53" spans="1:16" x14ac:dyDescent="0.25">
      <c r="A53" t="s">
        <v>138</v>
      </c>
      <c r="B53" t="s">
        <v>113</v>
      </c>
      <c r="C53">
        <v>0</v>
      </c>
      <c r="D53">
        <v>200</v>
      </c>
      <c r="E53">
        <v>5</v>
      </c>
      <c r="F53">
        <v>0</v>
      </c>
      <c r="G53">
        <v>2</v>
      </c>
      <c r="H53" t="s">
        <v>75</v>
      </c>
      <c r="I53">
        <v>90</v>
      </c>
      <c r="J53">
        <v>19</v>
      </c>
      <c r="K53" t="s">
        <v>102</v>
      </c>
      <c r="L53">
        <v>2000</v>
      </c>
      <c r="M53" t="s">
        <v>102</v>
      </c>
      <c r="N53">
        <v>205.33099999999999</v>
      </c>
      <c r="O53" t="s">
        <v>112</v>
      </c>
      <c r="P53">
        <v>88</v>
      </c>
    </row>
    <row r="54" spans="1:16" x14ac:dyDescent="0.25">
      <c r="A54" t="s">
        <v>138</v>
      </c>
      <c r="B54" t="s">
        <v>114</v>
      </c>
      <c r="C54">
        <v>0</v>
      </c>
      <c r="D54">
        <v>200</v>
      </c>
      <c r="E54">
        <v>0</v>
      </c>
      <c r="F54">
        <v>0</v>
      </c>
      <c r="G54">
        <v>2</v>
      </c>
      <c r="H54" t="s">
        <v>75</v>
      </c>
      <c r="I54">
        <v>90</v>
      </c>
      <c r="J54">
        <v>22</v>
      </c>
      <c r="K54" t="s">
        <v>102</v>
      </c>
      <c r="L54">
        <v>2000</v>
      </c>
      <c r="M54" t="s">
        <v>102</v>
      </c>
      <c r="N54">
        <v>257.17099999999999</v>
      </c>
      <c r="O54" t="s">
        <v>102</v>
      </c>
      <c r="P54">
        <v>89</v>
      </c>
    </row>
    <row r="55" spans="1:16" x14ac:dyDescent="0.25">
      <c r="A55" t="s">
        <v>138</v>
      </c>
      <c r="B55" t="s">
        <v>139</v>
      </c>
      <c r="C55">
        <v>0</v>
      </c>
      <c r="D55">
        <v>200</v>
      </c>
      <c r="E55">
        <v>5</v>
      </c>
      <c r="F55">
        <v>0</v>
      </c>
      <c r="G55">
        <v>2</v>
      </c>
      <c r="H55" t="s">
        <v>75</v>
      </c>
      <c r="I55">
        <v>90</v>
      </c>
      <c r="J55">
        <v>21</v>
      </c>
      <c r="K55" t="s">
        <v>102</v>
      </c>
      <c r="L55">
        <v>2000</v>
      </c>
      <c r="M55" t="s">
        <v>102</v>
      </c>
      <c r="N55">
        <v>309.55399999999997</v>
      </c>
      <c r="O55" t="s">
        <v>128</v>
      </c>
      <c r="P55">
        <v>90</v>
      </c>
    </row>
    <row r="56" spans="1:16" x14ac:dyDescent="0.25">
      <c r="A56" t="s">
        <v>139</v>
      </c>
      <c r="B56" t="s">
        <v>138</v>
      </c>
      <c r="C56">
        <v>2</v>
      </c>
      <c r="D56">
        <v>200</v>
      </c>
      <c r="E56">
        <v>20</v>
      </c>
      <c r="F56">
        <v>180</v>
      </c>
      <c r="G56">
        <v>0</v>
      </c>
      <c r="H56" t="s">
        <v>75</v>
      </c>
      <c r="K56" t="s">
        <v>102</v>
      </c>
      <c r="M56" t="s">
        <v>102</v>
      </c>
      <c r="O56" t="s">
        <v>103</v>
      </c>
      <c r="P56">
        <v>91</v>
      </c>
    </row>
    <row r="57" spans="1:16" x14ac:dyDescent="0.25">
      <c r="A57" t="s">
        <v>139</v>
      </c>
      <c r="B57" t="s">
        <v>129</v>
      </c>
      <c r="C57">
        <v>0</v>
      </c>
      <c r="D57">
        <v>200</v>
      </c>
      <c r="E57">
        <v>0</v>
      </c>
      <c r="F57">
        <v>0</v>
      </c>
      <c r="G57">
        <v>4</v>
      </c>
      <c r="H57" t="s">
        <v>75</v>
      </c>
      <c r="I57">
        <v>89</v>
      </c>
      <c r="J57">
        <v>22</v>
      </c>
      <c r="K57" t="s">
        <v>102</v>
      </c>
      <c r="L57">
        <v>2000</v>
      </c>
      <c r="M57" t="s">
        <v>102</v>
      </c>
      <c r="N57">
        <v>40.790999999999997</v>
      </c>
      <c r="O57" t="s">
        <v>102</v>
      </c>
      <c r="P57">
        <v>92</v>
      </c>
    </row>
    <row r="58" spans="1:16" x14ac:dyDescent="0.25">
      <c r="A58" t="s">
        <v>139</v>
      </c>
      <c r="B58" t="s">
        <v>130</v>
      </c>
      <c r="C58">
        <v>0</v>
      </c>
      <c r="D58">
        <v>200</v>
      </c>
      <c r="E58">
        <v>5</v>
      </c>
      <c r="F58">
        <v>0</v>
      </c>
      <c r="G58">
        <v>4</v>
      </c>
      <c r="H58" t="s">
        <v>75</v>
      </c>
      <c r="I58">
        <v>89</v>
      </c>
      <c r="J58">
        <v>6</v>
      </c>
      <c r="K58" t="s">
        <v>102</v>
      </c>
      <c r="L58">
        <v>2000</v>
      </c>
      <c r="M58" t="s">
        <v>102</v>
      </c>
      <c r="N58">
        <v>102.57599999999999</v>
      </c>
      <c r="O58" t="s">
        <v>112</v>
      </c>
      <c r="P58">
        <v>93</v>
      </c>
    </row>
    <row r="59" spans="1:16" x14ac:dyDescent="0.25">
      <c r="A59" t="s">
        <v>139</v>
      </c>
      <c r="B59" t="s">
        <v>131</v>
      </c>
      <c r="C59">
        <v>0</v>
      </c>
      <c r="D59">
        <v>200</v>
      </c>
      <c r="E59">
        <v>0</v>
      </c>
      <c r="F59">
        <v>0</v>
      </c>
      <c r="G59">
        <v>4</v>
      </c>
      <c r="H59" t="s">
        <v>75</v>
      </c>
      <c r="I59">
        <v>89</v>
      </c>
      <c r="J59">
        <v>7</v>
      </c>
      <c r="K59" t="s">
        <v>102</v>
      </c>
      <c r="L59">
        <v>2000</v>
      </c>
      <c r="M59" t="s">
        <v>102</v>
      </c>
      <c r="N59">
        <v>145.53</v>
      </c>
      <c r="O59" t="s">
        <v>102</v>
      </c>
      <c r="P59">
        <v>94</v>
      </c>
    </row>
    <row r="60" spans="1:16" x14ac:dyDescent="0.25">
      <c r="A60" t="s">
        <v>139</v>
      </c>
      <c r="B60" t="s">
        <v>111</v>
      </c>
      <c r="C60">
        <v>0</v>
      </c>
      <c r="D60">
        <v>200</v>
      </c>
      <c r="E60">
        <v>5</v>
      </c>
      <c r="F60">
        <v>0</v>
      </c>
      <c r="G60">
        <v>4</v>
      </c>
      <c r="H60" t="s">
        <v>75</v>
      </c>
      <c r="I60">
        <v>89</v>
      </c>
      <c r="J60">
        <v>9</v>
      </c>
      <c r="K60" t="s">
        <v>102</v>
      </c>
      <c r="L60">
        <v>2000</v>
      </c>
      <c r="M60" t="s">
        <v>102</v>
      </c>
      <c r="N60">
        <v>202.60400000000001</v>
      </c>
      <c r="O60" t="s">
        <v>112</v>
      </c>
      <c r="P60">
        <v>95</v>
      </c>
    </row>
    <row r="61" spans="1:16" x14ac:dyDescent="0.25">
      <c r="A61" t="s">
        <v>139</v>
      </c>
      <c r="B61" t="s">
        <v>113</v>
      </c>
      <c r="C61">
        <v>0</v>
      </c>
      <c r="D61">
        <v>200</v>
      </c>
      <c r="E61">
        <v>0</v>
      </c>
      <c r="F61">
        <v>0</v>
      </c>
      <c r="G61">
        <v>4</v>
      </c>
      <c r="H61" t="s">
        <v>75</v>
      </c>
      <c r="I61">
        <v>89</v>
      </c>
      <c r="J61">
        <v>11</v>
      </c>
      <c r="K61" t="s">
        <v>102</v>
      </c>
      <c r="L61">
        <v>2000</v>
      </c>
      <c r="M61" t="s">
        <v>102</v>
      </c>
      <c r="N61">
        <v>250.15799999999999</v>
      </c>
      <c r="O61" t="s">
        <v>102</v>
      </c>
      <c r="P61">
        <v>96</v>
      </c>
    </row>
    <row r="62" spans="1:16" x14ac:dyDescent="0.25">
      <c r="A62" t="s">
        <v>139</v>
      </c>
      <c r="B62" t="s">
        <v>114</v>
      </c>
      <c r="C62">
        <v>0</v>
      </c>
      <c r="D62">
        <v>200</v>
      </c>
      <c r="E62">
        <v>5</v>
      </c>
      <c r="F62">
        <v>0</v>
      </c>
      <c r="G62">
        <v>4</v>
      </c>
      <c r="H62" t="s">
        <v>75</v>
      </c>
      <c r="I62">
        <v>89</v>
      </c>
      <c r="J62">
        <v>11</v>
      </c>
      <c r="K62" t="s">
        <v>102</v>
      </c>
      <c r="L62">
        <v>2000</v>
      </c>
      <c r="M62" t="s">
        <v>102</v>
      </c>
      <c r="N62">
        <v>303.01400000000001</v>
      </c>
      <c r="O62" t="s">
        <v>112</v>
      </c>
      <c r="P62">
        <v>97</v>
      </c>
    </row>
    <row r="63" spans="1:16" x14ac:dyDescent="0.25">
      <c r="A63" t="s">
        <v>139</v>
      </c>
      <c r="B63" t="s">
        <v>116</v>
      </c>
      <c r="C63">
        <v>1</v>
      </c>
      <c r="D63">
        <v>200</v>
      </c>
      <c r="E63">
        <v>8</v>
      </c>
      <c r="F63">
        <v>0</v>
      </c>
      <c r="G63">
        <v>4</v>
      </c>
      <c r="H63" t="s">
        <v>75</v>
      </c>
      <c r="I63">
        <v>89</v>
      </c>
      <c r="J63">
        <v>15</v>
      </c>
      <c r="K63" t="s">
        <v>102</v>
      </c>
      <c r="L63">
        <v>2000</v>
      </c>
      <c r="M63" t="s">
        <v>102</v>
      </c>
      <c r="N63">
        <v>357.07499999999999</v>
      </c>
      <c r="O63" t="s">
        <v>102</v>
      </c>
      <c r="P63">
        <v>98</v>
      </c>
    </row>
    <row r="64" spans="1:16" x14ac:dyDescent="0.25">
      <c r="A64" t="s">
        <v>139</v>
      </c>
      <c r="B64" t="s">
        <v>140</v>
      </c>
      <c r="C64">
        <v>0</v>
      </c>
      <c r="D64">
        <v>200</v>
      </c>
      <c r="E64">
        <v>5</v>
      </c>
      <c r="F64">
        <v>0</v>
      </c>
      <c r="G64">
        <v>4</v>
      </c>
      <c r="H64" t="s">
        <v>75</v>
      </c>
      <c r="I64">
        <v>89</v>
      </c>
      <c r="J64">
        <v>16</v>
      </c>
      <c r="K64" t="s">
        <v>102</v>
      </c>
      <c r="L64">
        <v>2000</v>
      </c>
      <c r="M64" t="s">
        <v>102</v>
      </c>
      <c r="N64">
        <v>401.48</v>
      </c>
      <c r="O64" t="s">
        <v>128</v>
      </c>
      <c r="P64">
        <v>99</v>
      </c>
    </row>
    <row r="65" spans="1:16" x14ac:dyDescent="0.25">
      <c r="A65" t="s">
        <v>140</v>
      </c>
      <c r="B65" t="s">
        <v>139</v>
      </c>
      <c r="C65">
        <v>2</v>
      </c>
      <c r="D65">
        <v>200</v>
      </c>
      <c r="E65">
        <v>20</v>
      </c>
      <c r="F65">
        <v>180</v>
      </c>
      <c r="G65">
        <v>0</v>
      </c>
      <c r="H65" t="s">
        <v>75</v>
      </c>
      <c r="K65" t="s">
        <v>102</v>
      </c>
      <c r="M65" t="s">
        <v>102</v>
      </c>
      <c r="O65" t="s">
        <v>103</v>
      </c>
      <c r="P65">
        <v>100</v>
      </c>
    </row>
    <row r="66" spans="1:16" x14ac:dyDescent="0.25">
      <c r="A66" t="s">
        <v>140</v>
      </c>
      <c r="B66" t="s">
        <v>129</v>
      </c>
      <c r="C66">
        <v>0</v>
      </c>
      <c r="D66">
        <v>200</v>
      </c>
      <c r="E66">
        <v>0</v>
      </c>
      <c r="F66">
        <v>0</v>
      </c>
      <c r="G66">
        <v>9</v>
      </c>
      <c r="H66" t="s">
        <v>75</v>
      </c>
      <c r="I66">
        <v>90</v>
      </c>
      <c r="J66">
        <v>5</v>
      </c>
      <c r="K66" t="s">
        <v>102</v>
      </c>
      <c r="L66">
        <v>2000</v>
      </c>
      <c r="M66" t="s">
        <v>102</v>
      </c>
      <c r="N66">
        <v>58.64</v>
      </c>
      <c r="O66" t="s">
        <v>102</v>
      </c>
      <c r="P66">
        <v>101</v>
      </c>
    </row>
    <row r="67" spans="1:16" x14ac:dyDescent="0.25">
      <c r="A67" t="s">
        <v>140</v>
      </c>
      <c r="B67" t="s">
        <v>130</v>
      </c>
      <c r="C67">
        <v>0</v>
      </c>
      <c r="D67">
        <v>200</v>
      </c>
      <c r="E67">
        <v>5</v>
      </c>
      <c r="F67">
        <v>0</v>
      </c>
      <c r="G67">
        <v>9</v>
      </c>
      <c r="H67" t="s">
        <v>75</v>
      </c>
      <c r="I67">
        <v>89</v>
      </c>
      <c r="J67">
        <v>56</v>
      </c>
      <c r="K67" t="s">
        <v>102</v>
      </c>
      <c r="L67">
        <v>2000</v>
      </c>
      <c r="M67" t="s">
        <v>102</v>
      </c>
      <c r="N67">
        <v>97.545000000000002</v>
      </c>
      <c r="O67" t="s">
        <v>137</v>
      </c>
      <c r="P67">
        <v>102</v>
      </c>
    </row>
    <row r="68" spans="1:16" x14ac:dyDescent="0.25">
      <c r="A68" t="s">
        <v>140</v>
      </c>
      <c r="B68" t="s">
        <v>131</v>
      </c>
      <c r="C68">
        <v>0</v>
      </c>
      <c r="D68">
        <v>200</v>
      </c>
      <c r="E68">
        <v>5</v>
      </c>
      <c r="F68">
        <v>0</v>
      </c>
      <c r="G68">
        <v>9</v>
      </c>
      <c r="H68" t="s">
        <v>75</v>
      </c>
      <c r="I68">
        <v>89</v>
      </c>
      <c r="J68">
        <v>44</v>
      </c>
      <c r="K68" t="s">
        <v>102</v>
      </c>
      <c r="L68">
        <v>2000</v>
      </c>
      <c r="M68" t="s">
        <v>102</v>
      </c>
      <c r="N68">
        <v>101.116</v>
      </c>
      <c r="O68" t="s">
        <v>112</v>
      </c>
      <c r="P68">
        <v>103</v>
      </c>
    </row>
    <row r="69" spans="1:16" x14ac:dyDescent="0.25">
      <c r="A69" t="s">
        <v>140</v>
      </c>
      <c r="B69" t="s">
        <v>111</v>
      </c>
      <c r="C69">
        <v>0</v>
      </c>
      <c r="D69">
        <v>200</v>
      </c>
      <c r="E69">
        <v>5</v>
      </c>
      <c r="F69">
        <v>0</v>
      </c>
      <c r="G69">
        <v>9</v>
      </c>
      <c r="H69" t="s">
        <v>75</v>
      </c>
      <c r="I69">
        <v>89</v>
      </c>
      <c r="J69">
        <v>54</v>
      </c>
      <c r="K69" t="s">
        <v>102</v>
      </c>
      <c r="L69">
        <v>2000</v>
      </c>
      <c r="M69" t="s">
        <v>102</v>
      </c>
      <c r="N69">
        <v>114.357</v>
      </c>
      <c r="O69" t="s">
        <v>120</v>
      </c>
      <c r="P69">
        <v>104</v>
      </c>
    </row>
    <row r="70" spans="1:16" x14ac:dyDescent="0.25">
      <c r="A70" t="s">
        <v>140</v>
      </c>
      <c r="B70" t="s">
        <v>113</v>
      </c>
      <c r="C70">
        <v>0</v>
      </c>
      <c r="D70">
        <v>200</v>
      </c>
      <c r="E70">
        <v>5</v>
      </c>
      <c r="F70">
        <v>0</v>
      </c>
      <c r="G70">
        <v>9</v>
      </c>
      <c r="H70" t="s">
        <v>75</v>
      </c>
      <c r="I70">
        <v>90</v>
      </c>
      <c r="J70">
        <v>0</v>
      </c>
      <c r="K70" t="s">
        <v>102</v>
      </c>
      <c r="L70">
        <v>2000</v>
      </c>
      <c r="M70" t="s">
        <v>102</v>
      </c>
      <c r="N70">
        <v>139.82300000000001</v>
      </c>
      <c r="O70" t="s">
        <v>120</v>
      </c>
      <c r="P70">
        <v>105</v>
      </c>
    </row>
    <row r="71" spans="1:16" x14ac:dyDescent="0.25">
      <c r="A71" t="s">
        <v>140</v>
      </c>
      <c r="B71" t="s">
        <v>114</v>
      </c>
      <c r="C71">
        <v>0</v>
      </c>
      <c r="D71">
        <v>200</v>
      </c>
      <c r="E71">
        <v>5</v>
      </c>
      <c r="F71">
        <v>0</v>
      </c>
      <c r="G71">
        <v>9</v>
      </c>
      <c r="H71" t="s">
        <v>75</v>
      </c>
      <c r="I71">
        <v>89</v>
      </c>
      <c r="J71">
        <v>54</v>
      </c>
      <c r="K71" t="s">
        <v>102</v>
      </c>
      <c r="L71">
        <v>2000</v>
      </c>
      <c r="M71" t="s">
        <v>102</v>
      </c>
      <c r="N71">
        <v>158.559</v>
      </c>
      <c r="O71" t="s">
        <v>137</v>
      </c>
      <c r="P71">
        <v>106</v>
      </c>
    </row>
    <row r="72" spans="1:16" x14ac:dyDescent="0.25">
      <c r="A72" t="s">
        <v>140</v>
      </c>
      <c r="B72" t="s">
        <v>116</v>
      </c>
      <c r="C72">
        <v>1</v>
      </c>
      <c r="D72">
        <v>200</v>
      </c>
      <c r="E72">
        <v>8</v>
      </c>
      <c r="F72">
        <v>0</v>
      </c>
      <c r="G72">
        <v>9</v>
      </c>
      <c r="H72" t="s">
        <v>75</v>
      </c>
      <c r="I72">
        <v>90</v>
      </c>
      <c r="J72">
        <v>1</v>
      </c>
      <c r="K72" t="s">
        <v>102</v>
      </c>
      <c r="L72">
        <v>2000</v>
      </c>
      <c r="M72" t="s">
        <v>102</v>
      </c>
      <c r="N72">
        <v>200.43199999999999</v>
      </c>
      <c r="O72" t="s">
        <v>112</v>
      </c>
      <c r="P72">
        <v>107</v>
      </c>
    </row>
    <row r="73" spans="1:16" x14ac:dyDescent="0.25">
      <c r="A73" t="s">
        <v>140</v>
      </c>
      <c r="B73" t="s">
        <v>117</v>
      </c>
      <c r="C73">
        <v>0</v>
      </c>
      <c r="D73">
        <v>200</v>
      </c>
      <c r="E73">
        <v>0</v>
      </c>
      <c r="F73">
        <v>0</v>
      </c>
      <c r="G73">
        <v>9</v>
      </c>
      <c r="H73" t="s">
        <v>75</v>
      </c>
      <c r="I73">
        <v>90</v>
      </c>
      <c r="J73">
        <v>2</v>
      </c>
      <c r="K73" t="s">
        <v>102</v>
      </c>
      <c r="L73">
        <v>2000</v>
      </c>
      <c r="M73" t="s">
        <v>102</v>
      </c>
      <c r="N73">
        <v>246.5</v>
      </c>
      <c r="O73" t="s">
        <v>102</v>
      </c>
      <c r="P73">
        <v>108</v>
      </c>
    </row>
    <row r="74" spans="1:16" x14ac:dyDescent="0.25">
      <c r="A74" t="s">
        <v>140</v>
      </c>
      <c r="B74" t="s">
        <v>119</v>
      </c>
      <c r="C74">
        <v>0</v>
      </c>
      <c r="D74">
        <v>200</v>
      </c>
      <c r="E74">
        <v>5</v>
      </c>
      <c r="F74">
        <v>0</v>
      </c>
      <c r="G74">
        <v>9</v>
      </c>
      <c r="H74" t="s">
        <v>75</v>
      </c>
      <c r="I74">
        <v>90</v>
      </c>
      <c r="J74">
        <v>7</v>
      </c>
      <c r="K74" t="s">
        <v>102</v>
      </c>
      <c r="L74">
        <v>2000</v>
      </c>
      <c r="M74" t="s">
        <v>102</v>
      </c>
      <c r="N74">
        <v>302.005</v>
      </c>
      <c r="O74" t="s">
        <v>112</v>
      </c>
      <c r="P74">
        <v>109</v>
      </c>
    </row>
    <row r="75" spans="1:16" x14ac:dyDescent="0.25">
      <c r="A75" t="s">
        <v>140</v>
      </c>
      <c r="B75" t="s">
        <v>121</v>
      </c>
      <c r="C75">
        <v>0</v>
      </c>
      <c r="D75">
        <v>200</v>
      </c>
      <c r="E75">
        <v>0</v>
      </c>
      <c r="F75">
        <v>0</v>
      </c>
      <c r="G75">
        <v>9</v>
      </c>
      <c r="H75" t="s">
        <v>75</v>
      </c>
      <c r="I75">
        <v>90</v>
      </c>
      <c r="J75">
        <v>9</v>
      </c>
      <c r="K75" t="s">
        <v>102</v>
      </c>
      <c r="L75">
        <v>2000</v>
      </c>
      <c r="M75" t="s">
        <v>102</v>
      </c>
      <c r="N75">
        <v>351.23</v>
      </c>
      <c r="O75" t="s">
        <v>102</v>
      </c>
      <c r="P75">
        <v>110</v>
      </c>
    </row>
    <row r="76" spans="1:16" x14ac:dyDescent="0.25">
      <c r="A76" t="s">
        <v>140</v>
      </c>
      <c r="B76" t="s">
        <v>141</v>
      </c>
      <c r="C76">
        <v>0</v>
      </c>
      <c r="D76">
        <v>200</v>
      </c>
      <c r="E76">
        <v>5</v>
      </c>
      <c r="F76">
        <v>0</v>
      </c>
      <c r="G76">
        <v>9</v>
      </c>
      <c r="H76" t="s">
        <v>75</v>
      </c>
      <c r="I76">
        <v>90</v>
      </c>
      <c r="J76">
        <v>9</v>
      </c>
      <c r="K76" t="s">
        <v>102</v>
      </c>
      <c r="L76">
        <v>2000</v>
      </c>
      <c r="M76" t="s">
        <v>102</v>
      </c>
      <c r="N76">
        <v>400.673</v>
      </c>
      <c r="O76" t="s">
        <v>128</v>
      </c>
      <c r="P76">
        <v>111</v>
      </c>
    </row>
    <row r="77" spans="1:16" x14ac:dyDescent="0.25">
      <c r="A77" t="s">
        <v>141</v>
      </c>
      <c r="B77" t="s">
        <v>140</v>
      </c>
      <c r="C77">
        <v>2</v>
      </c>
      <c r="D77">
        <v>200</v>
      </c>
      <c r="E77">
        <v>20</v>
      </c>
      <c r="F77">
        <v>180</v>
      </c>
      <c r="G77">
        <v>0</v>
      </c>
      <c r="H77" t="s">
        <v>75</v>
      </c>
      <c r="K77" t="s">
        <v>102</v>
      </c>
      <c r="M77" t="s">
        <v>102</v>
      </c>
      <c r="O77" t="s">
        <v>103</v>
      </c>
      <c r="P77">
        <v>112</v>
      </c>
    </row>
    <row r="78" spans="1:16" x14ac:dyDescent="0.25">
      <c r="A78" t="s">
        <v>141</v>
      </c>
      <c r="B78" t="s">
        <v>129</v>
      </c>
      <c r="C78">
        <v>1</v>
      </c>
      <c r="D78">
        <v>200</v>
      </c>
      <c r="E78">
        <v>8</v>
      </c>
      <c r="F78">
        <v>0</v>
      </c>
      <c r="G78">
        <v>4</v>
      </c>
      <c r="H78" t="s">
        <v>75</v>
      </c>
      <c r="I78">
        <v>90</v>
      </c>
      <c r="J78">
        <v>20</v>
      </c>
      <c r="K78" t="s">
        <v>102</v>
      </c>
      <c r="L78">
        <v>2000</v>
      </c>
      <c r="M78" t="s">
        <v>102</v>
      </c>
      <c r="N78">
        <v>38.920999999999999</v>
      </c>
      <c r="O78" t="s">
        <v>142</v>
      </c>
      <c r="P78">
        <v>113</v>
      </c>
    </row>
    <row r="79" spans="1:16" x14ac:dyDescent="0.25">
      <c r="A79" t="s">
        <v>141</v>
      </c>
      <c r="B79" t="s">
        <v>130</v>
      </c>
      <c r="C79">
        <v>0</v>
      </c>
      <c r="D79">
        <v>200</v>
      </c>
      <c r="E79">
        <v>5</v>
      </c>
      <c r="F79">
        <v>0</v>
      </c>
      <c r="G79">
        <v>4</v>
      </c>
      <c r="H79" t="s">
        <v>75</v>
      </c>
      <c r="I79">
        <v>90</v>
      </c>
      <c r="J79">
        <v>10</v>
      </c>
      <c r="K79" t="s">
        <v>102</v>
      </c>
      <c r="L79">
        <v>2000</v>
      </c>
      <c r="M79" t="s">
        <v>102</v>
      </c>
      <c r="N79">
        <v>40.433</v>
      </c>
      <c r="O79" t="s">
        <v>120</v>
      </c>
      <c r="P79">
        <v>114</v>
      </c>
    </row>
    <row r="80" spans="1:16" x14ac:dyDescent="0.25">
      <c r="A80" t="s">
        <v>141</v>
      </c>
      <c r="B80" t="s">
        <v>131</v>
      </c>
      <c r="C80">
        <v>0</v>
      </c>
      <c r="D80">
        <v>200</v>
      </c>
      <c r="E80">
        <v>5</v>
      </c>
      <c r="F80">
        <v>0</v>
      </c>
      <c r="G80">
        <v>4</v>
      </c>
      <c r="H80" t="s">
        <v>75</v>
      </c>
      <c r="I80">
        <v>90</v>
      </c>
      <c r="J80">
        <v>36</v>
      </c>
      <c r="K80" t="s">
        <v>102</v>
      </c>
      <c r="L80">
        <v>2000</v>
      </c>
      <c r="M80" t="s">
        <v>102</v>
      </c>
      <c r="N80">
        <v>44.530999999999999</v>
      </c>
      <c r="O80" t="s">
        <v>120</v>
      </c>
      <c r="P80">
        <v>115</v>
      </c>
    </row>
    <row r="81" spans="1:16" x14ac:dyDescent="0.25">
      <c r="A81" t="s">
        <v>141</v>
      </c>
      <c r="B81" t="s">
        <v>111</v>
      </c>
      <c r="C81">
        <v>0</v>
      </c>
      <c r="D81">
        <v>200</v>
      </c>
      <c r="E81">
        <v>5</v>
      </c>
      <c r="F81">
        <v>0</v>
      </c>
      <c r="G81">
        <v>4</v>
      </c>
      <c r="H81" t="s">
        <v>75</v>
      </c>
      <c r="I81">
        <v>90</v>
      </c>
      <c r="J81">
        <v>40</v>
      </c>
      <c r="K81" t="s">
        <v>102</v>
      </c>
      <c r="L81">
        <v>2000</v>
      </c>
      <c r="M81" t="s">
        <v>102</v>
      </c>
      <c r="N81">
        <v>46.15</v>
      </c>
      <c r="O81" t="s">
        <v>143</v>
      </c>
      <c r="P81">
        <v>116</v>
      </c>
    </row>
    <row r="82" spans="1:16" x14ac:dyDescent="0.25">
      <c r="A82" t="s">
        <v>141</v>
      </c>
      <c r="B82" t="s">
        <v>113</v>
      </c>
      <c r="C82">
        <v>0</v>
      </c>
      <c r="D82">
        <v>200</v>
      </c>
      <c r="E82">
        <v>0</v>
      </c>
      <c r="F82">
        <v>0</v>
      </c>
      <c r="G82">
        <v>4</v>
      </c>
      <c r="H82" t="s">
        <v>75</v>
      </c>
      <c r="I82">
        <v>90</v>
      </c>
      <c r="J82">
        <v>4</v>
      </c>
      <c r="K82" t="s">
        <v>102</v>
      </c>
      <c r="L82">
        <v>2000</v>
      </c>
      <c r="M82" t="s">
        <v>102</v>
      </c>
      <c r="N82">
        <v>77.013000000000005</v>
      </c>
      <c r="O82" t="s">
        <v>102</v>
      </c>
      <c r="P82">
        <v>117</v>
      </c>
    </row>
    <row r="83" spans="1:16" x14ac:dyDescent="0.25">
      <c r="A83" t="s">
        <v>141</v>
      </c>
      <c r="B83" t="s">
        <v>114</v>
      </c>
      <c r="C83">
        <v>1</v>
      </c>
      <c r="D83">
        <v>200</v>
      </c>
      <c r="E83">
        <v>8</v>
      </c>
      <c r="F83">
        <v>0</v>
      </c>
      <c r="G83">
        <v>4</v>
      </c>
      <c r="H83" t="s">
        <v>75</v>
      </c>
      <c r="I83">
        <v>90</v>
      </c>
      <c r="J83">
        <v>9</v>
      </c>
      <c r="K83" t="s">
        <v>102</v>
      </c>
      <c r="L83">
        <v>2000</v>
      </c>
      <c r="M83" t="s">
        <v>102</v>
      </c>
      <c r="N83">
        <v>105.651</v>
      </c>
      <c r="O83" t="s">
        <v>112</v>
      </c>
      <c r="P83">
        <v>118</v>
      </c>
    </row>
    <row r="84" spans="1:16" x14ac:dyDescent="0.25">
      <c r="A84" t="s">
        <v>141</v>
      </c>
      <c r="B84" t="s">
        <v>116</v>
      </c>
      <c r="C84">
        <v>0</v>
      </c>
      <c r="D84">
        <v>200</v>
      </c>
      <c r="E84">
        <v>0</v>
      </c>
      <c r="F84">
        <v>0</v>
      </c>
      <c r="G84">
        <v>4</v>
      </c>
      <c r="H84" t="s">
        <v>75</v>
      </c>
      <c r="I84">
        <v>90</v>
      </c>
      <c r="J84">
        <v>25</v>
      </c>
      <c r="K84" t="s">
        <v>102</v>
      </c>
      <c r="L84">
        <v>2000</v>
      </c>
      <c r="M84" t="s">
        <v>102</v>
      </c>
      <c r="N84">
        <v>150.99799999999999</v>
      </c>
      <c r="O84" t="s">
        <v>102</v>
      </c>
      <c r="P84">
        <v>119</v>
      </c>
    </row>
    <row r="85" spans="1:16" x14ac:dyDescent="0.25">
      <c r="A85" t="s">
        <v>141</v>
      </c>
      <c r="B85" t="s">
        <v>117</v>
      </c>
      <c r="C85">
        <v>0</v>
      </c>
      <c r="D85">
        <v>200</v>
      </c>
      <c r="E85">
        <v>5</v>
      </c>
      <c r="F85">
        <v>0</v>
      </c>
      <c r="G85">
        <v>4</v>
      </c>
      <c r="H85" t="s">
        <v>75</v>
      </c>
      <c r="I85">
        <v>90</v>
      </c>
      <c r="J85">
        <v>34</v>
      </c>
      <c r="K85" t="s">
        <v>102</v>
      </c>
      <c r="L85">
        <v>2000</v>
      </c>
      <c r="M85" t="s">
        <v>102</v>
      </c>
      <c r="N85">
        <v>186.756</v>
      </c>
      <c r="O85" t="s">
        <v>112</v>
      </c>
      <c r="P85">
        <v>120</v>
      </c>
    </row>
    <row r="86" spans="1:16" x14ac:dyDescent="0.25">
      <c r="A86" t="s">
        <v>141</v>
      </c>
      <c r="B86" t="s">
        <v>119</v>
      </c>
      <c r="C86">
        <v>0</v>
      </c>
      <c r="D86">
        <v>200</v>
      </c>
      <c r="E86">
        <v>0</v>
      </c>
      <c r="F86">
        <v>0</v>
      </c>
      <c r="G86">
        <v>4</v>
      </c>
      <c r="H86" t="s">
        <v>75</v>
      </c>
      <c r="I86">
        <v>90</v>
      </c>
      <c r="J86">
        <v>40</v>
      </c>
      <c r="K86" t="s">
        <v>102</v>
      </c>
      <c r="L86">
        <v>2000</v>
      </c>
      <c r="M86" t="s">
        <v>102</v>
      </c>
      <c r="N86">
        <v>216.465</v>
      </c>
      <c r="O86" t="s">
        <v>102</v>
      </c>
      <c r="P86">
        <v>121</v>
      </c>
    </row>
    <row r="87" spans="1:16" x14ac:dyDescent="0.25">
      <c r="A87" t="s">
        <v>141</v>
      </c>
      <c r="B87" t="s">
        <v>121</v>
      </c>
      <c r="C87">
        <v>0</v>
      </c>
      <c r="D87">
        <v>200</v>
      </c>
      <c r="E87">
        <v>0</v>
      </c>
      <c r="F87">
        <v>0</v>
      </c>
      <c r="G87">
        <v>4</v>
      </c>
      <c r="H87" t="s">
        <v>75</v>
      </c>
      <c r="I87">
        <v>90</v>
      </c>
      <c r="J87">
        <v>36</v>
      </c>
      <c r="K87" t="s">
        <v>102</v>
      </c>
      <c r="L87">
        <v>2000</v>
      </c>
      <c r="M87" t="s">
        <v>102</v>
      </c>
      <c r="N87">
        <v>252.74299999999999</v>
      </c>
      <c r="O87" t="s">
        <v>102</v>
      </c>
      <c r="P87">
        <v>122</v>
      </c>
    </row>
    <row r="88" spans="1:16" x14ac:dyDescent="0.25">
      <c r="A88" t="s">
        <v>141</v>
      </c>
      <c r="B88" t="s">
        <v>123</v>
      </c>
      <c r="C88">
        <v>1</v>
      </c>
      <c r="D88">
        <v>200</v>
      </c>
      <c r="E88">
        <v>8</v>
      </c>
      <c r="F88">
        <v>0</v>
      </c>
      <c r="G88">
        <v>4</v>
      </c>
      <c r="H88" t="s">
        <v>75</v>
      </c>
      <c r="I88">
        <v>90</v>
      </c>
      <c r="J88">
        <v>20</v>
      </c>
      <c r="K88" t="s">
        <v>102</v>
      </c>
      <c r="L88">
        <v>2000</v>
      </c>
      <c r="M88" t="s">
        <v>102</v>
      </c>
      <c r="N88">
        <v>283.33699999999999</v>
      </c>
      <c r="O88" t="s">
        <v>112</v>
      </c>
      <c r="P88">
        <v>123</v>
      </c>
    </row>
    <row r="89" spans="1:16" x14ac:dyDescent="0.25">
      <c r="A89" t="s">
        <v>141</v>
      </c>
      <c r="B89" t="s">
        <v>124</v>
      </c>
      <c r="C89">
        <v>0</v>
      </c>
      <c r="D89">
        <v>200</v>
      </c>
      <c r="E89">
        <v>5</v>
      </c>
      <c r="F89">
        <v>0</v>
      </c>
      <c r="G89">
        <v>4</v>
      </c>
      <c r="H89" t="s">
        <v>75</v>
      </c>
      <c r="I89">
        <v>90</v>
      </c>
      <c r="J89">
        <v>24</v>
      </c>
      <c r="K89" t="s">
        <v>102</v>
      </c>
      <c r="L89">
        <v>2000</v>
      </c>
      <c r="M89" t="s">
        <v>102</v>
      </c>
      <c r="N89">
        <v>288.12700000000001</v>
      </c>
      <c r="O89" t="s">
        <v>144</v>
      </c>
      <c r="P89">
        <v>124</v>
      </c>
    </row>
    <row r="90" spans="1:16" x14ac:dyDescent="0.25">
      <c r="A90" t="s">
        <v>141</v>
      </c>
      <c r="B90" t="s">
        <v>125</v>
      </c>
      <c r="C90">
        <v>0</v>
      </c>
      <c r="D90">
        <v>200</v>
      </c>
      <c r="E90">
        <v>5</v>
      </c>
      <c r="F90">
        <v>0</v>
      </c>
      <c r="G90">
        <v>4</v>
      </c>
      <c r="H90" t="s">
        <v>75</v>
      </c>
      <c r="I90">
        <v>90</v>
      </c>
      <c r="J90">
        <v>25</v>
      </c>
      <c r="K90" t="s">
        <v>102</v>
      </c>
      <c r="L90">
        <v>2000</v>
      </c>
      <c r="M90" t="s">
        <v>102</v>
      </c>
      <c r="N90">
        <v>288.79599999999999</v>
      </c>
      <c r="O90" t="s">
        <v>145</v>
      </c>
      <c r="P90">
        <v>125</v>
      </c>
    </row>
    <row r="91" spans="1:16" x14ac:dyDescent="0.25">
      <c r="A91" t="s">
        <v>141</v>
      </c>
      <c r="B91" t="s">
        <v>126</v>
      </c>
      <c r="C91">
        <v>0</v>
      </c>
      <c r="D91">
        <v>200</v>
      </c>
      <c r="E91">
        <v>5</v>
      </c>
      <c r="F91">
        <v>0</v>
      </c>
      <c r="G91">
        <v>4</v>
      </c>
      <c r="H91" t="s">
        <v>75</v>
      </c>
      <c r="I91">
        <v>90</v>
      </c>
      <c r="J91">
        <v>18</v>
      </c>
      <c r="K91" t="s">
        <v>102</v>
      </c>
      <c r="L91">
        <v>2000</v>
      </c>
      <c r="M91" t="s">
        <v>102</v>
      </c>
      <c r="N91">
        <v>312.60199999999998</v>
      </c>
      <c r="O91" t="s">
        <v>145</v>
      </c>
      <c r="P91">
        <v>126</v>
      </c>
    </row>
    <row r="92" spans="1:16" x14ac:dyDescent="0.25">
      <c r="A92" t="s">
        <v>141</v>
      </c>
      <c r="B92" t="s">
        <v>146</v>
      </c>
      <c r="C92">
        <v>0</v>
      </c>
      <c r="D92">
        <v>200</v>
      </c>
      <c r="E92">
        <v>5</v>
      </c>
      <c r="F92">
        <v>0</v>
      </c>
      <c r="G92">
        <v>4</v>
      </c>
      <c r="H92" t="s">
        <v>75</v>
      </c>
      <c r="I92">
        <v>90</v>
      </c>
      <c r="J92">
        <v>17</v>
      </c>
      <c r="K92" t="s">
        <v>102</v>
      </c>
      <c r="L92">
        <v>2000</v>
      </c>
      <c r="M92" t="s">
        <v>102</v>
      </c>
      <c r="N92">
        <v>315.53100000000001</v>
      </c>
      <c r="O92" t="s">
        <v>147</v>
      </c>
      <c r="P92">
        <v>127</v>
      </c>
    </row>
    <row r="93" spans="1:16" x14ac:dyDescent="0.25">
      <c r="A93" t="s">
        <v>141</v>
      </c>
      <c r="B93" t="s">
        <v>148</v>
      </c>
      <c r="C93">
        <v>0</v>
      </c>
      <c r="D93">
        <v>200</v>
      </c>
      <c r="E93">
        <v>0</v>
      </c>
      <c r="F93">
        <v>0</v>
      </c>
      <c r="G93">
        <v>4</v>
      </c>
      <c r="H93" t="s">
        <v>75</v>
      </c>
      <c r="I93">
        <v>90</v>
      </c>
      <c r="J93">
        <v>8</v>
      </c>
      <c r="K93" t="s">
        <v>102</v>
      </c>
      <c r="L93">
        <v>2000</v>
      </c>
      <c r="M93" t="s">
        <v>102</v>
      </c>
      <c r="N93">
        <v>352.21899999999999</v>
      </c>
      <c r="O93" t="s">
        <v>102</v>
      </c>
      <c r="P93">
        <v>128</v>
      </c>
    </row>
    <row r="94" spans="1:16" x14ac:dyDescent="0.25">
      <c r="A94" t="s">
        <v>141</v>
      </c>
      <c r="B94" t="s">
        <v>149</v>
      </c>
      <c r="C94">
        <v>0</v>
      </c>
      <c r="D94">
        <v>200</v>
      </c>
      <c r="E94">
        <v>5</v>
      </c>
      <c r="F94">
        <v>0</v>
      </c>
      <c r="G94">
        <v>4</v>
      </c>
      <c r="H94" t="s">
        <v>75</v>
      </c>
      <c r="I94">
        <v>90</v>
      </c>
      <c r="J94">
        <v>3</v>
      </c>
      <c r="K94" t="s">
        <v>102</v>
      </c>
      <c r="L94">
        <v>2000</v>
      </c>
      <c r="M94" t="s">
        <v>102</v>
      </c>
      <c r="N94">
        <v>389.036</v>
      </c>
      <c r="O94" t="s">
        <v>112</v>
      </c>
      <c r="P94">
        <v>129</v>
      </c>
    </row>
    <row r="95" spans="1:16" x14ac:dyDescent="0.25">
      <c r="A95" t="s">
        <v>141</v>
      </c>
      <c r="B95" t="s">
        <v>150</v>
      </c>
      <c r="C95">
        <v>0</v>
      </c>
      <c r="D95">
        <v>200</v>
      </c>
      <c r="E95">
        <v>0</v>
      </c>
      <c r="F95">
        <v>0</v>
      </c>
      <c r="G95">
        <v>4</v>
      </c>
      <c r="H95" t="s">
        <v>75</v>
      </c>
      <c r="I95">
        <v>89</v>
      </c>
      <c r="J95">
        <v>58</v>
      </c>
      <c r="K95" t="s">
        <v>102</v>
      </c>
      <c r="L95">
        <v>2000</v>
      </c>
      <c r="M95" t="s">
        <v>102</v>
      </c>
      <c r="N95">
        <v>426.38</v>
      </c>
      <c r="O95" t="s">
        <v>102</v>
      </c>
      <c r="P95">
        <v>130</v>
      </c>
    </row>
    <row r="96" spans="1:16" x14ac:dyDescent="0.25">
      <c r="A96" t="s">
        <v>141</v>
      </c>
      <c r="B96" t="s">
        <v>151</v>
      </c>
      <c r="C96">
        <v>0</v>
      </c>
      <c r="D96">
        <v>200</v>
      </c>
      <c r="E96">
        <v>0</v>
      </c>
      <c r="F96">
        <v>0</v>
      </c>
      <c r="G96">
        <v>4</v>
      </c>
      <c r="H96" t="s">
        <v>75</v>
      </c>
      <c r="I96">
        <v>89</v>
      </c>
      <c r="J96">
        <v>54</v>
      </c>
      <c r="K96" t="s">
        <v>102</v>
      </c>
      <c r="L96">
        <v>2000</v>
      </c>
      <c r="M96" t="s">
        <v>102</v>
      </c>
      <c r="N96">
        <v>451.01799999999997</v>
      </c>
      <c r="O96" t="s">
        <v>102</v>
      </c>
      <c r="P96">
        <v>131</v>
      </c>
    </row>
    <row r="97" spans="1:16" x14ac:dyDescent="0.25">
      <c r="A97" t="s">
        <v>141</v>
      </c>
      <c r="B97" t="s">
        <v>152</v>
      </c>
      <c r="C97">
        <v>0</v>
      </c>
      <c r="D97">
        <v>200</v>
      </c>
      <c r="E97">
        <v>5</v>
      </c>
      <c r="F97">
        <v>0</v>
      </c>
      <c r="G97">
        <v>4</v>
      </c>
      <c r="H97" t="s">
        <v>75</v>
      </c>
      <c r="I97">
        <v>89</v>
      </c>
      <c r="J97">
        <v>53</v>
      </c>
      <c r="K97" t="s">
        <v>102</v>
      </c>
      <c r="L97">
        <v>2000</v>
      </c>
      <c r="M97" t="s">
        <v>102</v>
      </c>
      <c r="N97">
        <v>492.09199999999998</v>
      </c>
      <c r="O97" t="s">
        <v>112</v>
      </c>
      <c r="P97">
        <v>132</v>
      </c>
    </row>
    <row r="98" spans="1:16" x14ac:dyDescent="0.25">
      <c r="A98" t="s">
        <v>152</v>
      </c>
      <c r="B98" t="s">
        <v>141</v>
      </c>
      <c r="C98">
        <v>2</v>
      </c>
      <c r="D98">
        <v>200</v>
      </c>
      <c r="E98">
        <v>20</v>
      </c>
      <c r="F98">
        <v>180</v>
      </c>
      <c r="G98">
        <v>0</v>
      </c>
      <c r="H98" t="s">
        <v>75</v>
      </c>
      <c r="K98" t="s">
        <v>102</v>
      </c>
      <c r="M98" t="s">
        <v>102</v>
      </c>
      <c r="O98" t="s">
        <v>103</v>
      </c>
      <c r="P98">
        <v>133</v>
      </c>
    </row>
    <row r="99" spans="1:16" x14ac:dyDescent="0.25">
      <c r="A99" t="s">
        <v>152</v>
      </c>
      <c r="B99" t="s">
        <v>129</v>
      </c>
      <c r="C99">
        <v>0</v>
      </c>
      <c r="D99">
        <v>200</v>
      </c>
      <c r="E99">
        <v>5</v>
      </c>
      <c r="F99">
        <v>0</v>
      </c>
      <c r="G99">
        <v>9</v>
      </c>
      <c r="H99" t="s">
        <v>75</v>
      </c>
      <c r="I99">
        <v>85</v>
      </c>
      <c r="J99">
        <v>9</v>
      </c>
      <c r="K99" t="s">
        <v>102</v>
      </c>
      <c r="L99">
        <v>2000</v>
      </c>
      <c r="M99" t="s">
        <v>102</v>
      </c>
      <c r="N99">
        <v>6.4039999999999999</v>
      </c>
      <c r="O99" t="s">
        <v>143</v>
      </c>
      <c r="P99">
        <v>134</v>
      </c>
    </row>
    <row r="100" spans="1:16" x14ac:dyDescent="0.25">
      <c r="A100" t="s">
        <v>152</v>
      </c>
      <c r="B100" t="s">
        <v>130</v>
      </c>
      <c r="C100">
        <v>0</v>
      </c>
      <c r="D100">
        <v>200</v>
      </c>
      <c r="E100">
        <v>5</v>
      </c>
      <c r="F100">
        <v>0</v>
      </c>
      <c r="G100">
        <v>9</v>
      </c>
      <c r="H100" t="s">
        <v>75</v>
      </c>
      <c r="I100">
        <v>86</v>
      </c>
      <c r="J100">
        <v>59</v>
      </c>
      <c r="K100" t="s">
        <v>102</v>
      </c>
      <c r="L100">
        <v>2000</v>
      </c>
      <c r="M100" t="s">
        <v>102</v>
      </c>
      <c r="N100">
        <v>11.401</v>
      </c>
      <c r="O100" t="s">
        <v>120</v>
      </c>
      <c r="P100">
        <v>135</v>
      </c>
    </row>
    <row r="101" spans="1:16" x14ac:dyDescent="0.25">
      <c r="A101" t="s">
        <v>152</v>
      </c>
      <c r="B101" t="s">
        <v>131</v>
      </c>
      <c r="C101">
        <v>1</v>
      </c>
      <c r="D101">
        <v>200</v>
      </c>
      <c r="E101">
        <v>8</v>
      </c>
      <c r="F101">
        <v>0</v>
      </c>
      <c r="G101">
        <v>9</v>
      </c>
      <c r="H101" t="s">
        <v>75</v>
      </c>
      <c r="I101">
        <v>88</v>
      </c>
      <c r="J101">
        <v>55</v>
      </c>
      <c r="K101" t="s">
        <v>102</v>
      </c>
      <c r="L101">
        <v>2000</v>
      </c>
      <c r="M101" t="s">
        <v>102</v>
      </c>
      <c r="N101">
        <v>19.748999999999999</v>
      </c>
      <c r="O101" t="s">
        <v>120</v>
      </c>
      <c r="P101">
        <v>136</v>
      </c>
    </row>
    <row r="102" spans="1:16" x14ac:dyDescent="0.25">
      <c r="A102" t="s">
        <v>152</v>
      </c>
      <c r="B102" t="s">
        <v>111</v>
      </c>
      <c r="C102">
        <v>0</v>
      </c>
      <c r="D102">
        <v>200</v>
      </c>
      <c r="E102">
        <v>5</v>
      </c>
      <c r="F102">
        <v>0</v>
      </c>
      <c r="G102">
        <v>9</v>
      </c>
      <c r="H102" t="s">
        <v>75</v>
      </c>
      <c r="I102">
        <v>87</v>
      </c>
      <c r="J102">
        <v>27</v>
      </c>
      <c r="K102" t="s">
        <v>102</v>
      </c>
      <c r="L102">
        <v>2000</v>
      </c>
      <c r="M102" t="s">
        <v>102</v>
      </c>
      <c r="N102">
        <v>25.277999999999999</v>
      </c>
      <c r="O102" t="s">
        <v>153</v>
      </c>
      <c r="P102">
        <v>137</v>
      </c>
    </row>
    <row r="103" spans="1:16" x14ac:dyDescent="0.25">
      <c r="A103" t="s">
        <v>152</v>
      </c>
      <c r="B103" t="s">
        <v>113</v>
      </c>
      <c r="C103">
        <v>0</v>
      </c>
      <c r="D103">
        <v>200</v>
      </c>
      <c r="E103">
        <v>0</v>
      </c>
      <c r="F103">
        <v>0</v>
      </c>
      <c r="G103">
        <v>9</v>
      </c>
      <c r="H103" t="s">
        <v>75</v>
      </c>
      <c r="I103">
        <v>88</v>
      </c>
      <c r="J103">
        <v>25</v>
      </c>
      <c r="K103" t="s">
        <v>102</v>
      </c>
      <c r="L103">
        <v>2000</v>
      </c>
      <c r="M103" t="s">
        <v>102</v>
      </c>
      <c r="N103">
        <v>63.470999999999997</v>
      </c>
      <c r="O103" t="s">
        <v>102</v>
      </c>
      <c r="P103">
        <v>138</v>
      </c>
    </row>
    <row r="104" spans="1:16" x14ac:dyDescent="0.25">
      <c r="A104" t="s">
        <v>152</v>
      </c>
      <c r="B104" t="s">
        <v>114</v>
      </c>
      <c r="C104">
        <v>0</v>
      </c>
      <c r="D104">
        <v>200</v>
      </c>
      <c r="E104">
        <v>5</v>
      </c>
      <c r="F104">
        <v>0</v>
      </c>
      <c r="G104">
        <v>9</v>
      </c>
      <c r="H104" t="s">
        <v>75</v>
      </c>
      <c r="I104">
        <v>88</v>
      </c>
      <c r="J104">
        <v>32</v>
      </c>
      <c r="K104" t="s">
        <v>102</v>
      </c>
      <c r="L104">
        <v>2000</v>
      </c>
      <c r="M104" t="s">
        <v>102</v>
      </c>
      <c r="N104">
        <v>104.05500000000001</v>
      </c>
      <c r="O104" t="s">
        <v>112</v>
      </c>
      <c r="P104">
        <v>139</v>
      </c>
    </row>
    <row r="105" spans="1:16" x14ac:dyDescent="0.25">
      <c r="A105" t="s">
        <v>152</v>
      </c>
      <c r="B105" t="s">
        <v>116</v>
      </c>
      <c r="C105">
        <v>0</v>
      </c>
      <c r="D105">
        <v>200</v>
      </c>
      <c r="E105">
        <v>0</v>
      </c>
      <c r="F105">
        <v>0</v>
      </c>
      <c r="G105">
        <v>9</v>
      </c>
      <c r="H105" t="s">
        <v>75</v>
      </c>
      <c r="I105">
        <v>88</v>
      </c>
      <c r="J105">
        <v>43</v>
      </c>
      <c r="K105" t="s">
        <v>102</v>
      </c>
      <c r="L105">
        <v>2000</v>
      </c>
      <c r="M105" t="s">
        <v>102</v>
      </c>
      <c r="N105">
        <v>151.71700000000001</v>
      </c>
      <c r="O105" t="s">
        <v>102</v>
      </c>
      <c r="P105">
        <v>140</v>
      </c>
    </row>
    <row r="106" spans="1:16" x14ac:dyDescent="0.25">
      <c r="A106" t="s">
        <v>152</v>
      </c>
      <c r="B106" t="s">
        <v>154</v>
      </c>
      <c r="C106">
        <v>0</v>
      </c>
      <c r="D106">
        <v>200</v>
      </c>
      <c r="E106">
        <v>5</v>
      </c>
      <c r="F106">
        <v>0</v>
      </c>
      <c r="G106">
        <v>9</v>
      </c>
      <c r="H106" t="s">
        <v>75</v>
      </c>
      <c r="I106">
        <v>88</v>
      </c>
      <c r="J106">
        <v>59</v>
      </c>
      <c r="K106" t="s">
        <v>102</v>
      </c>
      <c r="L106">
        <v>2000</v>
      </c>
      <c r="M106" t="s">
        <v>102</v>
      </c>
      <c r="N106">
        <v>201.49299999999999</v>
      </c>
      <c r="O106" t="s">
        <v>155</v>
      </c>
      <c r="P106">
        <v>141</v>
      </c>
    </row>
    <row r="107" spans="1:16" x14ac:dyDescent="0.25">
      <c r="A107" t="s">
        <v>154</v>
      </c>
      <c r="B107" t="s">
        <v>152</v>
      </c>
      <c r="C107">
        <v>2</v>
      </c>
      <c r="D107">
        <v>200</v>
      </c>
      <c r="E107">
        <v>20</v>
      </c>
      <c r="F107">
        <v>180</v>
      </c>
      <c r="G107">
        <v>0</v>
      </c>
      <c r="H107" t="s">
        <v>75</v>
      </c>
      <c r="K107" t="s">
        <v>102</v>
      </c>
      <c r="M107" t="s">
        <v>102</v>
      </c>
      <c r="O107" t="s">
        <v>103</v>
      </c>
      <c r="P107">
        <v>142</v>
      </c>
    </row>
    <row r="108" spans="1:16" x14ac:dyDescent="0.25">
      <c r="A108" t="s">
        <v>154</v>
      </c>
      <c r="B108" t="s">
        <v>129</v>
      </c>
      <c r="C108">
        <v>0</v>
      </c>
      <c r="D108">
        <v>200</v>
      </c>
      <c r="E108">
        <v>0</v>
      </c>
      <c r="F108">
        <v>0</v>
      </c>
      <c r="G108">
        <v>20</v>
      </c>
      <c r="H108" t="s">
        <v>75</v>
      </c>
      <c r="I108">
        <v>90</v>
      </c>
      <c r="J108">
        <v>20</v>
      </c>
      <c r="K108" t="s">
        <v>102</v>
      </c>
      <c r="L108">
        <v>2000</v>
      </c>
      <c r="M108" t="s">
        <v>102</v>
      </c>
      <c r="N108">
        <v>37.51</v>
      </c>
      <c r="O108" t="s">
        <v>102</v>
      </c>
      <c r="P108">
        <v>143</v>
      </c>
    </row>
    <row r="109" spans="1:16" x14ac:dyDescent="0.25">
      <c r="A109" t="s">
        <v>154</v>
      </c>
      <c r="B109" t="s">
        <v>130</v>
      </c>
      <c r="C109">
        <v>0</v>
      </c>
      <c r="D109">
        <v>200</v>
      </c>
      <c r="E109">
        <v>5</v>
      </c>
      <c r="F109">
        <v>0</v>
      </c>
      <c r="G109">
        <v>20</v>
      </c>
      <c r="H109" t="s">
        <v>75</v>
      </c>
      <c r="I109">
        <v>89</v>
      </c>
      <c r="J109">
        <v>45</v>
      </c>
      <c r="K109" t="s">
        <v>102</v>
      </c>
      <c r="L109">
        <v>2000</v>
      </c>
      <c r="M109" t="s">
        <v>102</v>
      </c>
      <c r="N109">
        <v>62.456000000000003</v>
      </c>
      <c r="O109" t="s">
        <v>156</v>
      </c>
      <c r="P109">
        <v>144</v>
      </c>
    </row>
    <row r="110" spans="1:16" x14ac:dyDescent="0.25">
      <c r="A110" t="s">
        <v>154</v>
      </c>
      <c r="B110" t="s">
        <v>131</v>
      </c>
      <c r="C110">
        <v>0</v>
      </c>
      <c r="D110">
        <v>200</v>
      </c>
      <c r="E110">
        <v>5</v>
      </c>
      <c r="F110">
        <v>0</v>
      </c>
      <c r="G110">
        <v>20</v>
      </c>
      <c r="H110" t="s">
        <v>75</v>
      </c>
      <c r="I110">
        <v>89</v>
      </c>
      <c r="J110">
        <v>48</v>
      </c>
      <c r="K110" t="s">
        <v>102</v>
      </c>
      <c r="L110">
        <v>2000</v>
      </c>
      <c r="M110" t="s">
        <v>102</v>
      </c>
      <c r="N110">
        <v>106.52</v>
      </c>
      <c r="O110" t="s">
        <v>112</v>
      </c>
      <c r="P110">
        <v>145</v>
      </c>
    </row>
    <row r="111" spans="1:16" x14ac:dyDescent="0.25">
      <c r="A111" t="s">
        <v>154</v>
      </c>
      <c r="B111" t="s">
        <v>111</v>
      </c>
      <c r="C111">
        <v>0</v>
      </c>
      <c r="D111">
        <v>200</v>
      </c>
      <c r="E111">
        <v>0</v>
      </c>
      <c r="F111">
        <v>0</v>
      </c>
      <c r="G111">
        <v>20</v>
      </c>
      <c r="H111" t="s">
        <v>75</v>
      </c>
      <c r="I111">
        <v>89</v>
      </c>
      <c r="J111">
        <v>55</v>
      </c>
      <c r="K111" t="s">
        <v>102</v>
      </c>
      <c r="L111">
        <v>2000</v>
      </c>
      <c r="M111" t="s">
        <v>102</v>
      </c>
      <c r="N111">
        <v>160.89699999999999</v>
      </c>
      <c r="O111" t="s">
        <v>102</v>
      </c>
      <c r="P111">
        <v>146</v>
      </c>
    </row>
    <row r="112" spans="1:16" x14ac:dyDescent="0.25">
      <c r="A112" t="s">
        <v>154</v>
      </c>
      <c r="B112" t="s">
        <v>157</v>
      </c>
      <c r="C112">
        <v>1</v>
      </c>
      <c r="D112">
        <v>200</v>
      </c>
      <c r="E112">
        <v>8</v>
      </c>
      <c r="F112">
        <v>0</v>
      </c>
      <c r="G112">
        <v>20</v>
      </c>
      <c r="H112" t="s">
        <v>75</v>
      </c>
      <c r="I112">
        <v>90</v>
      </c>
      <c r="J112">
        <v>6</v>
      </c>
      <c r="K112" t="s">
        <v>102</v>
      </c>
      <c r="L112">
        <v>2000</v>
      </c>
      <c r="M112" t="s">
        <v>102</v>
      </c>
      <c r="N112">
        <v>206.80699999999999</v>
      </c>
      <c r="O112" t="s">
        <v>112</v>
      </c>
      <c r="P112">
        <v>147</v>
      </c>
    </row>
    <row r="113" spans="1:16" x14ac:dyDescent="0.25">
      <c r="A113" t="s">
        <v>157</v>
      </c>
      <c r="B113" t="s">
        <v>154</v>
      </c>
      <c r="C113">
        <v>2</v>
      </c>
      <c r="D113">
        <v>200</v>
      </c>
      <c r="E113">
        <v>20</v>
      </c>
      <c r="F113">
        <v>180</v>
      </c>
      <c r="G113">
        <v>0</v>
      </c>
      <c r="H113" t="s">
        <v>75</v>
      </c>
      <c r="K113" t="s">
        <v>102</v>
      </c>
      <c r="M113" t="s">
        <v>102</v>
      </c>
      <c r="O113" t="s">
        <v>103</v>
      </c>
      <c r="P113">
        <v>148</v>
      </c>
    </row>
    <row r="114" spans="1:16" x14ac:dyDescent="0.25">
      <c r="A114" t="s">
        <v>157</v>
      </c>
      <c r="B114" t="s">
        <v>129</v>
      </c>
      <c r="C114">
        <v>0</v>
      </c>
      <c r="D114">
        <v>200</v>
      </c>
      <c r="E114">
        <v>5</v>
      </c>
      <c r="F114">
        <v>60</v>
      </c>
      <c r="G114">
        <v>32</v>
      </c>
      <c r="H114" t="s">
        <v>75</v>
      </c>
      <c r="I114">
        <v>91</v>
      </c>
      <c r="J114">
        <v>22</v>
      </c>
      <c r="K114" t="s">
        <v>102</v>
      </c>
      <c r="L114">
        <v>2000</v>
      </c>
      <c r="M114" t="s">
        <v>102</v>
      </c>
      <c r="N114">
        <v>21.663</v>
      </c>
      <c r="O114" t="s">
        <v>158</v>
      </c>
      <c r="P114">
        <v>149</v>
      </c>
    </row>
    <row r="115" spans="1:16" x14ac:dyDescent="0.25">
      <c r="A115" t="s">
        <v>157</v>
      </c>
      <c r="B115" t="s">
        <v>130</v>
      </c>
      <c r="C115">
        <v>0</v>
      </c>
      <c r="D115">
        <v>200</v>
      </c>
      <c r="E115">
        <v>5</v>
      </c>
      <c r="F115">
        <v>60</v>
      </c>
      <c r="G115">
        <v>32</v>
      </c>
      <c r="H115" t="s">
        <v>75</v>
      </c>
      <c r="I115">
        <v>91</v>
      </c>
      <c r="J115">
        <v>11</v>
      </c>
      <c r="K115" t="s">
        <v>102</v>
      </c>
      <c r="L115">
        <v>2000</v>
      </c>
      <c r="M115" t="s">
        <v>102</v>
      </c>
      <c r="N115">
        <v>25.594000000000001</v>
      </c>
      <c r="O115" t="s">
        <v>159</v>
      </c>
      <c r="P115">
        <v>150</v>
      </c>
    </row>
    <row r="116" spans="1:16" x14ac:dyDescent="0.25">
      <c r="A116" t="s">
        <v>157</v>
      </c>
      <c r="B116" t="s">
        <v>131</v>
      </c>
      <c r="C116">
        <v>0</v>
      </c>
      <c r="D116">
        <v>200</v>
      </c>
      <c r="E116">
        <v>0</v>
      </c>
      <c r="F116">
        <v>60</v>
      </c>
      <c r="G116">
        <v>32</v>
      </c>
      <c r="H116" t="s">
        <v>75</v>
      </c>
      <c r="I116">
        <v>90</v>
      </c>
      <c r="J116">
        <v>37</v>
      </c>
      <c r="K116" t="s">
        <v>102</v>
      </c>
      <c r="L116">
        <v>2000</v>
      </c>
      <c r="M116" t="s">
        <v>102</v>
      </c>
      <c r="N116">
        <v>39.658000000000001</v>
      </c>
      <c r="O116" t="s">
        <v>102</v>
      </c>
      <c r="P116">
        <v>151</v>
      </c>
    </row>
    <row r="117" spans="1:16" x14ac:dyDescent="0.25">
      <c r="A117" t="s">
        <v>157</v>
      </c>
      <c r="B117" t="s">
        <v>106</v>
      </c>
      <c r="C117">
        <v>0</v>
      </c>
      <c r="D117">
        <v>200</v>
      </c>
      <c r="E117">
        <v>0</v>
      </c>
      <c r="F117">
        <v>60</v>
      </c>
      <c r="G117">
        <v>32</v>
      </c>
      <c r="H117" t="s">
        <v>75</v>
      </c>
      <c r="I117">
        <v>91</v>
      </c>
      <c r="J117">
        <v>23</v>
      </c>
      <c r="K117" t="s">
        <v>102</v>
      </c>
      <c r="L117">
        <v>2000</v>
      </c>
      <c r="M117" t="s">
        <v>102</v>
      </c>
      <c r="N117">
        <v>67.134</v>
      </c>
      <c r="O117" t="s">
        <v>102</v>
      </c>
      <c r="P117">
        <v>152</v>
      </c>
    </row>
    <row r="118" spans="1:16" x14ac:dyDescent="0.25">
      <c r="A118" t="s">
        <v>106</v>
      </c>
      <c r="B118" t="s">
        <v>157</v>
      </c>
      <c r="C118">
        <v>2</v>
      </c>
      <c r="D118">
        <v>200</v>
      </c>
      <c r="E118">
        <v>20</v>
      </c>
      <c r="F118">
        <v>180</v>
      </c>
      <c r="G118">
        <v>0</v>
      </c>
      <c r="H118" t="s">
        <v>9</v>
      </c>
      <c r="K118" t="s">
        <v>102</v>
      </c>
      <c r="M118" t="s">
        <v>102</v>
      </c>
      <c r="O118" t="s">
        <v>103</v>
      </c>
      <c r="P118">
        <v>153</v>
      </c>
    </row>
    <row r="119" spans="1:16" x14ac:dyDescent="0.25">
      <c r="A119" t="s">
        <v>106</v>
      </c>
      <c r="B119" t="s">
        <v>129</v>
      </c>
      <c r="C119">
        <v>1</v>
      </c>
      <c r="D119">
        <v>200</v>
      </c>
      <c r="E119">
        <v>8</v>
      </c>
      <c r="F119">
        <v>57</v>
      </c>
      <c r="G119">
        <v>46</v>
      </c>
      <c r="H119" t="s">
        <v>9</v>
      </c>
      <c r="I119">
        <v>92</v>
      </c>
      <c r="J119">
        <v>2</v>
      </c>
      <c r="K119" t="s">
        <v>102</v>
      </c>
      <c r="L119">
        <v>2000</v>
      </c>
      <c r="M119" t="s">
        <v>102</v>
      </c>
      <c r="N119">
        <v>24.748999999999999</v>
      </c>
      <c r="O119" t="s">
        <v>118</v>
      </c>
      <c r="P119">
        <v>154</v>
      </c>
    </row>
    <row r="120" spans="1:16" x14ac:dyDescent="0.25">
      <c r="A120" t="s">
        <v>106</v>
      </c>
      <c r="B120" t="s">
        <v>130</v>
      </c>
      <c r="C120">
        <v>0</v>
      </c>
      <c r="D120">
        <v>200</v>
      </c>
      <c r="E120">
        <v>5</v>
      </c>
      <c r="F120">
        <v>57</v>
      </c>
      <c r="G120">
        <v>46</v>
      </c>
      <c r="H120" t="s">
        <v>9</v>
      </c>
      <c r="I120">
        <v>92</v>
      </c>
      <c r="J120">
        <v>9</v>
      </c>
      <c r="K120" t="s">
        <v>102</v>
      </c>
      <c r="L120">
        <v>2000</v>
      </c>
      <c r="M120" t="s">
        <v>102</v>
      </c>
      <c r="N120">
        <v>37.976999999999997</v>
      </c>
      <c r="O120" t="s">
        <v>160</v>
      </c>
      <c r="P120">
        <v>155</v>
      </c>
    </row>
    <row r="121" spans="1:16" x14ac:dyDescent="0.25">
      <c r="A121" t="s">
        <v>106</v>
      </c>
      <c r="B121" t="s">
        <v>131</v>
      </c>
      <c r="C121">
        <v>0</v>
      </c>
      <c r="D121">
        <v>200</v>
      </c>
      <c r="E121">
        <v>0</v>
      </c>
      <c r="F121">
        <v>57</v>
      </c>
      <c r="G121">
        <v>46</v>
      </c>
      <c r="H121" t="s">
        <v>9</v>
      </c>
      <c r="I121">
        <v>90</v>
      </c>
      <c r="J121">
        <v>55</v>
      </c>
      <c r="K121" t="s">
        <v>102</v>
      </c>
      <c r="L121">
        <v>2000</v>
      </c>
      <c r="M121" t="s">
        <v>102</v>
      </c>
      <c r="N121">
        <v>85.212000000000003</v>
      </c>
      <c r="O121" t="s">
        <v>102</v>
      </c>
      <c r="P121">
        <v>156</v>
      </c>
    </row>
    <row r="122" spans="1:16" x14ac:dyDescent="0.25">
      <c r="A122" t="s">
        <v>106</v>
      </c>
      <c r="B122" t="s">
        <v>161</v>
      </c>
      <c r="C122">
        <v>0</v>
      </c>
      <c r="D122">
        <v>200</v>
      </c>
      <c r="E122">
        <v>5</v>
      </c>
      <c r="F122">
        <v>57</v>
      </c>
      <c r="G122">
        <v>46</v>
      </c>
      <c r="H122" t="s">
        <v>9</v>
      </c>
      <c r="I122">
        <v>91</v>
      </c>
      <c r="J122">
        <v>22</v>
      </c>
      <c r="K122" t="s">
        <v>102</v>
      </c>
      <c r="L122">
        <v>2000</v>
      </c>
      <c r="M122" t="s">
        <v>102</v>
      </c>
      <c r="N122">
        <v>126.068</v>
      </c>
      <c r="O122" t="s">
        <v>155</v>
      </c>
      <c r="P122">
        <v>157</v>
      </c>
    </row>
    <row r="123" spans="1:16" x14ac:dyDescent="0.25">
      <c r="A123" t="s">
        <v>161</v>
      </c>
      <c r="B123" t="s">
        <v>106</v>
      </c>
      <c r="C123">
        <v>2</v>
      </c>
      <c r="D123">
        <v>200</v>
      </c>
      <c r="E123">
        <v>20</v>
      </c>
      <c r="F123">
        <v>180</v>
      </c>
      <c r="G123">
        <v>0</v>
      </c>
      <c r="H123" t="s">
        <v>75</v>
      </c>
      <c r="K123" t="s">
        <v>102</v>
      </c>
      <c r="M123" t="s">
        <v>102</v>
      </c>
      <c r="O123" t="s">
        <v>103</v>
      </c>
      <c r="P123">
        <v>158</v>
      </c>
    </row>
    <row r="124" spans="1:16" x14ac:dyDescent="0.25">
      <c r="A124" t="s">
        <v>161</v>
      </c>
      <c r="B124" t="s">
        <v>129</v>
      </c>
      <c r="C124">
        <v>0</v>
      </c>
      <c r="D124">
        <v>200</v>
      </c>
      <c r="E124">
        <v>0</v>
      </c>
      <c r="F124">
        <v>37</v>
      </c>
      <c r="G124">
        <v>25</v>
      </c>
      <c r="H124" t="s">
        <v>75</v>
      </c>
      <c r="I124">
        <v>91</v>
      </c>
      <c r="J124">
        <v>40</v>
      </c>
      <c r="K124" t="s">
        <v>102</v>
      </c>
      <c r="L124">
        <v>2000</v>
      </c>
      <c r="M124" t="s">
        <v>102</v>
      </c>
      <c r="N124">
        <v>30.934999999999999</v>
      </c>
      <c r="O124" t="s">
        <v>102</v>
      </c>
      <c r="P124">
        <v>159</v>
      </c>
    </row>
    <row r="125" spans="1:16" x14ac:dyDescent="0.25">
      <c r="A125" t="s">
        <v>161</v>
      </c>
      <c r="B125" t="s">
        <v>130</v>
      </c>
      <c r="C125">
        <v>0</v>
      </c>
      <c r="D125">
        <v>200</v>
      </c>
      <c r="E125">
        <v>0</v>
      </c>
      <c r="F125">
        <v>37</v>
      </c>
      <c r="G125">
        <v>25</v>
      </c>
      <c r="H125" t="s">
        <v>75</v>
      </c>
      <c r="I125">
        <v>91</v>
      </c>
      <c r="J125">
        <v>52</v>
      </c>
      <c r="K125" t="s">
        <v>102</v>
      </c>
      <c r="L125">
        <v>2000</v>
      </c>
      <c r="M125" t="s">
        <v>102</v>
      </c>
      <c r="N125">
        <v>57.51</v>
      </c>
      <c r="O125" t="s">
        <v>102</v>
      </c>
      <c r="P125">
        <v>160</v>
      </c>
    </row>
    <row r="126" spans="1:16" x14ac:dyDescent="0.25">
      <c r="A126" t="s">
        <v>161</v>
      </c>
      <c r="B126" t="s">
        <v>131</v>
      </c>
      <c r="C126">
        <v>0</v>
      </c>
      <c r="D126">
        <v>200</v>
      </c>
      <c r="E126">
        <v>5</v>
      </c>
      <c r="F126">
        <v>37</v>
      </c>
      <c r="G126">
        <v>25</v>
      </c>
      <c r="H126" t="s">
        <v>75</v>
      </c>
      <c r="I126">
        <v>92</v>
      </c>
      <c r="J126">
        <v>51</v>
      </c>
      <c r="K126" t="s">
        <v>102</v>
      </c>
      <c r="L126">
        <v>2000</v>
      </c>
      <c r="M126" t="s">
        <v>102</v>
      </c>
      <c r="N126">
        <v>91.649000000000001</v>
      </c>
      <c r="O126" t="s">
        <v>162</v>
      </c>
      <c r="P126">
        <v>161</v>
      </c>
    </row>
    <row r="127" spans="1:16" x14ac:dyDescent="0.25">
      <c r="A127" t="s">
        <v>161</v>
      </c>
      <c r="B127" t="s">
        <v>111</v>
      </c>
      <c r="C127">
        <v>0</v>
      </c>
      <c r="D127">
        <v>200</v>
      </c>
      <c r="E127">
        <v>5</v>
      </c>
      <c r="F127">
        <v>37</v>
      </c>
      <c r="G127">
        <v>25</v>
      </c>
      <c r="H127" t="s">
        <v>75</v>
      </c>
      <c r="I127">
        <v>92</v>
      </c>
      <c r="J127">
        <v>46</v>
      </c>
      <c r="K127" t="s">
        <v>102</v>
      </c>
      <c r="L127">
        <v>2000</v>
      </c>
      <c r="M127" t="s">
        <v>102</v>
      </c>
      <c r="N127">
        <v>95.858999999999995</v>
      </c>
      <c r="O127" t="s">
        <v>112</v>
      </c>
      <c r="P127">
        <v>162</v>
      </c>
    </row>
    <row r="128" spans="1:16" x14ac:dyDescent="0.25">
      <c r="A128" t="s">
        <v>161</v>
      </c>
      <c r="B128" t="s">
        <v>113</v>
      </c>
      <c r="C128">
        <v>1</v>
      </c>
      <c r="D128">
        <v>200</v>
      </c>
      <c r="E128">
        <v>8</v>
      </c>
      <c r="F128">
        <v>37</v>
      </c>
      <c r="G128">
        <v>25</v>
      </c>
      <c r="H128" t="s">
        <v>75</v>
      </c>
      <c r="I128">
        <v>93</v>
      </c>
      <c r="J128">
        <v>20</v>
      </c>
      <c r="K128" t="s">
        <v>102</v>
      </c>
      <c r="L128">
        <v>2000</v>
      </c>
      <c r="M128" t="s">
        <v>102</v>
      </c>
      <c r="N128">
        <v>141.108</v>
      </c>
      <c r="O128" t="s">
        <v>102</v>
      </c>
      <c r="P128">
        <v>163</v>
      </c>
    </row>
    <row r="129" spans="1:16" x14ac:dyDescent="0.25">
      <c r="A129" t="s">
        <v>161</v>
      </c>
      <c r="B129" t="s">
        <v>114</v>
      </c>
      <c r="C129">
        <v>0</v>
      </c>
      <c r="D129">
        <v>200</v>
      </c>
      <c r="E129">
        <v>0</v>
      </c>
      <c r="F129">
        <v>37</v>
      </c>
      <c r="G129">
        <v>25</v>
      </c>
      <c r="H129" t="s">
        <v>75</v>
      </c>
      <c r="I129">
        <v>93</v>
      </c>
      <c r="J129">
        <v>29</v>
      </c>
      <c r="K129" t="s">
        <v>102</v>
      </c>
      <c r="L129">
        <v>2000</v>
      </c>
      <c r="M129" t="s">
        <v>102</v>
      </c>
      <c r="N129">
        <v>170.22</v>
      </c>
      <c r="O129" t="s">
        <v>102</v>
      </c>
      <c r="P129">
        <v>164</v>
      </c>
    </row>
    <row r="130" spans="1:16" x14ac:dyDescent="0.25">
      <c r="A130" t="s">
        <v>161</v>
      </c>
      <c r="B130" t="s">
        <v>116</v>
      </c>
      <c r="C130">
        <v>0</v>
      </c>
      <c r="D130">
        <v>200</v>
      </c>
      <c r="E130">
        <v>5</v>
      </c>
      <c r="F130">
        <v>37</v>
      </c>
      <c r="G130">
        <v>25</v>
      </c>
      <c r="H130" t="s">
        <v>75</v>
      </c>
      <c r="I130">
        <v>93</v>
      </c>
      <c r="J130">
        <v>36</v>
      </c>
      <c r="K130" t="s">
        <v>102</v>
      </c>
      <c r="L130">
        <v>2000</v>
      </c>
      <c r="M130" t="s">
        <v>102</v>
      </c>
      <c r="N130">
        <v>191.14400000000001</v>
      </c>
      <c r="O130" t="s">
        <v>112</v>
      </c>
      <c r="P130">
        <v>165</v>
      </c>
    </row>
    <row r="131" spans="1:16" x14ac:dyDescent="0.25">
      <c r="A131" t="s">
        <v>161</v>
      </c>
      <c r="B131" t="s">
        <v>117</v>
      </c>
      <c r="C131">
        <v>0</v>
      </c>
      <c r="D131">
        <v>200</v>
      </c>
      <c r="E131">
        <v>5</v>
      </c>
      <c r="F131">
        <v>37</v>
      </c>
      <c r="G131">
        <v>25</v>
      </c>
      <c r="H131" t="s">
        <v>75</v>
      </c>
      <c r="I131">
        <v>93</v>
      </c>
      <c r="J131">
        <v>35</v>
      </c>
      <c r="K131" t="s">
        <v>102</v>
      </c>
      <c r="L131">
        <v>2000</v>
      </c>
      <c r="M131" t="s">
        <v>102</v>
      </c>
      <c r="N131">
        <v>219.30600000000001</v>
      </c>
      <c r="O131" t="s">
        <v>163</v>
      </c>
      <c r="P131">
        <v>166</v>
      </c>
    </row>
    <row r="132" spans="1:16" x14ac:dyDescent="0.25">
      <c r="A132" t="s">
        <v>161</v>
      </c>
      <c r="B132" t="s">
        <v>119</v>
      </c>
      <c r="C132">
        <v>0</v>
      </c>
      <c r="D132">
        <v>200</v>
      </c>
      <c r="E132">
        <v>5</v>
      </c>
      <c r="F132">
        <v>37</v>
      </c>
      <c r="G132">
        <v>25</v>
      </c>
      <c r="H132" t="s">
        <v>75</v>
      </c>
      <c r="I132">
        <v>93</v>
      </c>
      <c r="J132">
        <v>28</v>
      </c>
      <c r="K132" t="s">
        <v>102</v>
      </c>
      <c r="L132">
        <v>2000</v>
      </c>
      <c r="M132" t="s">
        <v>102</v>
      </c>
      <c r="N132">
        <v>245.44300000000001</v>
      </c>
      <c r="O132" t="s">
        <v>163</v>
      </c>
      <c r="P132">
        <v>167</v>
      </c>
    </row>
    <row r="133" spans="1:16" x14ac:dyDescent="0.25">
      <c r="A133" t="s">
        <v>161</v>
      </c>
      <c r="B133" t="s">
        <v>121</v>
      </c>
      <c r="C133">
        <v>0</v>
      </c>
      <c r="D133">
        <v>200</v>
      </c>
      <c r="E133">
        <v>0</v>
      </c>
      <c r="F133">
        <v>37</v>
      </c>
      <c r="G133">
        <v>25</v>
      </c>
      <c r="H133" t="s">
        <v>75</v>
      </c>
      <c r="I133">
        <v>93</v>
      </c>
      <c r="J133">
        <v>30</v>
      </c>
      <c r="K133" t="s">
        <v>102</v>
      </c>
      <c r="L133">
        <v>2000</v>
      </c>
      <c r="M133" t="s">
        <v>102</v>
      </c>
      <c r="N133">
        <v>254.49199999999999</v>
      </c>
      <c r="O133" t="s">
        <v>102</v>
      </c>
      <c r="P133">
        <v>168</v>
      </c>
    </row>
    <row r="134" spans="1:16" x14ac:dyDescent="0.25">
      <c r="A134" t="s">
        <v>161</v>
      </c>
      <c r="B134" t="s">
        <v>123</v>
      </c>
      <c r="C134">
        <v>0</v>
      </c>
      <c r="D134">
        <v>200</v>
      </c>
      <c r="E134">
        <v>5</v>
      </c>
      <c r="F134">
        <v>37</v>
      </c>
      <c r="G134">
        <v>25</v>
      </c>
      <c r="H134" t="s">
        <v>75</v>
      </c>
      <c r="I134">
        <v>92</v>
      </c>
      <c r="J134">
        <v>19</v>
      </c>
      <c r="K134" t="s">
        <v>102</v>
      </c>
      <c r="L134">
        <v>2000</v>
      </c>
      <c r="M134" t="s">
        <v>102</v>
      </c>
      <c r="N134">
        <v>458.91</v>
      </c>
      <c r="O134" t="s">
        <v>164</v>
      </c>
      <c r="P134">
        <v>169</v>
      </c>
    </row>
    <row r="135" spans="1:16" x14ac:dyDescent="0.25">
      <c r="A135" t="s">
        <v>161</v>
      </c>
      <c r="B135" t="s">
        <v>165</v>
      </c>
      <c r="C135">
        <v>0</v>
      </c>
      <c r="D135">
        <v>200</v>
      </c>
      <c r="E135">
        <v>5</v>
      </c>
      <c r="F135">
        <v>37</v>
      </c>
      <c r="G135">
        <v>25</v>
      </c>
      <c r="H135" t="s">
        <v>75</v>
      </c>
      <c r="I135">
        <v>92</v>
      </c>
      <c r="J135">
        <v>5</v>
      </c>
      <c r="K135" t="s">
        <v>102</v>
      </c>
      <c r="L135">
        <v>2000</v>
      </c>
      <c r="M135" t="s">
        <v>102</v>
      </c>
      <c r="N135">
        <v>485.70499999999998</v>
      </c>
      <c r="O135" t="s">
        <v>112</v>
      </c>
      <c r="P135">
        <v>170</v>
      </c>
    </row>
    <row r="136" spans="1:16" x14ac:dyDescent="0.25">
      <c r="A136" t="s">
        <v>165</v>
      </c>
      <c r="B136" t="s">
        <v>161</v>
      </c>
      <c r="C136">
        <v>2</v>
      </c>
      <c r="D136">
        <v>200</v>
      </c>
      <c r="E136">
        <v>20</v>
      </c>
      <c r="F136">
        <v>180</v>
      </c>
      <c r="G136">
        <v>0</v>
      </c>
      <c r="H136" t="s">
        <v>9</v>
      </c>
      <c r="K136" t="s">
        <v>102</v>
      </c>
      <c r="M136" t="s">
        <v>102</v>
      </c>
      <c r="O136" t="s">
        <v>103</v>
      </c>
      <c r="P136">
        <v>171</v>
      </c>
    </row>
    <row r="137" spans="1:16" x14ac:dyDescent="0.25">
      <c r="A137" t="s">
        <v>165</v>
      </c>
      <c r="B137" t="s">
        <v>129</v>
      </c>
      <c r="C137">
        <v>1</v>
      </c>
      <c r="D137">
        <v>200</v>
      </c>
      <c r="E137">
        <v>8</v>
      </c>
      <c r="F137">
        <v>0</v>
      </c>
      <c r="G137">
        <v>3</v>
      </c>
      <c r="H137" t="s">
        <v>9</v>
      </c>
      <c r="I137">
        <v>88</v>
      </c>
      <c r="J137">
        <v>9</v>
      </c>
      <c r="K137" t="s">
        <v>102</v>
      </c>
      <c r="L137">
        <v>2000</v>
      </c>
      <c r="M137" t="s">
        <v>102</v>
      </c>
      <c r="N137">
        <v>34.213999999999999</v>
      </c>
      <c r="O137" t="s">
        <v>102</v>
      </c>
      <c r="P137">
        <v>172</v>
      </c>
    </row>
    <row r="138" spans="1:16" x14ac:dyDescent="0.25">
      <c r="A138" t="s">
        <v>165</v>
      </c>
      <c r="B138" t="s">
        <v>130</v>
      </c>
      <c r="C138">
        <v>0</v>
      </c>
      <c r="D138">
        <v>200</v>
      </c>
      <c r="E138">
        <v>0</v>
      </c>
      <c r="F138">
        <v>0</v>
      </c>
      <c r="G138">
        <v>3</v>
      </c>
      <c r="H138" t="s">
        <v>9</v>
      </c>
      <c r="I138">
        <v>89</v>
      </c>
      <c r="J138">
        <v>11</v>
      </c>
      <c r="K138" t="s">
        <v>102</v>
      </c>
      <c r="L138">
        <v>2000</v>
      </c>
      <c r="M138" t="s">
        <v>102</v>
      </c>
      <c r="N138">
        <v>70.947999999999993</v>
      </c>
      <c r="O138" t="s">
        <v>102</v>
      </c>
      <c r="P138">
        <v>173</v>
      </c>
    </row>
    <row r="139" spans="1:16" x14ac:dyDescent="0.25">
      <c r="A139" t="s">
        <v>165</v>
      </c>
      <c r="B139" t="s">
        <v>131</v>
      </c>
      <c r="C139">
        <v>0</v>
      </c>
      <c r="D139">
        <v>200</v>
      </c>
      <c r="E139">
        <v>5</v>
      </c>
      <c r="F139">
        <v>0</v>
      </c>
      <c r="G139">
        <v>3</v>
      </c>
      <c r="H139" t="s">
        <v>9</v>
      </c>
      <c r="I139">
        <v>90</v>
      </c>
      <c r="J139">
        <v>41</v>
      </c>
      <c r="K139" t="s">
        <v>102</v>
      </c>
      <c r="L139">
        <v>2000</v>
      </c>
      <c r="M139" t="s">
        <v>102</v>
      </c>
      <c r="N139">
        <v>108.164</v>
      </c>
      <c r="O139" t="s">
        <v>166</v>
      </c>
      <c r="P139">
        <v>174</v>
      </c>
    </row>
    <row r="140" spans="1:16" x14ac:dyDescent="0.25">
      <c r="A140" t="s">
        <v>165</v>
      </c>
      <c r="B140" t="s">
        <v>111</v>
      </c>
      <c r="C140">
        <v>0</v>
      </c>
      <c r="D140">
        <v>200</v>
      </c>
      <c r="E140">
        <v>5</v>
      </c>
      <c r="F140">
        <v>0</v>
      </c>
      <c r="G140">
        <v>3</v>
      </c>
      <c r="H140" t="s">
        <v>9</v>
      </c>
      <c r="I140">
        <v>90</v>
      </c>
      <c r="J140">
        <v>25</v>
      </c>
      <c r="K140" t="s">
        <v>102</v>
      </c>
      <c r="L140">
        <v>2000</v>
      </c>
      <c r="M140" t="s">
        <v>102</v>
      </c>
      <c r="N140">
        <v>151.15199999999999</v>
      </c>
      <c r="O140" t="s">
        <v>112</v>
      </c>
      <c r="P140">
        <v>175</v>
      </c>
    </row>
    <row r="141" spans="1:16" x14ac:dyDescent="0.25">
      <c r="A141" t="s">
        <v>165</v>
      </c>
      <c r="B141" t="s">
        <v>113</v>
      </c>
      <c r="C141">
        <v>0</v>
      </c>
      <c r="D141">
        <v>200</v>
      </c>
      <c r="E141">
        <v>0</v>
      </c>
      <c r="F141">
        <v>0</v>
      </c>
      <c r="G141">
        <v>3</v>
      </c>
      <c r="H141" t="s">
        <v>9</v>
      </c>
      <c r="I141">
        <v>89</v>
      </c>
      <c r="J141">
        <v>19</v>
      </c>
      <c r="K141" t="s">
        <v>102</v>
      </c>
      <c r="L141">
        <v>2000</v>
      </c>
      <c r="M141" t="s">
        <v>102</v>
      </c>
      <c r="N141">
        <v>189.62299999999999</v>
      </c>
      <c r="O141" t="s">
        <v>102</v>
      </c>
      <c r="P141">
        <v>176</v>
      </c>
    </row>
    <row r="142" spans="1:16" x14ac:dyDescent="0.25">
      <c r="A142" t="s">
        <v>165</v>
      </c>
      <c r="B142" t="s">
        <v>114</v>
      </c>
      <c r="C142">
        <v>0</v>
      </c>
      <c r="D142">
        <v>200</v>
      </c>
      <c r="E142">
        <v>0</v>
      </c>
      <c r="F142">
        <v>0</v>
      </c>
      <c r="G142">
        <v>3</v>
      </c>
      <c r="H142" t="s">
        <v>9</v>
      </c>
      <c r="I142">
        <v>88</v>
      </c>
      <c r="J142">
        <v>26</v>
      </c>
      <c r="K142" t="s">
        <v>102</v>
      </c>
      <c r="L142">
        <v>2000</v>
      </c>
      <c r="M142" t="s">
        <v>102</v>
      </c>
      <c r="N142">
        <v>242.33600000000001</v>
      </c>
      <c r="O142" t="s">
        <v>102</v>
      </c>
      <c r="P142">
        <v>177</v>
      </c>
    </row>
    <row r="143" spans="1:16" x14ac:dyDescent="0.25">
      <c r="A143" t="s">
        <v>165</v>
      </c>
      <c r="B143" t="s">
        <v>116</v>
      </c>
      <c r="C143">
        <v>0</v>
      </c>
      <c r="D143">
        <v>200</v>
      </c>
      <c r="E143">
        <v>5</v>
      </c>
      <c r="F143">
        <v>0</v>
      </c>
      <c r="G143">
        <v>3</v>
      </c>
      <c r="H143" t="s">
        <v>9</v>
      </c>
      <c r="I143">
        <v>87</v>
      </c>
      <c r="J143">
        <v>55</v>
      </c>
      <c r="K143" t="s">
        <v>102</v>
      </c>
      <c r="L143">
        <v>2000</v>
      </c>
      <c r="M143" t="s">
        <v>102</v>
      </c>
      <c r="N143">
        <v>289.10899999999998</v>
      </c>
      <c r="O143" t="s">
        <v>112</v>
      </c>
      <c r="P143">
        <v>178</v>
      </c>
    </row>
    <row r="144" spans="1:16" x14ac:dyDescent="0.25">
      <c r="A144" t="s">
        <v>165</v>
      </c>
      <c r="B144" t="s">
        <v>117</v>
      </c>
      <c r="C144">
        <v>0</v>
      </c>
      <c r="D144">
        <v>200</v>
      </c>
      <c r="E144">
        <v>0</v>
      </c>
      <c r="F144">
        <v>0</v>
      </c>
      <c r="G144">
        <v>3</v>
      </c>
      <c r="H144" t="s">
        <v>9</v>
      </c>
      <c r="I144">
        <v>87</v>
      </c>
      <c r="J144">
        <v>59</v>
      </c>
      <c r="K144" t="s">
        <v>102</v>
      </c>
      <c r="L144">
        <v>2000</v>
      </c>
      <c r="M144" t="s">
        <v>102</v>
      </c>
      <c r="N144">
        <v>322.11900000000003</v>
      </c>
      <c r="O144" t="s">
        <v>102</v>
      </c>
      <c r="P144">
        <v>179</v>
      </c>
    </row>
    <row r="145" spans="1:16" x14ac:dyDescent="0.25">
      <c r="A145" t="s">
        <v>165</v>
      </c>
      <c r="B145" t="s">
        <v>119</v>
      </c>
      <c r="C145">
        <v>0</v>
      </c>
      <c r="D145">
        <v>200</v>
      </c>
      <c r="E145">
        <v>0</v>
      </c>
      <c r="F145">
        <v>0</v>
      </c>
      <c r="G145">
        <v>3</v>
      </c>
      <c r="H145" t="s">
        <v>9</v>
      </c>
      <c r="I145">
        <v>87</v>
      </c>
      <c r="J145">
        <v>56</v>
      </c>
      <c r="K145" t="s">
        <v>102</v>
      </c>
      <c r="L145">
        <v>2000</v>
      </c>
      <c r="M145" t="s">
        <v>102</v>
      </c>
      <c r="N145">
        <v>381.536</v>
      </c>
      <c r="O145" t="s">
        <v>102</v>
      </c>
      <c r="P145">
        <v>180</v>
      </c>
    </row>
    <row r="146" spans="1:16" x14ac:dyDescent="0.25">
      <c r="A146" t="s">
        <v>165</v>
      </c>
      <c r="B146" t="s">
        <v>167</v>
      </c>
      <c r="C146">
        <v>0</v>
      </c>
      <c r="D146">
        <v>200</v>
      </c>
      <c r="E146">
        <v>5</v>
      </c>
      <c r="F146">
        <v>0</v>
      </c>
      <c r="G146">
        <v>3</v>
      </c>
      <c r="H146" t="s">
        <v>9</v>
      </c>
      <c r="I146">
        <v>87</v>
      </c>
      <c r="J146">
        <v>55</v>
      </c>
      <c r="K146" t="s">
        <v>102</v>
      </c>
      <c r="L146">
        <v>2000</v>
      </c>
      <c r="M146" t="s">
        <v>102</v>
      </c>
      <c r="N146">
        <v>435.07799999999997</v>
      </c>
      <c r="O146" t="s">
        <v>128</v>
      </c>
      <c r="P146">
        <v>181</v>
      </c>
    </row>
    <row r="147" spans="1:16" x14ac:dyDescent="0.25">
      <c r="A147" t="s">
        <v>167</v>
      </c>
      <c r="B147" t="s">
        <v>165</v>
      </c>
      <c r="C147">
        <v>2</v>
      </c>
      <c r="D147">
        <v>200</v>
      </c>
      <c r="E147">
        <v>20</v>
      </c>
      <c r="F147">
        <v>180</v>
      </c>
      <c r="G147">
        <v>0</v>
      </c>
      <c r="H147" t="s">
        <v>9</v>
      </c>
      <c r="K147" t="s">
        <v>102</v>
      </c>
      <c r="M147" t="s">
        <v>102</v>
      </c>
      <c r="O147" t="s">
        <v>103</v>
      </c>
      <c r="P147">
        <v>182</v>
      </c>
    </row>
    <row r="148" spans="1:16" x14ac:dyDescent="0.25">
      <c r="A148" t="s">
        <v>167</v>
      </c>
      <c r="B148" t="s">
        <v>129</v>
      </c>
      <c r="C148">
        <v>0</v>
      </c>
      <c r="D148">
        <v>200</v>
      </c>
      <c r="E148">
        <v>0</v>
      </c>
      <c r="F148">
        <v>18</v>
      </c>
      <c r="G148">
        <v>34</v>
      </c>
      <c r="H148" t="s">
        <v>9</v>
      </c>
      <c r="I148">
        <v>89</v>
      </c>
      <c r="J148">
        <v>14</v>
      </c>
      <c r="K148" t="s">
        <v>102</v>
      </c>
      <c r="L148">
        <v>2000</v>
      </c>
      <c r="M148" t="s">
        <v>102</v>
      </c>
      <c r="N148">
        <v>41.790999999999997</v>
      </c>
      <c r="O148" t="s">
        <v>102</v>
      </c>
      <c r="P148">
        <v>183</v>
      </c>
    </row>
    <row r="149" spans="1:16" x14ac:dyDescent="0.25">
      <c r="A149" t="s">
        <v>167</v>
      </c>
      <c r="B149" t="s">
        <v>130</v>
      </c>
      <c r="C149">
        <v>0</v>
      </c>
      <c r="D149">
        <v>200</v>
      </c>
      <c r="E149">
        <v>0</v>
      </c>
      <c r="F149">
        <v>18</v>
      </c>
      <c r="G149">
        <v>34</v>
      </c>
      <c r="H149" t="s">
        <v>9</v>
      </c>
      <c r="I149">
        <v>89</v>
      </c>
      <c r="J149">
        <v>24</v>
      </c>
      <c r="K149" t="s">
        <v>102</v>
      </c>
      <c r="L149">
        <v>2000</v>
      </c>
      <c r="M149" t="s">
        <v>102</v>
      </c>
      <c r="N149">
        <v>92.046000000000006</v>
      </c>
      <c r="O149" t="s">
        <v>102</v>
      </c>
      <c r="P149">
        <v>184</v>
      </c>
    </row>
    <row r="150" spans="1:16" x14ac:dyDescent="0.25">
      <c r="A150" t="s">
        <v>167</v>
      </c>
      <c r="B150" t="s">
        <v>131</v>
      </c>
      <c r="C150">
        <v>0</v>
      </c>
      <c r="D150">
        <v>200</v>
      </c>
      <c r="E150">
        <v>5</v>
      </c>
      <c r="F150">
        <v>18</v>
      </c>
      <c r="G150">
        <v>34</v>
      </c>
      <c r="H150" t="s">
        <v>9</v>
      </c>
      <c r="I150">
        <v>88</v>
      </c>
      <c r="J150">
        <v>59</v>
      </c>
      <c r="K150" t="s">
        <v>102</v>
      </c>
      <c r="L150">
        <v>2000</v>
      </c>
      <c r="M150" t="s">
        <v>102</v>
      </c>
      <c r="N150">
        <v>132.054</v>
      </c>
      <c r="O150" t="s">
        <v>112</v>
      </c>
      <c r="P150">
        <v>185</v>
      </c>
    </row>
    <row r="151" spans="1:16" x14ac:dyDescent="0.25">
      <c r="A151" t="s">
        <v>167</v>
      </c>
      <c r="B151" t="s">
        <v>111</v>
      </c>
      <c r="C151">
        <v>0</v>
      </c>
      <c r="D151">
        <v>200</v>
      </c>
      <c r="E151">
        <v>0</v>
      </c>
      <c r="F151">
        <v>18</v>
      </c>
      <c r="G151">
        <v>34</v>
      </c>
      <c r="H151" t="s">
        <v>9</v>
      </c>
      <c r="I151">
        <v>89</v>
      </c>
      <c r="J151">
        <v>19</v>
      </c>
      <c r="K151" t="s">
        <v>102</v>
      </c>
      <c r="L151">
        <v>2000</v>
      </c>
      <c r="M151" t="s">
        <v>102</v>
      </c>
      <c r="N151">
        <v>165.25700000000001</v>
      </c>
      <c r="O151" t="s">
        <v>102</v>
      </c>
      <c r="P151">
        <v>186</v>
      </c>
    </row>
    <row r="152" spans="1:16" x14ac:dyDescent="0.25">
      <c r="A152" t="s">
        <v>167</v>
      </c>
      <c r="B152" t="s">
        <v>113</v>
      </c>
      <c r="C152">
        <v>0</v>
      </c>
      <c r="D152">
        <v>200</v>
      </c>
      <c r="E152">
        <v>0</v>
      </c>
      <c r="F152">
        <v>18</v>
      </c>
      <c r="G152">
        <v>34</v>
      </c>
      <c r="H152" t="s">
        <v>9</v>
      </c>
      <c r="I152">
        <v>89</v>
      </c>
      <c r="J152">
        <v>19</v>
      </c>
      <c r="K152" t="s">
        <v>102</v>
      </c>
      <c r="L152">
        <v>2000</v>
      </c>
      <c r="M152" t="s">
        <v>102</v>
      </c>
      <c r="N152">
        <v>201.422</v>
      </c>
      <c r="O152" t="s">
        <v>102</v>
      </c>
      <c r="P152">
        <v>187</v>
      </c>
    </row>
    <row r="153" spans="1:16" x14ac:dyDescent="0.25">
      <c r="A153" t="s">
        <v>167</v>
      </c>
      <c r="B153" t="s">
        <v>168</v>
      </c>
      <c r="C153">
        <v>0</v>
      </c>
      <c r="D153">
        <v>200</v>
      </c>
      <c r="E153">
        <v>5</v>
      </c>
      <c r="F153">
        <v>18</v>
      </c>
      <c r="G153">
        <v>34</v>
      </c>
      <c r="H153" t="s">
        <v>9</v>
      </c>
      <c r="I153">
        <v>89</v>
      </c>
      <c r="J153">
        <v>7</v>
      </c>
      <c r="K153" t="s">
        <v>102</v>
      </c>
      <c r="L153">
        <v>2000</v>
      </c>
      <c r="M153" t="s">
        <v>102</v>
      </c>
      <c r="N153">
        <v>230.83699999999999</v>
      </c>
      <c r="O153" t="s">
        <v>112</v>
      </c>
      <c r="P153">
        <v>188</v>
      </c>
    </row>
    <row r="154" spans="1:16" x14ac:dyDescent="0.25">
      <c r="A154" t="s">
        <v>168</v>
      </c>
      <c r="B154" t="s">
        <v>167</v>
      </c>
      <c r="C154">
        <v>2</v>
      </c>
      <c r="D154">
        <v>200</v>
      </c>
      <c r="E154">
        <v>20</v>
      </c>
      <c r="F154">
        <v>180</v>
      </c>
      <c r="G154">
        <v>0</v>
      </c>
      <c r="H154" t="s">
        <v>9</v>
      </c>
      <c r="K154" t="s">
        <v>102</v>
      </c>
      <c r="M154" t="s">
        <v>102</v>
      </c>
      <c r="O154" t="s">
        <v>103</v>
      </c>
      <c r="P154">
        <v>189</v>
      </c>
    </row>
    <row r="155" spans="1:16" x14ac:dyDescent="0.25">
      <c r="A155" t="s">
        <v>168</v>
      </c>
      <c r="B155" t="s">
        <v>129</v>
      </c>
      <c r="C155">
        <v>0</v>
      </c>
      <c r="D155">
        <v>200</v>
      </c>
      <c r="E155">
        <v>0</v>
      </c>
      <c r="F155">
        <v>0</v>
      </c>
      <c r="G155">
        <v>7</v>
      </c>
      <c r="H155" t="s">
        <v>9</v>
      </c>
      <c r="I155">
        <v>90</v>
      </c>
      <c r="J155">
        <v>52</v>
      </c>
      <c r="K155" t="s">
        <v>102</v>
      </c>
      <c r="L155">
        <v>2000</v>
      </c>
      <c r="M155" t="s">
        <v>102</v>
      </c>
      <c r="N155">
        <v>49.094000000000001</v>
      </c>
      <c r="O155" t="s">
        <v>102</v>
      </c>
      <c r="P155">
        <v>190</v>
      </c>
    </row>
    <row r="156" spans="1:16" x14ac:dyDescent="0.25">
      <c r="A156" t="s">
        <v>168</v>
      </c>
      <c r="B156" t="s">
        <v>130</v>
      </c>
      <c r="C156">
        <v>0</v>
      </c>
      <c r="D156">
        <v>200</v>
      </c>
      <c r="E156">
        <v>5</v>
      </c>
      <c r="F156">
        <v>0</v>
      </c>
      <c r="G156">
        <v>7</v>
      </c>
      <c r="H156" t="s">
        <v>9</v>
      </c>
      <c r="I156">
        <v>89</v>
      </c>
      <c r="J156">
        <v>39</v>
      </c>
      <c r="K156" t="s">
        <v>102</v>
      </c>
      <c r="L156">
        <v>2000</v>
      </c>
      <c r="M156" t="s">
        <v>102</v>
      </c>
      <c r="N156">
        <v>99.738</v>
      </c>
      <c r="O156" t="s">
        <v>128</v>
      </c>
      <c r="P156">
        <v>191</v>
      </c>
    </row>
    <row r="157" spans="1:16" x14ac:dyDescent="0.25">
      <c r="A157" t="s">
        <v>168</v>
      </c>
      <c r="B157" t="s">
        <v>131</v>
      </c>
      <c r="C157">
        <v>0</v>
      </c>
      <c r="D157">
        <v>200</v>
      </c>
      <c r="E157">
        <v>0</v>
      </c>
      <c r="F157">
        <v>0</v>
      </c>
      <c r="G157">
        <v>7</v>
      </c>
      <c r="H157" t="s">
        <v>9</v>
      </c>
      <c r="I157">
        <v>89</v>
      </c>
      <c r="J157">
        <v>44</v>
      </c>
      <c r="K157" t="s">
        <v>102</v>
      </c>
      <c r="L157">
        <v>2000</v>
      </c>
      <c r="M157" t="s">
        <v>102</v>
      </c>
      <c r="N157">
        <v>157.602</v>
      </c>
      <c r="O157" t="s">
        <v>102</v>
      </c>
      <c r="P157">
        <v>192</v>
      </c>
    </row>
    <row r="158" spans="1:16" x14ac:dyDescent="0.25">
      <c r="A158" t="s">
        <v>168</v>
      </c>
      <c r="B158" t="s">
        <v>111</v>
      </c>
      <c r="C158">
        <v>0</v>
      </c>
      <c r="D158">
        <v>200</v>
      </c>
      <c r="E158">
        <v>5</v>
      </c>
      <c r="F158">
        <v>0</v>
      </c>
      <c r="G158">
        <v>7</v>
      </c>
      <c r="H158" t="s">
        <v>9</v>
      </c>
      <c r="I158">
        <v>89</v>
      </c>
      <c r="J158">
        <v>25</v>
      </c>
      <c r="K158" t="s">
        <v>102</v>
      </c>
      <c r="L158">
        <v>2000</v>
      </c>
      <c r="M158" t="s">
        <v>102</v>
      </c>
      <c r="N158">
        <v>201.12100000000001</v>
      </c>
      <c r="O158" t="s">
        <v>112</v>
      </c>
      <c r="P158">
        <v>193</v>
      </c>
    </row>
    <row r="159" spans="1:16" x14ac:dyDescent="0.25">
      <c r="A159" t="s">
        <v>168</v>
      </c>
      <c r="B159" t="s">
        <v>113</v>
      </c>
      <c r="C159">
        <v>0</v>
      </c>
      <c r="D159">
        <v>200</v>
      </c>
      <c r="E159">
        <v>0</v>
      </c>
      <c r="F159">
        <v>0</v>
      </c>
      <c r="G159">
        <v>7</v>
      </c>
      <c r="H159" t="s">
        <v>9</v>
      </c>
      <c r="I159">
        <v>89</v>
      </c>
      <c r="J159">
        <v>30</v>
      </c>
      <c r="K159" t="s">
        <v>102</v>
      </c>
      <c r="L159">
        <v>2000</v>
      </c>
      <c r="M159" t="s">
        <v>102</v>
      </c>
      <c r="N159">
        <v>248.48699999999999</v>
      </c>
      <c r="O159" t="s">
        <v>102</v>
      </c>
      <c r="P159">
        <v>194</v>
      </c>
    </row>
    <row r="160" spans="1:16" x14ac:dyDescent="0.25">
      <c r="A160" t="s">
        <v>168</v>
      </c>
      <c r="B160" t="s">
        <v>114</v>
      </c>
      <c r="C160">
        <v>0</v>
      </c>
      <c r="D160">
        <v>200</v>
      </c>
      <c r="E160">
        <v>5</v>
      </c>
      <c r="F160">
        <v>0</v>
      </c>
      <c r="G160">
        <v>7</v>
      </c>
      <c r="H160" t="s">
        <v>9</v>
      </c>
      <c r="I160">
        <v>89</v>
      </c>
      <c r="J160">
        <v>12</v>
      </c>
      <c r="K160" t="s">
        <v>102</v>
      </c>
      <c r="L160">
        <v>2000</v>
      </c>
      <c r="M160" t="s">
        <v>102</v>
      </c>
      <c r="N160">
        <v>303.18200000000002</v>
      </c>
      <c r="O160" t="s">
        <v>112</v>
      </c>
      <c r="P160">
        <v>195</v>
      </c>
    </row>
    <row r="161" spans="1:16" x14ac:dyDescent="0.25">
      <c r="A161" t="s">
        <v>168</v>
      </c>
      <c r="B161" t="s">
        <v>116</v>
      </c>
      <c r="C161">
        <v>0</v>
      </c>
      <c r="D161">
        <v>200</v>
      </c>
      <c r="E161">
        <v>0</v>
      </c>
      <c r="F161">
        <v>0</v>
      </c>
      <c r="G161">
        <v>7</v>
      </c>
      <c r="H161" t="s">
        <v>9</v>
      </c>
      <c r="I161">
        <v>89</v>
      </c>
      <c r="J161">
        <v>19</v>
      </c>
      <c r="K161" t="s">
        <v>102</v>
      </c>
      <c r="L161">
        <v>2000</v>
      </c>
      <c r="M161" t="s">
        <v>102</v>
      </c>
      <c r="N161">
        <v>360.40600000000001</v>
      </c>
      <c r="O161" t="s">
        <v>102</v>
      </c>
      <c r="P161">
        <v>196</v>
      </c>
    </row>
    <row r="162" spans="1:16" x14ac:dyDescent="0.25">
      <c r="A162" t="s">
        <v>168</v>
      </c>
      <c r="B162" t="s">
        <v>169</v>
      </c>
      <c r="C162">
        <v>0</v>
      </c>
      <c r="D162">
        <v>200</v>
      </c>
      <c r="E162">
        <v>5</v>
      </c>
      <c r="F162">
        <v>0</v>
      </c>
      <c r="G162">
        <v>7</v>
      </c>
      <c r="H162" t="s">
        <v>9</v>
      </c>
      <c r="I162">
        <v>89</v>
      </c>
      <c r="J162">
        <v>7</v>
      </c>
      <c r="K162" t="s">
        <v>102</v>
      </c>
      <c r="L162">
        <v>2000</v>
      </c>
      <c r="M162" t="s">
        <v>102</v>
      </c>
      <c r="N162">
        <v>404.12099999999998</v>
      </c>
      <c r="O162" t="s">
        <v>128</v>
      </c>
      <c r="P162">
        <v>197</v>
      </c>
    </row>
    <row r="163" spans="1:16" x14ac:dyDescent="0.25">
      <c r="A163" t="s">
        <v>169</v>
      </c>
      <c r="B163" t="s">
        <v>168</v>
      </c>
      <c r="C163">
        <v>2</v>
      </c>
      <c r="D163">
        <v>200</v>
      </c>
      <c r="E163">
        <v>20</v>
      </c>
      <c r="F163">
        <v>180</v>
      </c>
      <c r="G163">
        <v>0</v>
      </c>
      <c r="H163" t="s">
        <v>9</v>
      </c>
      <c r="K163" t="s">
        <v>102</v>
      </c>
      <c r="M163" t="s">
        <v>102</v>
      </c>
      <c r="O163" t="s">
        <v>103</v>
      </c>
      <c r="P163">
        <v>198</v>
      </c>
    </row>
    <row r="164" spans="1:16" x14ac:dyDescent="0.25">
      <c r="A164" t="s">
        <v>169</v>
      </c>
      <c r="B164" t="s">
        <v>129</v>
      </c>
      <c r="C164">
        <v>0</v>
      </c>
      <c r="D164">
        <v>200</v>
      </c>
      <c r="E164">
        <v>0</v>
      </c>
      <c r="F164">
        <v>0</v>
      </c>
      <c r="G164">
        <v>7</v>
      </c>
      <c r="H164" t="s">
        <v>9</v>
      </c>
      <c r="I164">
        <v>89</v>
      </c>
      <c r="J164">
        <v>56</v>
      </c>
      <c r="K164" t="s">
        <v>102</v>
      </c>
      <c r="L164">
        <v>2000</v>
      </c>
      <c r="M164" t="s">
        <v>102</v>
      </c>
      <c r="N164">
        <v>55.216000000000001</v>
      </c>
      <c r="O164" t="s">
        <v>102</v>
      </c>
      <c r="P164">
        <v>199</v>
      </c>
    </row>
    <row r="165" spans="1:16" x14ac:dyDescent="0.25">
      <c r="A165" t="s">
        <v>169</v>
      </c>
      <c r="B165" t="s">
        <v>130</v>
      </c>
      <c r="C165">
        <v>0</v>
      </c>
      <c r="D165">
        <v>200</v>
      </c>
      <c r="E165">
        <v>5</v>
      </c>
      <c r="F165">
        <v>0</v>
      </c>
      <c r="G165">
        <v>7</v>
      </c>
      <c r="H165" t="s">
        <v>9</v>
      </c>
      <c r="I165">
        <v>89</v>
      </c>
      <c r="J165">
        <v>33</v>
      </c>
      <c r="K165" t="s">
        <v>102</v>
      </c>
      <c r="L165">
        <v>2000</v>
      </c>
      <c r="M165" t="s">
        <v>102</v>
      </c>
      <c r="N165">
        <v>97.971000000000004</v>
      </c>
      <c r="O165" t="s">
        <v>112</v>
      </c>
      <c r="P165">
        <v>200</v>
      </c>
    </row>
    <row r="166" spans="1:16" x14ac:dyDescent="0.25">
      <c r="A166" t="s">
        <v>169</v>
      </c>
      <c r="B166" t="s">
        <v>131</v>
      </c>
      <c r="C166">
        <v>0</v>
      </c>
      <c r="D166">
        <v>200</v>
      </c>
      <c r="E166">
        <v>0</v>
      </c>
      <c r="F166">
        <v>0</v>
      </c>
      <c r="G166">
        <v>7</v>
      </c>
      <c r="H166" t="s">
        <v>9</v>
      </c>
      <c r="I166">
        <v>89</v>
      </c>
      <c r="J166">
        <v>40</v>
      </c>
      <c r="K166" t="s">
        <v>102</v>
      </c>
      <c r="L166">
        <v>2000</v>
      </c>
      <c r="M166" t="s">
        <v>102</v>
      </c>
      <c r="N166">
        <v>145.18199999999999</v>
      </c>
      <c r="O166" t="s">
        <v>102</v>
      </c>
      <c r="P166">
        <v>201</v>
      </c>
    </row>
    <row r="167" spans="1:16" x14ac:dyDescent="0.25">
      <c r="A167" t="s">
        <v>169</v>
      </c>
      <c r="B167" t="s">
        <v>111</v>
      </c>
      <c r="C167">
        <v>0</v>
      </c>
      <c r="D167">
        <v>200</v>
      </c>
      <c r="E167">
        <v>0</v>
      </c>
      <c r="F167">
        <v>0</v>
      </c>
      <c r="G167">
        <v>7</v>
      </c>
      <c r="H167" t="s">
        <v>9</v>
      </c>
      <c r="I167">
        <v>89</v>
      </c>
      <c r="J167">
        <v>39</v>
      </c>
      <c r="K167" t="s">
        <v>102</v>
      </c>
      <c r="L167">
        <v>2000</v>
      </c>
      <c r="M167" t="s">
        <v>102</v>
      </c>
      <c r="N167">
        <v>179.39599999999999</v>
      </c>
      <c r="O167" t="s">
        <v>102</v>
      </c>
      <c r="P167">
        <v>202</v>
      </c>
    </row>
    <row r="168" spans="1:16" x14ac:dyDescent="0.25">
      <c r="A168" t="s">
        <v>169</v>
      </c>
      <c r="B168" t="s">
        <v>113</v>
      </c>
      <c r="C168">
        <v>0</v>
      </c>
      <c r="D168">
        <v>200</v>
      </c>
      <c r="E168">
        <v>5</v>
      </c>
      <c r="F168">
        <v>0</v>
      </c>
      <c r="G168">
        <v>7</v>
      </c>
      <c r="H168" t="s">
        <v>9</v>
      </c>
      <c r="I168">
        <v>89</v>
      </c>
      <c r="J168">
        <v>23</v>
      </c>
      <c r="K168" t="s">
        <v>102</v>
      </c>
      <c r="L168">
        <v>2000</v>
      </c>
      <c r="M168" t="s">
        <v>102</v>
      </c>
      <c r="N168">
        <v>200.99799999999999</v>
      </c>
      <c r="O168" t="s">
        <v>112</v>
      </c>
      <c r="P168">
        <v>203</v>
      </c>
    </row>
    <row r="169" spans="1:16" x14ac:dyDescent="0.25">
      <c r="A169" t="s">
        <v>169</v>
      </c>
      <c r="B169" t="s">
        <v>114</v>
      </c>
      <c r="C169">
        <v>0</v>
      </c>
      <c r="D169">
        <v>200</v>
      </c>
      <c r="E169">
        <v>0</v>
      </c>
      <c r="F169">
        <v>0</v>
      </c>
      <c r="G169">
        <v>7</v>
      </c>
      <c r="H169" t="s">
        <v>9</v>
      </c>
      <c r="I169">
        <v>89</v>
      </c>
      <c r="J169">
        <v>48</v>
      </c>
      <c r="K169" t="s">
        <v>102</v>
      </c>
      <c r="L169">
        <v>2000</v>
      </c>
      <c r="M169" t="s">
        <v>102</v>
      </c>
      <c r="N169">
        <v>242.279</v>
      </c>
      <c r="O169" t="s">
        <v>102</v>
      </c>
      <c r="P169">
        <v>204</v>
      </c>
    </row>
    <row r="170" spans="1:16" x14ac:dyDescent="0.25">
      <c r="A170" t="s">
        <v>169</v>
      </c>
      <c r="B170" t="s">
        <v>116</v>
      </c>
      <c r="C170">
        <v>0</v>
      </c>
      <c r="D170">
        <v>200</v>
      </c>
      <c r="E170">
        <v>0</v>
      </c>
      <c r="F170">
        <v>0</v>
      </c>
      <c r="G170">
        <v>7</v>
      </c>
      <c r="H170" t="s">
        <v>9</v>
      </c>
      <c r="I170">
        <v>89</v>
      </c>
      <c r="J170">
        <v>52</v>
      </c>
      <c r="K170" t="s">
        <v>102</v>
      </c>
      <c r="L170">
        <v>2000</v>
      </c>
      <c r="M170" t="s">
        <v>102</v>
      </c>
      <c r="N170">
        <v>278.80900000000003</v>
      </c>
      <c r="O170" t="s">
        <v>102</v>
      </c>
      <c r="P170">
        <v>205</v>
      </c>
    </row>
    <row r="171" spans="1:16" x14ac:dyDescent="0.25">
      <c r="A171" t="s">
        <v>169</v>
      </c>
      <c r="B171" t="s">
        <v>170</v>
      </c>
      <c r="C171">
        <v>0</v>
      </c>
      <c r="D171">
        <v>200</v>
      </c>
      <c r="E171">
        <v>5</v>
      </c>
      <c r="F171">
        <v>0</v>
      </c>
      <c r="G171">
        <v>7</v>
      </c>
      <c r="H171" t="s">
        <v>9</v>
      </c>
      <c r="I171">
        <v>89</v>
      </c>
      <c r="J171">
        <v>54</v>
      </c>
      <c r="K171" t="s">
        <v>102</v>
      </c>
      <c r="L171">
        <v>2000</v>
      </c>
      <c r="M171" t="s">
        <v>102</v>
      </c>
      <c r="N171">
        <v>305.59800000000001</v>
      </c>
      <c r="O171" t="s">
        <v>112</v>
      </c>
      <c r="P171">
        <v>206</v>
      </c>
    </row>
    <row r="172" spans="1:16" x14ac:dyDescent="0.25">
      <c r="A172" t="s">
        <v>170</v>
      </c>
      <c r="B172" t="s">
        <v>169</v>
      </c>
      <c r="C172">
        <v>2</v>
      </c>
      <c r="D172">
        <v>200</v>
      </c>
      <c r="E172">
        <v>20</v>
      </c>
      <c r="F172">
        <v>180</v>
      </c>
      <c r="G172">
        <v>0</v>
      </c>
      <c r="H172" t="s">
        <v>9</v>
      </c>
      <c r="K172" t="s">
        <v>102</v>
      </c>
      <c r="M172" t="s">
        <v>102</v>
      </c>
      <c r="O172" t="s">
        <v>103</v>
      </c>
      <c r="P172">
        <v>207</v>
      </c>
    </row>
    <row r="173" spans="1:16" x14ac:dyDescent="0.25">
      <c r="A173" t="s">
        <v>170</v>
      </c>
      <c r="B173" t="s">
        <v>129</v>
      </c>
      <c r="C173">
        <v>0</v>
      </c>
      <c r="D173">
        <v>200</v>
      </c>
      <c r="E173">
        <v>0</v>
      </c>
      <c r="F173">
        <v>0</v>
      </c>
      <c r="G173">
        <v>1</v>
      </c>
      <c r="H173" t="s">
        <v>9</v>
      </c>
      <c r="I173">
        <v>90</v>
      </c>
      <c r="J173">
        <v>57</v>
      </c>
      <c r="K173" t="s">
        <v>102</v>
      </c>
      <c r="L173">
        <v>2000</v>
      </c>
      <c r="M173" t="s">
        <v>102</v>
      </c>
      <c r="N173">
        <v>44.441000000000003</v>
      </c>
      <c r="O173" t="s">
        <v>102</v>
      </c>
      <c r="P173">
        <v>208</v>
      </c>
    </row>
    <row r="174" spans="1:16" x14ac:dyDescent="0.25">
      <c r="A174" t="s">
        <v>170</v>
      </c>
      <c r="B174" t="s">
        <v>130</v>
      </c>
      <c r="C174">
        <v>0</v>
      </c>
      <c r="D174">
        <v>200</v>
      </c>
      <c r="E174">
        <v>5</v>
      </c>
      <c r="F174">
        <v>0</v>
      </c>
      <c r="G174">
        <v>1</v>
      </c>
      <c r="H174" t="s">
        <v>9</v>
      </c>
      <c r="I174">
        <v>90</v>
      </c>
      <c r="J174">
        <v>37</v>
      </c>
      <c r="K174" t="s">
        <v>102</v>
      </c>
      <c r="L174">
        <v>2000</v>
      </c>
      <c r="M174" t="s">
        <v>102</v>
      </c>
      <c r="N174">
        <v>96.061000000000007</v>
      </c>
      <c r="O174" t="s">
        <v>171</v>
      </c>
      <c r="P174">
        <v>209</v>
      </c>
    </row>
    <row r="175" spans="1:16" x14ac:dyDescent="0.25">
      <c r="A175" t="s">
        <v>170</v>
      </c>
      <c r="B175" t="s">
        <v>131</v>
      </c>
      <c r="C175">
        <v>0</v>
      </c>
      <c r="D175">
        <v>200</v>
      </c>
      <c r="E175">
        <v>0</v>
      </c>
      <c r="F175">
        <v>0</v>
      </c>
      <c r="G175">
        <v>1</v>
      </c>
      <c r="H175" t="s">
        <v>9</v>
      </c>
      <c r="I175">
        <v>90</v>
      </c>
      <c r="J175">
        <v>47</v>
      </c>
      <c r="K175" t="s">
        <v>102</v>
      </c>
      <c r="L175">
        <v>2000</v>
      </c>
      <c r="M175" t="s">
        <v>102</v>
      </c>
      <c r="N175">
        <v>141.32300000000001</v>
      </c>
      <c r="O175" t="s">
        <v>102</v>
      </c>
      <c r="P175">
        <v>210</v>
      </c>
    </row>
    <row r="176" spans="1:16" x14ac:dyDescent="0.25">
      <c r="A176" t="s">
        <v>170</v>
      </c>
      <c r="B176" t="s">
        <v>111</v>
      </c>
      <c r="C176">
        <v>0</v>
      </c>
      <c r="D176">
        <v>200</v>
      </c>
      <c r="E176">
        <v>0</v>
      </c>
      <c r="F176">
        <v>0</v>
      </c>
      <c r="G176">
        <v>1</v>
      </c>
      <c r="H176" t="s">
        <v>9</v>
      </c>
      <c r="I176">
        <v>90</v>
      </c>
      <c r="J176">
        <v>43</v>
      </c>
      <c r="K176" t="s">
        <v>102</v>
      </c>
      <c r="L176">
        <v>2000</v>
      </c>
      <c r="M176" t="s">
        <v>102</v>
      </c>
      <c r="N176">
        <v>166.65799999999999</v>
      </c>
      <c r="O176" t="s">
        <v>102</v>
      </c>
      <c r="P176">
        <v>211</v>
      </c>
    </row>
    <row r="177" spans="1:16" x14ac:dyDescent="0.25">
      <c r="A177" t="s">
        <v>170</v>
      </c>
      <c r="B177" t="s">
        <v>113</v>
      </c>
      <c r="C177">
        <v>0</v>
      </c>
      <c r="D177">
        <v>200</v>
      </c>
      <c r="E177">
        <v>5</v>
      </c>
      <c r="F177">
        <v>0</v>
      </c>
      <c r="G177">
        <v>1</v>
      </c>
      <c r="H177" t="s">
        <v>9</v>
      </c>
      <c r="I177">
        <v>90</v>
      </c>
      <c r="J177">
        <v>28</v>
      </c>
      <c r="K177" t="s">
        <v>102</v>
      </c>
      <c r="L177">
        <v>2000</v>
      </c>
      <c r="M177" t="s">
        <v>102</v>
      </c>
      <c r="N177">
        <v>196.06100000000001</v>
      </c>
      <c r="O177" t="s">
        <v>112</v>
      </c>
      <c r="P177">
        <v>212</v>
      </c>
    </row>
    <row r="178" spans="1:16" x14ac:dyDescent="0.25">
      <c r="A178" t="s">
        <v>170</v>
      </c>
      <c r="B178" t="s">
        <v>114</v>
      </c>
      <c r="C178">
        <v>0</v>
      </c>
      <c r="D178">
        <v>200</v>
      </c>
      <c r="E178">
        <v>0</v>
      </c>
      <c r="F178">
        <v>0</v>
      </c>
      <c r="G178">
        <v>1</v>
      </c>
      <c r="H178" t="s">
        <v>9</v>
      </c>
      <c r="I178">
        <v>90</v>
      </c>
      <c r="J178">
        <v>41</v>
      </c>
      <c r="K178" t="s">
        <v>102</v>
      </c>
      <c r="L178">
        <v>2000</v>
      </c>
      <c r="M178" t="s">
        <v>102</v>
      </c>
      <c r="N178">
        <v>245.494</v>
      </c>
      <c r="O178" t="s">
        <v>102</v>
      </c>
      <c r="P178">
        <v>213</v>
      </c>
    </row>
    <row r="179" spans="1:16" x14ac:dyDescent="0.25">
      <c r="A179" t="s">
        <v>170</v>
      </c>
      <c r="B179" t="s">
        <v>116</v>
      </c>
      <c r="C179">
        <v>0</v>
      </c>
      <c r="D179">
        <v>200</v>
      </c>
      <c r="E179">
        <v>5</v>
      </c>
      <c r="F179">
        <v>0</v>
      </c>
      <c r="G179">
        <v>1</v>
      </c>
      <c r="H179" t="s">
        <v>9</v>
      </c>
      <c r="I179">
        <v>90</v>
      </c>
      <c r="J179">
        <v>36</v>
      </c>
      <c r="K179" t="s">
        <v>102</v>
      </c>
      <c r="L179">
        <v>2000</v>
      </c>
      <c r="M179" t="s">
        <v>102</v>
      </c>
      <c r="N179">
        <v>297.85899999999998</v>
      </c>
      <c r="O179" t="s">
        <v>112</v>
      </c>
      <c r="P179">
        <v>214</v>
      </c>
    </row>
    <row r="180" spans="1:16" x14ac:dyDescent="0.25">
      <c r="A180" t="s">
        <v>170</v>
      </c>
      <c r="B180" t="s">
        <v>117</v>
      </c>
      <c r="C180">
        <v>0</v>
      </c>
      <c r="D180">
        <v>200</v>
      </c>
      <c r="E180">
        <v>5</v>
      </c>
      <c r="F180">
        <v>0</v>
      </c>
      <c r="G180">
        <v>1</v>
      </c>
      <c r="H180" t="s">
        <v>9</v>
      </c>
      <c r="I180">
        <v>90</v>
      </c>
      <c r="J180">
        <v>37</v>
      </c>
      <c r="K180" t="s">
        <v>102</v>
      </c>
      <c r="L180">
        <v>2000</v>
      </c>
      <c r="M180" t="s">
        <v>102</v>
      </c>
      <c r="N180">
        <v>308.95800000000003</v>
      </c>
      <c r="O180" t="s">
        <v>118</v>
      </c>
      <c r="P180">
        <v>215</v>
      </c>
    </row>
    <row r="181" spans="1:16" x14ac:dyDescent="0.25">
      <c r="A181" t="s">
        <v>170</v>
      </c>
      <c r="B181" t="s">
        <v>119</v>
      </c>
      <c r="C181">
        <v>0</v>
      </c>
      <c r="D181">
        <v>200</v>
      </c>
      <c r="E181">
        <v>5</v>
      </c>
      <c r="F181">
        <v>0</v>
      </c>
      <c r="G181">
        <v>1</v>
      </c>
      <c r="H181" t="s">
        <v>9</v>
      </c>
      <c r="I181">
        <v>90</v>
      </c>
      <c r="J181">
        <v>35</v>
      </c>
      <c r="K181" t="s">
        <v>102</v>
      </c>
      <c r="L181">
        <v>2000</v>
      </c>
      <c r="M181" t="s">
        <v>102</v>
      </c>
      <c r="N181">
        <v>314.89100000000002</v>
      </c>
      <c r="O181" t="s">
        <v>172</v>
      </c>
      <c r="P181">
        <v>216</v>
      </c>
    </row>
    <row r="182" spans="1:16" x14ac:dyDescent="0.25">
      <c r="A182" t="s">
        <v>170</v>
      </c>
      <c r="B182" t="s">
        <v>121</v>
      </c>
      <c r="C182">
        <v>0</v>
      </c>
      <c r="D182">
        <v>200</v>
      </c>
      <c r="E182">
        <v>0</v>
      </c>
      <c r="F182">
        <v>0</v>
      </c>
      <c r="G182">
        <v>1</v>
      </c>
      <c r="H182" t="s">
        <v>9</v>
      </c>
      <c r="I182">
        <v>90</v>
      </c>
      <c r="J182">
        <v>36</v>
      </c>
      <c r="K182" t="s">
        <v>102</v>
      </c>
      <c r="L182">
        <v>2000</v>
      </c>
      <c r="M182" t="s">
        <v>102</v>
      </c>
      <c r="N182">
        <v>354.12599999999998</v>
      </c>
      <c r="O182" t="s">
        <v>102</v>
      </c>
      <c r="P182">
        <v>217</v>
      </c>
    </row>
    <row r="183" spans="1:16" x14ac:dyDescent="0.25">
      <c r="A183" t="s">
        <v>170</v>
      </c>
      <c r="B183" t="s">
        <v>123</v>
      </c>
      <c r="C183">
        <v>0</v>
      </c>
      <c r="D183">
        <v>200</v>
      </c>
      <c r="E183">
        <v>5</v>
      </c>
      <c r="F183">
        <v>0</v>
      </c>
      <c r="G183">
        <v>1</v>
      </c>
      <c r="H183" t="s">
        <v>9</v>
      </c>
      <c r="I183">
        <v>90</v>
      </c>
      <c r="J183">
        <v>27</v>
      </c>
      <c r="K183" t="s">
        <v>102</v>
      </c>
      <c r="L183">
        <v>2000</v>
      </c>
      <c r="M183" t="s">
        <v>102</v>
      </c>
      <c r="N183">
        <v>394.47899999999998</v>
      </c>
      <c r="O183" t="s">
        <v>112</v>
      </c>
      <c r="P183">
        <v>218</v>
      </c>
    </row>
    <row r="184" spans="1:16" x14ac:dyDescent="0.25">
      <c r="A184" t="s">
        <v>170</v>
      </c>
      <c r="B184" t="s">
        <v>124</v>
      </c>
      <c r="C184">
        <v>0</v>
      </c>
      <c r="D184">
        <v>200</v>
      </c>
      <c r="E184">
        <v>5</v>
      </c>
      <c r="F184">
        <v>0</v>
      </c>
      <c r="G184">
        <v>1</v>
      </c>
      <c r="H184" t="s">
        <v>9</v>
      </c>
      <c r="I184">
        <v>90</v>
      </c>
      <c r="J184">
        <v>36</v>
      </c>
      <c r="K184" t="s">
        <v>102</v>
      </c>
      <c r="L184">
        <v>2000</v>
      </c>
      <c r="M184" t="s">
        <v>102</v>
      </c>
      <c r="N184">
        <v>471.97</v>
      </c>
      <c r="O184" t="s">
        <v>173</v>
      </c>
      <c r="P184">
        <v>219</v>
      </c>
    </row>
    <row r="185" spans="1:16" x14ac:dyDescent="0.25">
      <c r="A185" t="s">
        <v>170</v>
      </c>
      <c r="B185" t="s">
        <v>125</v>
      </c>
      <c r="C185">
        <v>0</v>
      </c>
      <c r="D185">
        <v>200</v>
      </c>
      <c r="E185">
        <v>5</v>
      </c>
      <c r="F185">
        <v>0</v>
      </c>
      <c r="G185">
        <v>1</v>
      </c>
      <c r="H185" t="s">
        <v>9</v>
      </c>
      <c r="I185">
        <v>90</v>
      </c>
      <c r="J185">
        <v>36</v>
      </c>
      <c r="K185" t="s">
        <v>102</v>
      </c>
      <c r="L185">
        <v>2000</v>
      </c>
      <c r="M185" t="s">
        <v>102</v>
      </c>
      <c r="N185">
        <v>475.48399999999998</v>
      </c>
      <c r="O185" t="s">
        <v>118</v>
      </c>
      <c r="P185">
        <v>220</v>
      </c>
    </row>
    <row r="186" spans="1:16" x14ac:dyDescent="0.25">
      <c r="A186" t="s">
        <v>170</v>
      </c>
      <c r="B186" t="s">
        <v>126</v>
      </c>
      <c r="C186">
        <v>0</v>
      </c>
      <c r="D186">
        <v>200</v>
      </c>
      <c r="E186">
        <v>5</v>
      </c>
      <c r="F186">
        <v>0</v>
      </c>
      <c r="G186">
        <v>1</v>
      </c>
      <c r="H186" t="s">
        <v>9</v>
      </c>
      <c r="I186">
        <v>90</v>
      </c>
      <c r="J186">
        <v>32</v>
      </c>
      <c r="K186" t="s">
        <v>102</v>
      </c>
      <c r="L186">
        <v>2000</v>
      </c>
      <c r="M186" t="s">
        <v>102</v>
      </c>
      <c r="N186">
        <v>483.13200000000001</v>
      </c>
      <c r="O186" t="s">
        <v>172</v>
      </c>
      <c r="P186">
        <v>221</v>
      </c>
    </row>
    <row r="187" spans="1:16" x14ac:dyDescent="0.25">
      <c r="A187" t="s">
        <v>170</v>
      </c>
      <c r="B187" t="s">
        <v>146</v>
      </c>
      <c r="C187">
        <v>0</v>
      </c>
      <c r="D187">
        <v>200</v>
      </c>
      <c r="E187">
        <v>5</v>
      </c>
      <c r="F187">
        <v>0</v>
      </c>
      <c r="G187">
        <v>1</v>
      </c>
      <c r="H187" t="s">
        <v>9</v>
      </c>
      <c r="I187">
        <v>90</v>
      </c>
      <c r="J187">
        <v>36</v>
      </c>
      <c r="K187" t="s">
        <v>102</v>
      </c>
      <c r="L187">
        <v>2000</v>
      </c>
      <c r="M187" t="s">
        <v>102</v>
      </c>
      <c r="N187">
        <v>486.04899999999998</v>
      </c>
      <c r="O187" t="s">
        <v>174</v>
      </c>
      <c r="P187">
        <v>222</v>
      </c>
    </row>
    <row r="188" spans="1:16" x14ac:dyDescent="0.25">
      <c r="A188" t="s">
        <v>170</v>
      </c>
      <c r="B188" t="s">
        <v>148</v>
      </c>
      <c r="C188">
        <v>0</v>
      </c>
      <c r="D188">
        <v>200</v>
      </c>
      <c r="E188">
        <v>5</v>
      </c>
      <c r="F188">
        <v>0</v>
      </c>
      <c r="G188">
        <v>1</v>
      </c>
      <c r="H188" t="s">
        <v>9</v>
      </c>
      <c r="I188">
        <v>90</v>
      </c>
      <c r="J188">
        <v>35</v>
      </c>
      <c r="K188" t="s">
        <v>102</v>
      </c>
      <c r="L188">
        <v>2000</v>
      </c>
      <c r="M188" t="s">
        <v>102</v>
      </c>
      <c r="N188">
        <v>491.46</v>
      </c>
      <c r="O188" t="s">
        <v>112</v>
      </c>
      <c r="P188">
        <v>223</v>
      </c>
    </row>
    <row r="189" spans="1:16" x14ac:dyDescent="0.25">
      <c r="A189" t="s">
        <v>102</v>
      </c>
      <c r="B189" t="s">
        <v>102</v>
      </c>
      <c r="H189" t="s">
        <v>102</v>
      </c>
      <c r="K189" t="s">
        <v>102</v>
      </c>
      <c r="M189" t="s">
        <v>102</v>
      </c>
      <c r="O189" t="s">
        <v>102</v>
      </c>
    </row>
    <row r="190" spans="1:16" x14ac:dyDescent="0.25">
      <c r="A190" t="s">
        <v>102</v>
      </c>
      <c r="B190" t="s">
        <v>102</v>
      </c>
      <c r="H190" t="s">
        <v>102</v>
      </c>
      <c r="K190" t="s">
        <v>102</v>
      </c>
      <c r="M190" t="s">
        <v>102</v>
      </c>
      <c r="O190" t="s">
        <v>102</v>
      </c>
    </row>
    <row r="191" spans="1:16" x14ac:dyDescent="0.25">
      <c r="A191" t="s">
        <v>102</v>
      </c>
      <c r="B191" t="s">
        <v>102</v>
      </c>
      <c r="H191" t="s">
        <v>102</v>
      </c>
      <c r="K191" t="s">
        <v>102</v>
      </c>
      <c r="M191" t="s">
        <v>102</v>
      </c>
      <c r="O191" t="s">
        <v>102</v>
      </c>
    </row>
    <row r="192" spans="1:16" x14ac:dyDescent="0.25">
      <c r="A192" t="s">
        <v>102</v>
      </c>
      <c r="B192" t="s">
        <v>102</v>
      </c>
      <c r="H192" t="s">
        <v>102</v>
      </c>
      <c r="K192" t="s">
        <v>102</v>
      </c>
      <c r="M192" t="s">
        <v>102</v>
      </c>
      <c r="O192" t="s">
        <v>102</v>
      </c>
    </row>
    <row r="193" spans="1:15" x14ac:dyDescent="0.25">
      <c r="A193" t="s">
        <v>102</v>
      </c>
      <c r="B193" t="s">
        <v>102</v>
      </c>
      <c r="H193" t="s">
        <v>102</v>
      </c>
      <c r="K193" t="s">
        <v>102</v>
      </c>
      <c r="M193" t="s">
        <v>102</v>
      </c>
      <c r="O193" t="s">
        <v>102</v>
      </c>
    </row>
    <row r="194" spans="1:15" x14ac:dyDescent="0.25">
      <c r="A194" t="s">
        <v>102</v>
      </c>
      <c r="B194" t="s">
        <v>102</v>
      </c>
      <c r="H194" t="s">
        <v>102</v>
      </c>
      <c r="K194" t="s">
        <v>102</v>
      </c>
      <c r="M194" t="s">
        <v>102</v>
      </c>
      <c r="O194" t="s">
        <v>102</v>
      </c>
    </row>
    <row r="195" spans="1:15" x14ac:dyDescent="0.25">
      <c r="A195" t="s">
        <v>102</v>
      </c>
      <c r="B195" t="s">
        <v>102</v>
      </c>
      <c r="H195" t="s">
        <v>102</v>
      </c>
      <c r="K195" t="s">
        <v>102</v>
      </c>
      <c r="M195" t="s">
        <v>102</v>
      </c>
      <c r="O195" t="s">
        <v>102</v>
      </c>
    </row>
    <row r="196" spans="1:15" x14ac:dyDescent="0.25">
      <c r="A196" t="s">
        <v>102</v>
      </c>
      <c r="B196" t="s">
        <v>102</v>
      </c>
      <c r="H196" t="s">
        <v>102</v>
      </c>
      <c r="K196" t="s">
        <v>102</v>
      </c>
      <c r="M196" t="s">
        <v>102</v>
      </c>
      <c r="O196" t="s">
        <v>102</v>
      </c>
    </row>
    <row r="197" spans="1:15" x14ac:dyDescent="0.25">
      <c r="A197" t="s">
        <v>102</v>
      </c>
      <c r="B197" t="s">
        <v>102</v>
      </c>
      <c r="H197" t="s">
        <v>102</v>
      </c>
      <c r="K197" t="s">
        <v>102</v>
      </c>
      <c r="M197" t="s">
        <v>102</v>
      </c>
      <c r="O197" t="s">
        <v>102</v>
      </c>
    </row>
    <row r="198" spans="1:15" x14ac:dyDescent="0.25">
      <c r="A198" t="s">
        <v>102</v>
      </c>
      <c r="B198" t="s">
        <v>102</v>
      </c>
      <c r="H198" t="s">
        <v>102</v>
      </c>
      <c r="K198" t="s">
        <v>102</v>
      </c>
      <c r="M198" t="s">
        <v>102</v>
      </c>
      <c r="O198" t="s">
        <v>102</v>
      </c>
    </row>
    <row r="199" spans="1:15" x14ac:dyDescent="0.25">
      <c r="A199" t="s">
        <v>102</v>
      </c>
      <c r="B199" t="s">
        <v>102</v>
      </c>
      <c r="H199" t="s">
        <v>102</v>
      </c>
      <c r="K199" t="s">
        <v>102</v>
      </c>
      <c r="M199" t="s">
        <v>102</v>
      </c>
      <c r="O199" t="s">
        <v>102</v>
      </c>
    </row>
    <row r="200" spans="1:15" x14ac:dyDescent="0.25">
      <c r="A200" t="s">
        <v>102</v>
      </c>
      <c r="B200" t="s">
        <v>102</v>
      </c>
      <c r="H200" t="s">
        <v>102</v>
      </c>
      <c r="K200" t="s">
        <v>102</v>
      </c>
      <c r="M200" t="s">
        <v>102</v>
      </c>
      <c r="O200" t="s">
        <v>102</v>
      </c>
    </row>
    <row r="201" spans="1:15" x14ac:dyDescent="0.25">
      <c r="A201" t="s">
        <v>102</v>
      </c>
      <c r="B201" t="s">
        <v>102</v>
      </c>
      <c r="H201" t="s">
        <v>102</v>
      </c>
      <c r="K201" t="s">
        <v>102</v>
      </c>
      <c r="M201" t="s">
        <v>102</v>
      </c>
      <c r="O201" t="s">
        <v>102</v>
      </c>
    </row>
    <row r="202" spans="1:15" x14ac:dyDescent="0.25">
      <c r="A202" t="s">
        <v>102</v>
      </c>
      <c r="B202" t="s">
        <v>102</v>
      </c>
      <c r="H202" t="s">
        <v>102</v>
      </c>
      <c r="K202" t="s">
        <v>102</v>
      </c>
      <c r="M202" t="s">
        <v>102</v>
      </c>
      <c r="O202" t="s">
        <v>102</v>
      </c>
    </row>
    <row r="203" spans="1:15" x14ac:dyDescent="0.25">
      <c r="A203" t="s">
        <v>102</v>
      </c>
      <c r="B203" t="s">
        <v>102</v>
      </c>
      <c r="H203" t="s">
        <v>102</v>
      </c>
      <c r="K203" t="s">
        <v>102</v>
      </c>
      <c r="M203" t="s">
        <v>102</v>
      </c>
      <c r="O203" t="s">
        <v>102</v>
      </c>
    </row>
    <row r="204" spans="1:15" x14ac:dyDescent="0.25">
      <c r="A204" t="s">
        <v>102</v>
      </c>
      <c r="B204" t="s">
        <v>102</v>
      </c>
      <c r="H204" t="s">
        <v>102</v>
      </c>
      <c r="K204" t="s">
        <v>102</v>
      </c>
      <c r="M204" t="s">
        <v>102</v>
      </c>
      <c r="O204" t="s">
        <v>102</v>
      </c>
    </row>
    <row r="205" spans="1:15" x14ac:dyDescent="0.25">
      <c r="A205" t="s">
        <v>102</v>
      </c>
      <c r="B205" t="s">
        <v>102</v>
      </c>
      <c r="H205" t="s">
        <v>102</v>
      </c>
      <c r="K205" t="s">
        <v>102</v>
      </c>
      <c r="M205" t="s">
        <v>102</v>
      </c>
      <c r="O205" t="s">
        <v>102</v>
      </c>
    </row>
    <row r="206" spans="1:15" x14ac:dyDescent="0.25">
      <c r="A206" t="s">
        <v>102</v>
      </c>
      <c r="B206" t="s">
        <v>102</v>
      </c>
      <c r="H206" t="s">
        <v>102</v>
      </c>
      <c r="K206" t="s">
        <v>102</v>
      </c>
      <c r="M206" t="s">
        <v>102</v>
      </c>
      <c r="O206" t="s">
        <v>102</v>
      </c>
    </row>
    <row r="207" spans="1:15" x14ac:dyDescent="0.25">
      <c r="A207" t="s">
        <v>102</v>
      </c>
      <c r="B207" t="s">
        <v>102</v>
      </c>
      <c r="H207" t="s">
        <v>102</v>
      </c>
      <c r="K207" t="s">
        <v>102</v>
      </c>
      <c r="M207" t="s">
        <v>102</v>
      </c>
      <c r="O207" t="s">
        <v>102</v>
      </c>
    </row>
    <row r="208" spans="1:15" x14ac:dyDescent="0.25">
      <c r="A208" t="s">
        <v>102</v>
      </c>
      <c r="B208" t="s">
        <v>102</v>
      </c>
      <c r="H208" t="s">
        <v>102</v>
      </c>
      <c r="K208" t="s">
        <v>102</v>
      </c>
      <c r="M208" t="s">
        <v>102</v>
      </c>
      <c r="O208" t="s">
        <v>102</v>
      </c>
    </row>
    <row r="209" spans="1:15" x14ac:dyDescent="0.25">
      <c r="A209" t="s">
        <v>102</v>
      </c>
      <c r="B209" t="s">
        <v>102</v>
      </c>
      <c r="H209" t="s">
        <v>102</v>
      </c>
      <c r="K209" t="s">
        <v>102</v>
      </c>
      <c r="M209" t="s">
        <v>102</v>
      </c>
      <c r="O209" t="s">
        <v>102</v>
      </c>
    </row>
    <row r="210" spans="1:15" x14ac:dyDescent="0.25">
      <c r="A210" t="s">
        <v>102</v>
      </c>
      <c r="B210" t="s">
        <v>102</v>
      </c>
      <c r="H210" t="s">
        <v>102</v>
      </c>
      <c r="K210" t="s">
        <v>102</v>
      </c>
      <c r="M210" t="s">
        <v>102</v>
      </c>
      <c r="O210" t="s">
        <v>102</v>
      </c>
    </row>
    <row r="211" spans="1:15" x14ac:dyDescent="0.25">
      <c r="A211" t="s">
        <v>102</v>
      </c>
      <c r="B211" t="s">
        <v>102</v>
      </c>
      <c r="H211" t="s">
        <v>102</v>
      </c>
      <c r="K211" t="s">
        <v>102</v>
      </c>
      <c r="M211" t="s">
        <v>102</v>
      </c>
      <c r="O211" t="s">
        <v>102</v>
      </c>
    </row>
    <row r="212" spans="1:15" x14ac:dyDescent="0.25">
      <c r="A212" t="s">
        <v>102</v>
      </c>
      <c r="B212" t="s">
        <v>102</v>
      </c>
      <c r="H212" t="s">
        <v>102</v>
      </c>
      <c r="K212" t="s">
        <v>102</v>
      </c>
      <c r="M212" t="s">
        <v>102</v>
      </c>
      <c r="O212" t="s">
        <v>102</v>
      </c>
    </row>
    <row r="213" spans="1:15" x14ac:dyDescent="0.25">
      <c r="A213" t="s">
        <v>102</v>
      </c>
      <c r="B213" t="s">
        <v>102</v>
      </c>
      <c r="H213" t="s">
        <v>102</v>
      </c>
      <c r="K213" t="s">
        <v>102</v>
      </c>
      <c r="M213" t="s">
        <v>102</v>
      </c>
      <c r="O213" t="s">
        <v>102</v>
      </c>
    </row>
    <row r="214" spans="1:15" x14ac:dyDescent="0.25">
      <c r="A214" t="s">
        <v>102</v>
      </c>
      <c r="B214" t="s">
        <v>102</v>
      </c>
      <c r="H214" t="s">
        <v>102</v>
      </c>
      <c r="K214" t="s">
        <v>102</v>
      </c>
      <c r="M214" t="s">
        <v>102</v>
      </c>
      <c r="O214" t="s">
        <v>102</v>
      </c>
    </row>
    <row r="215" spans="1:15" x14ac:dyDescent="0.25">
      <c r="A215" t="s">
        <v>102</v>
      </c>
      <c r="B215" t="s">
        <v>102</v>
      </c>
      <c r="H215" t="s">
        <v>102</v>
      </c>
      <c r="K215" t="s">
        <v>102</v>
      </c>
      <c r="M215" t="s">
        <v>102</v>
      </c>
      <c r="O215" t="s">
        <v>102</v>
      </c>
    </row>
    <row r="216" spans="1:15" x14ac:dyDescent="0.25">
      <c r="A216" t="s">
        <v>102</v>
      </c>
      <c r="B216" t="s">
        <v>102</v>
      </c>
      <c r="H216" t="s">
        <v>102</v>
      </c>
      <c r="K216" t="s">
        <v>102</v>
      </c>
      <c r="M216" t="s">
        <v>102</v>
      </c>
      <c r="O216" t="s">
        <v>102</v>
      </c>
    </row>
    <row r="217" spans="1:15" x14ac:dyDescent="0.25">
      <c r="A217" t="s">
        <v>102</v>
      </c>
      <c r="B217" t="s">
        <v>102</v>
      </c>
      <c r="H217" t="s">
        <v>102</v>
      </c>
      <c r="K217" t="s">
        <v>102</v>
      </c>
      <c r="M217" t="s">
        <v>102</v>
      </c>
      <c r="O217" t="s">
        <v>102</v>
      </c>
    </row>
    <row r="218" spans="1:15" x14ac:dyDescent="0.25">
      <c r="A218" t="s">
        <v>102</v>
      </c>
      <c r="B218" t="s">
        <v>102</v>
      </c>
      <c r="H218" t="s">
        <v>102</v>
      </c>
      <c r="K218" t="s">
        <v>102</v>
      </c>
      <c r="M218" t="s">
        <v>102</v>
      </c>
      <c r="O218" t="s">
        <v>102</v>
      </c>
    </row>
    <row r="219" spans="1:15" x14ac:dyDescent="0.25">
      <c r="A219" t="s">
        <v>102</v>
      </c>
      <c r="B219" t="s">
        <v>102</v>
      </c>
      <c r="H219" t="s">
        <v>102</v>
      </c>
      <c r="K219" t="s">
        <v>102</v>
      </c>
      <c r="M219" t="s">
        <v>102</v>
      </c>
      <c r="O219" t="s">
        <v>102</v>
      </c>
    </row>
    <row r="220" spans="1:15" x14ac:dyDescent="0.25">
      <c r="A220" t="s">
        <v>102</v>
      </c>
      <c r="B220" t="s">
        <v>102</v>
      </c>
      <c r="H220" t="s">
        <v>102</v>
      </c>
      <c r="K220" t="s">
        <v>102</v>
      </c>
      <c r="M220" t="s">
        <v>102</v>
      </c>
      <c r="O220" t="s">
        <v>102</v>
      </c>
    </row>
    <row r="221" spans="1:15" x14ac:dyDescent="0.25">
      <c r="A221" t="s">
        <v>102</v>
      </c>
      <c r="B221" t="s">
        <v>102</v>
      </c>
      <c r="H221" t="s">
        <v>102</v>
      </c>
      <c r="K221" t="s">
        <v>102</v>
      </c>
      <c r="M221" t="s">
        <v>102</v>
      </c>
      <c r="O221" t="s">
        <v>102</v>
      </c>
    </row>
    <row r="222" spans="1:15" x14ac:dyDescent="0.25">
      <c r="A222" t="s">
        <v>102</v>
      </c>
      <c r="B222" t="s">
        <v>102</v>
      </c>
      <c r="H222" t="s">
        <v>102</v>
      </c>
      <c r="K222" t="s">
        <v>102</v>
      </c>
      <c r="M222" t="s">
        <v>102</v>
      </c>
      <c r="O222" t="s">
        <v>102</v>
      </c>
    </row>
    <row r="223" spans="1:15" x14ac:dyDescent="0.25">
      <c r="A223" t="s">
        <v>102</v>
      </c>
      <c r="B223" t="s">
        <v>102</v>
      </c>
      <c r="H223" t="s">
        <v>102</v>
      </c>
      <c r="K223" t="s">
        <v>102</v>
      </c>
      <c r="M223" t="s">
        <v>102</v>
      </c>
      <c r="O223" t="s">
        <v>102</v>
      </c>
    </row>
    <row r="224" spans="1:15" x14ac:dyDescent="0.25">
      <c r="A224" t="s">
        <v>102</v>
      </c>
      <c r="B224" t="s">
        <v>102</v>
      </c>
      <c r="H224" t="s">
        <v>102</v>
      </c>
      <c r="K224" t="s">
        <v>102</v>
      </c>
      <c r="M224" t="s">
        <v>102</v>
      </c>
      <c r="O224" t="s">
        <v>102</v>
      </c>
    </row>
    <row r="225" spans="1:15" x14ac:dyDescent="0.25">
      <c r="A225" t="s">
        <v>102</v>
      </c>
      <c r="B225" t="s">
        <v>102</v>
      </c>
      <c r="H225" t="s">
        <v>102</v>
      </c>
      <c r="K225" t="s">
        <v>102</v>
      </c>
      <c r="M225" t="s">
        <v>102</v>
      </c>
      <c r="O225" t="s">
        <v>102</v>
      </c>
    </row>
    <row r="226" spans="1:15" x14ac:dyDescent="0.25">
      <c r="A226" t="s">
        <v>102</v>
      </c>
      <c r="B226" t="s">
        <v>102</v>
      </c>
      <c r="H226" t="s">
        <v>102</v>
      </c>
      <c r="K226" t="s">
        <v>102</v>
      </c>
      <c r="M226" t="s">
        <v>102</v>
      </c>
      <c r="O226" t="s">
        <v>102</v>
      </c>
    </row>
    <row r="227" spans="1:15" x14ac:dyDescent="0.25">
      <c r="A227" t="s">
        <v>102</v>
      </c>
      <c r="B227" t="s">
        <v>102</v>
      </c>
      <c r="H227" t="s">
        <v>102</v>
      </c>
      <c r="K227" t="s">
        <v>102</v>
      </c>
      <c r="M227" t="s">
        <v>102</v>
      </c>
      <c r="O227" t="s">
        <v>102</v>
      </c>
    </row>
    <row r="228" spans="1:15" x14ac:dyDescent="0.25">
      <c r="A228" t="s">
        <v>102</v>
      </c>
      <c r="B228" t="s">
        <v>102</v>
      </c>
      <c r="H228" t="s">
        <v>102</v>
      </c>
      <c r="K228" t="s">
        <v>102</v>
      </c>
      <c r="M228" t="s">
        <v>102</v>
      </c>
      <c r="O228" t="s">
        <v>102</v>
      </c>
    </row>
    <row r="229" spans="1:15" x14ac:dyDescent="0.25">
      <c r="A229" t="s">
        <v>102</v>
      </c>
      <c r="B229" t="s">
        <v>102</v>
      </c>
      <c r="H229" t="s">
        <v>102</v>
      </c>
      <c r="K229" t="s">
        <v>102</v>
      </c>
      <c r="M229" t="s">
        <v>102</v>
      </c>
      <c r="O229" t="s">
        <v>102</v>
      </c>
    </row>
    <row r="230" spans="1:15" x14ac:dyDescent="0.25">
      <c r="A230" t="s">
        <v>102</v>
      </c>
      <c r="B230" t="s">
        <v>102</v>
      </c>
      <c r="H230" t="s">
        <v>102</v>
      </c>
      <c r="K230" t="s">
        <v>102</v>
      </c>
      <c r="M230" t="s">
        <v>102</v>
      </c>
      <c r="O230" t="s">
        <v>102</v>
      </c>
    </row>
    <row r="231" spans="1:15" x14ac:dyDescent="0.25">
      <c r="A231" t="s">
        <v>102</v>
      </c>
      <c r="B231" t="s">
        <v>102</v>
      </c>
      <c r="H231" t="s">
        <v>102</v>
      </c>
      <c r="K231" t="s">
        <v>102</v>
      </c>
      <c r="M231" t="s">
        <v>102</v>
      </c>
      <c r="O231" t="s">
        <v>102</v>
      </c>
    </row>
    <row r="232" spans="1:15" x14ac:dyDescent="0.25">
      <c r="A232" t="s">
        <v>102</v>
      </c>
      <c r="B232" t="s">
        <v>102</v>
      </c>
      <c r="H232" t="s">
        <v>102</v>
      </c>
      <c r="K232" t="s">
        <v>102</v>
      </c>
      <c r="M232" t="s">
        <v>102</v>
      </c>
      <c r="O232" t="s">
        <v>102</v>
      </c>
    </row>
    <row r="233" spans="1:15" x14ac:dyDescent="0.25">
      <c r="A233" t="s">
        <v>102</v>
      </c>
      <c r="B233" t="s">
        <v>102</v>
      </c>
      <c r="H233" t="s">
        <v>102</v>
      </c>
      <c r="K233" t="s">
        <v>102</v>
      </c>
      <c r="M233" t="s">
        <v>102</v>
      </c>
      <c r="O233" t="s">
        <v>102</v>
      </c>
    </row>
    <row r="234" spans="1:15" x14ac:dyDescent="0.25">
      <c r="A234" t="s">
        <v>102</v>
      </c>
      <c r="B234" t="s">
        <v>102</v>
      </c>
      <c r="H234" t="s">
        <v>102</v>
      </c>
      <c r="K234" t="s">
        <v>102</v>
      </c>
      <c r="M234" t="s">
        <v>102</v>
      </c>
      <c r="O234" t="s">
        <v>102</v>
      </c>
    </row>
    <row r="235" spans="1:15" x14ac:dyDescent="0.25">
      <c r="A235" t="s">
        <v>102</v>
      </c>
      <c r="B235" t="s">
        <v>102</v>
      </c>
      <c r="H235" t="s">
        <v>102</v>
      </c>
      <c r="K235" t="s">
        <v>102</v>
      </c>
      <c r="M235" t="s">
        <v>102</v>
      </c>
      <c r="O235" t="s">
        <v>102</v>
      </c>
    </row>
    <row r="236" spans="1:15" x14ac:dyDescent="0.25">
      <c r="A236" t="s">
        <v>102</v>
      </c>
      <c r="B236" t="s">
        <v>102</v>
      </c>
      <c r="H236" t="s">
        <v>102</v>
      </c>
      <c r="K236" t="s">
        <v>102</v>
      </c>
      <c r="M236" t="s">
        <v>102</v>
      </c>
      <c r="O236" t="s">
        <v>102</v>
      </c>
    </row>
    <row r="237" spans="1:15" x14ac:dyDescent="0.25">
      <c r="A237" t="s">
        <v>102</v>
      </c>
      <c r="B237" t="s">
        <v>102</v>
      </c>
      <c r="H237" t="s">
        <v>102</v>
      </c>
      <c r="K237" t="s">
        <v>102</v>
      </c>
      <c r="M237" t="s">
        <v>102</v>
      </c>
      <c r="O237" t="s">
        <v>102</v>
      </c>
    </row>
    <row r="238" spans="1:15" x14ac:dyDescent="0.25">
      <c r="A238" t="s">
        <v>102</v>
      </c>
      <c r="B238" t="s">
        <v>102</v>
      </c>
      <c r="H238" t="s">
        <v>102</v>
      </c>
      <c r="K238" t="s">
        <v>102</v>
      </c>
      <c r="M238" t="s">
        <v>102</v>
      </c>
      <c r="O238" t="s">
        <v>102</v>
      </c>
    </row>
    <row r="239" spans="1:15" x14ac:dyDescent="0.25">
      <c r="A239" t="s">
        <v>102</v>
      </c>
      <c r="B239" t="s">
        <v>102</v>
      </c>
      <c r="H239" t="s">
        <v>102</v>
      </c>
      <c r="K239" t="s">
        <v>102</v>
      </c>
      <c r="M239" t="s">
        <v>102</v>
      </c>
      <c r="O239" t="s">
        <v>102</v>
      </c>
    </row>
    <row r="240" spans="1:15" x14ac:dyDescent="0.25">
      <c r="A240" t="s">
        <v>102</v>
      </c>
      <c r="B240" t="s">
        <v>102</v>
      </c>
      <c r="H240" t="s">
        <v>102</v>
      </c>
      <c r="K240" t="s">
        <v>102</v>
      </c>
      <c r="M240" t="s">
        <v>102</v>
      </c>
      <c r="O240" t="s">
        <v>102</v>
      </c>
    </row>
    <row r="241" spans="1:15" x14ac:dyDescent="0.25">
      <c r="A241" t="s">
        <v>102</v>
      </c>
      <c r="B241" t="s">
        <v>102</v>
      </c>
      <c r="H241" t="s">
        <v>102</v>
      </c>
      <c r="K241" t="s">
        <v>102</v>
      </c>
      <c r="M241" t="s">
        <v>102</v>
      </c>
      <c r="O241" t="s">
        <v>102</v>
      </c>
    </row>
    <row r="242" spans="1:15" x14ac:dyDescent="0.25">
      <c r="A242" t="s">
        <v>102</v>
      </c>
      <c r="B242" t="s">
        <v>102</v>
      </c>
      <c r="H242" t="s">
        <v>102</v>
      </c>
      <c r="K242" t="s">
        <v>102</v>
      </c>
      <c r="M242" t="s">
        <v>102</v>
      </c>
      <c r="O242" t="s">
        <v>102</v>
      </c>
    </row>
    <row r="243" spans="1:15" x14ac:dyDescent="0.25">
      <c r="A243" t="s">
        <v>102</v>
      </c>
      <c r="B243" t="s">
        <v>102</v>
      </c>
      <c r="H243" t="s">
        <v>102</v>
      </c>
      <c r="K243" t="s">
        <v>102</v>
      </c>
      <c r="M243" t="s">
        <v>102</v>
      </c>
      <c r="O243" t="s">
        <v>102</v>
      </c>
    </row>
    <row r="244" spans="1:15" x14ac:dyDescent="0.25">
      <c r="A244" t="s">
        <v>102</v>
      </c>
      <c r="B244" t="s">
        <v>102</v>
      </c>
      <c r="H244" t="s">
        <v>102</v>
      </c>
      <c r="K244" t="s">
        <v>102</v>
      </c>
      <c r="M244" t="s">
        <v>102</v>
      </c>
      <c r="O244" t="s">
        <v>102</v>
      </c>
    </row>
    <row r="245" spans="1:15" x14ac:dyDescent="0.25">
      <c r="A245" t="s">
        <v>102</v>
      </c>
      <c r="B245" t="s">
        <v>102</v>
      </c>
      <c r="H245" t="s">
        <v>102</v>
      </c>
      <c r="K245" t="s">
        <v>102</v>
      </c>
      <c r="M245" t="s">
        <v>102</v>
      </c>
      <c r="O245" t="s">
        <v>102</v>
      </c>
    </row>
    <row r="246" spans="1:15" x14ac:dyDescent="0.25">
      <c r="A246" t="s">
        <v>102</v>
      </c>
      <c r="B246" t="s">
        <v>102</v>
      </c>
      <c r="H246" t="s">
        <v>102</v>
      </c>
      <c r="K246" t="s">
        <v>102</v>
      </c>
      <c r="M246" t="s">
        <v>102</v>
      </c>
      <c r="O246" t="s">
        <v>102</v>
      </c>
    </row>
    <row r="247" spans="1:15" x14ac:dyDescent="0.25">
      <c r="A247" t="s">
        <v>102</v>
      </c>
      <c r="B247" t="s">
        <v>102</v>
      </c>
      <c r="H247" t="s">
        <v>102</v>
      </c>
      <c r="K247" t="s">
        <v>102</v>
      </c>
      <c r="M247" t="s">
        <v>102</v>
      </c>
      <c r="O247" t="s">
        <v>102</v>
      </c>
    </row>
    <row r="248" spans="1:15" x14ac:dyDescent="0.25">
      <c r="A248" t="s">
        <v>102</v>
      </c>
      <c r="B248" t="s">
        <v>102</v>
      </c>
      <c r="H248" t="s">
        <v>102</v>
      </c>
      <c r="K248" t="s">
        <v>102</v>
      </c>
      <c r="M248" t="s">
        <v>102</v>
      </c>
      <c r="O248" t="s">
        <v>102</v>
      </c>
    </row>
    <row r="249" spans="1:15" x14ac:dyDescent="0.25">
      <c r="A249" t="s">
        <v>102</v>
      </c>
      <c r="B249" t="s">
        <v>102</v>
      </c>
      <c r="H249" t="s">
        <v>102</v>
      </c>
      <c r="K249" t="s">
        <v>102</v>
      </c>
      <c r="M249" t="s">
        <v>102</v>
      </c>
      <c r="O249" t="s">
        <v>102</v>
      </c>
    </row>
    <row r="250" spans="1:15" x14ac:dyDescent="0.25">
      <c r="A250" t="s">
        <v>102</v>
      </c>
      <c r="B250" t="s">
        <v>102</v>
      </c>
      <c r="H250" t="s">
        <v>102</v>
      </c>
      <c r="K250" t="s">
        <v>102</v>
      </c>
      <c r="M250" t="s">
        <v>102</v>
      </c>
      <c r="O250" t="s">
        <v>102</v>
      </c>
    </row>
    <row r="251" spans="1:15" x14ac:dyDescent="0.25">
      <c r="A251" t="s">
        <v>102</v>
      </c>
      <c r="B251" t="s">
        <v>102</v>
      </c>
      <c r="H251" t="s">
        <v>102</v>
      </c>
      <c r="K251" t="s">
        <v>102</v>
      </c>
      <c r="M251" t="s">
        <v>102</v>
      </c>
      <c r="O251" t="s">
        <v>102</v>
      </c>
    </row>
    <row r="252" spans="1:15" x14ac:dyDescent="0.25">
      <c r="A252" t="s">
        <v>102</v>
      </c>
      <c r="B252" t="s">
        <v>102</v>
      </c>
      <c r="H252" t="s">
        <v>102</v>
      </c>
      <c r="K252" t="s">
        <v>102</v>
      </c>
      <c r="M252" t="s">
        <v>102</v>
      </c>
      <c r="O252" t="s">
        <v>102</v>
      </c>
    </row>
    <row r="253" spans="1:15" x14ac:dyDescent="0.25">
      <c r="A253" t="s">
        <v>102</v>
      </c>
      <c r="B253" t="s">
        <v>102</v>
      </c>
      <c r="H253" t="s">
        <v>102</v>
      </c>
      <c r="K253" t="s">
        <v>102</v>
      </c>
      <c r="M253" t="s">
        <v>102</v>
      </c>
      <c r="O253" t="s">
        <v>102</v>
      </c>
    </row>
    <row r="254" spans="1:15" x14ac:dyDescent="0.25">
      <c r="A254" t="s">
        <v>102</v>
      </c>
      <c r="B254" t="s">
        <v>102</v>
      </c>
      <c r="H254" t="s">
        <v>102</v>
      </c>
      <c r="K254" t="s">
        <v>102</v>
      </c>
      <c r="M254" t="s">
        <v>102</v>
      </c>
      <c r="O254" t="s">
        <v>102</v>
      </c>
    </row>
    <row r="255" spans="1:15" x14ac:dyDescent="0.25">
      <c r="A255" t="s">
        <v>102</v>
      </c>
      <c r="B255" t="s">
        <v>102</v>
      </c>
      <c r="H255" t="s">
        <v>102</v>
      </c>
      <c r="K255" t="s">
        <v>102</v>
      </c>
      <c r="M255" t="s">
        <v>102</v>
      </c>
      <c r="O255" t="s">
        <v>102</v>
      </c>
    </row>
    <row r="256" spans="1:15" x14ac:dyDescent="0.25">
      <c r="A256" t="s">
        <v>102</v>
      </c>
      <c r="B256" t="s">
        <v>102</v>
      </c>
      <c r="H256" t="s">
        <v>102</v>
      </c>
      <c r="K256" t="s">
        <v>102</v>
      </c>
      <c r="M256" t="s">
        <v>102</v>
      </c>
      <c r="O256" t="s">
        <v>102</v>
      </c>
    </row>
    <row r="257" spans="1:15" x14ac:dyDescent="0.25">
      <c r="A257" t="s">
        <v>102</v>
      </c>
      <c r="B257" t="s">
        <v>102</v>
      </c>
      <c r="H257" t="s">
        <v>102</v>
      </c>
      <c r="K257" t="s">
        <v>102</v>
      </c>
      <c r="M257" t="s">
        <v>102</v>
      </c>
      <c r="O257" t="s">
        <v>102</v>
      </c>
    </row>
    <row r="258" spans="1:15" x14ac:dyDescent="0.25">
      <c r="A258" t="s">
        <v>102</v>
      </c>
      <c r="B258" t="s">
        <v>102</v>
      </c>
      <c r="H258" t="s">
        <v>102</v>
      </c>
      <c r="K258" t="s">
        <v>102</v>
      </c>
      <c r="M258" t="s">
        <v>102</v>
      </c>
      <c r="O258" t="s">
        <v>102</v>
      </c>
    </row>
    <row r="259" spans="1:15" x14ac:dyDescent="0.25">
      <c r="A259" t="s">
        <v>102</v>
      </c>
      <c r="B259" t="s">
        <v>102</v>
      </c>
      <c r="H259" t="s">
        <v>102</v>
      </c>
      <c r="K259" t="s">
        <v>102</v>
      </c>
      <c r="M259" t="s">
        <v>102</v>
      </c>
      <c r="O259" t="s">
        <v>102</v>
      </c>
    </row>
    <row r="260" spans="1:15" x14ac:dyDescent="0.25">
      <c r="A260" t="s">
        <v>102</v>
      </c>
      <c r="B260" t="s">
        <v>102</v>
      </c>
      <c r="H260" t="s">
        <v>102</v>
      </c>
      <c r="K260" t="s">
        <v>102</v>
      </c>
      <c r="M260" t="s">
        <v>102</v>
      </c>
      <c r="O260" t="s">
        <v>102</v>
      </c>
    </row>
    <row r="261" spans="1:15" x14ac:dyDescent="0.25">
      <c r="A261" t="s">
        <v>102</v>
      </c>
      <c r="B261" t="s">
        <v>102</v>
      </c>
      <c r="H261" t="s">
        <v>102</v>
      </c>
      <c r="K261" t="s">
        <v>102</v>
      </c>
      <c r="M261" t="s">
        <v>102</v>
      </c>
      <c r="O261" t="s">
        <v>102</v>
      </c>
    </row>
    <row r="262" spans="1:15" x14ac:dyDescent="0.25">
      <c r="A262" t="s">
        <v>102</v>
      </c>
      <c r="B262" t="s">
        <v>102</v>
      </c>
      <c r="H262" t="s">
        <v>102</v>
      </c>
      <c r="K262" t="s">
        <v>102</v>
      </c>
      <c r="M262" t="s">
        <v>102</v>
      </c>
      <c r="O262" t="s">
        <v>102</v>
      </c>
    </row>
    <row r="263" spans="1:15" x14ac:dyDescent="0.25">
      <c r="A263" t="s">
        <v>102</v>
      </c>
      <c r="B263" t="s">
        <v>102</v>
      </c>
      <c r="H263" t="s">
        <v>102</v>
      </c>
      <c r="K263" t="s">
        <v>102</v>
      </c>
      <c r="M263" t="s">
        <v>102</v>
      </c>
      <c r="O263" t="s">
        <v>102</v>
      </c>
    </row>
    <row r="264" spans="1:15" x14ac:dyDescent="0.25">
      <c r="A264" t="s">
        <v>102</v>
      </c>
      <c r="B264" t="s">
        <v>102</v>
      </c>
      <c r="H264" t="s">
        <v>102</v>
      </c>
      <c r="K264" t="s">
        <v>102</v>
      </c>
      <c r="M264" t="s">
        <v>102</v>
      </c>
      <c r="O264" t="s">
        <v>102</v>
      </c>
    </row>
    <row r="265" spans="1:15" x14ac:dyDescent="0.25">
      <c r="A265" t="s">
        <v>102</v>
      </c>
      <c r="B265" t="s">
        <v>102</v>
      </c>
      <c r="H265" t="s">
        <v>102</v>
      </c>
      <c r="K265" t="s">
        <v>102</v>
      </c>
      <c r="M265" t="s">
        <v>102</v>
      </c>
      <c r="O265" t="s">
        <v>102</v>
      </c>
    </row>
    <row r="266" spans="1:15" x14ac:dyDescent="0.25">
      <c r="A266" t="s">
        <v>102</v>
      </c>
      <c r="B266" t="s">
        <v>102</v>
      </c>
      <c r="H266" t="s">
        <v>102</v>
      </c>
      <c r="K266" t="s">
        <v>102</v>
      </c>
      <c r="M266" t="s">
        <v>102</v>
      </c>
      <c r="O266" t="s">
        <v>102</v>
      </c>
    </row>
    <row r="267" spans="1:15" x14ac:dyDescent="0.25">
      <c r="A267" t="s">
        <v>102</v>
      </c>
      <c r="B267" t="s">
        <v>102</v>
      </c>
      <c r="H267" t="s">
        <v>102</v>
      </c>
      <c r="K267" t="s">
        <v>102</v>
      </c>
      <c r="M267" t="s">
        <v>102</v>
      </c>
      <c r="O267" t="s">
        <v>102</v>
      </c>
    </row>
    <row r="268" spans="1:15" x14ac:dyDescent="0.25">
      <c r="A268" t="s">
        <v>102</v>
      </c>
      <c r="B268" t="s">
        <v>102</v>
      </c>
      <c r="H268" t="s">
        <v>102</v>
      </c>
      <c r="K268" t="s">
        <v>102</v>
      </c>
      <c r="M268" t="s">
        <v>102</v>
      </c>
      <c r="O268" t="s">
        <v>102</v>
      </c>
    </row>
    <row r="269" spans="1:15" x14ac:dyDescent="0.25">
      <c r="A269" t="s">
        <v>102</v>
      </c>
      <c r="B269" t="s">
        <v>102</v>
      </c>
      <c r="H269" t="s">
        <v>102</v>
      </c>
      <c r="K269" t="s">
        <v>102</v>
      </c>
      <c r="M269" t="s">
        <v>102</v>
      </c>
      <c r="O269" t="s">
        <v>102</v>
      </c>
    </row>
    <row r="270" spans="1:15" x14ac:dyDescent="0.25">
      <c r="A270" t="s">
        <v>102</v>
      </c>
      <c r="B270" t="s">
        <v>102</v>
      </c>
      <c r="H270" t="s">
        <v>102</v>
      </c>
      <c r="K270" t="s">
        <v>102</v>
      </c>
      <c r="M270" t="s">
        <v>102</v>
      </c>
      <c r="O270" t="s">
        <v>102</v>
      </c>
    </row>
    <row r="271" spans="1:15" x14ac:dyDescent="0.25">
      <c r="A271" t="s">
        <v>102</v>
      </c>
      <c r="B271" t="s">
        <v>102</v>
      </c>
      <c r="H271" t="s">
        <v>102</v>
      </c>
      <c r="K271" t="s">
        <v>102</v>
      </c>
      <c r="M271" t="s">
        <v>102</v>
      </c>
      <c r="O271" t="s">
        <v>102</v>
      </c>
    </row>
    <row r="272" spans="1:15" x14ac:dyDescent="0.25">
      <c r="A272" t="s">
        <v>102</v>
      </c>
      <c r="B272" t="s">
        <v>102</v>
      </c>
      <c r="H272" t="s">
        <v>102</v>
      </c>
      <c r="K272" t="s">
        <v>102</v>
      </c>
      <c r="M272" t="s">
        <v>102</v>
      </c>
      <c r="O272" t="s">
        <v>102</v>
      </c>
    </row>
    <row r="273" spans="1:15" x14ac:dyDescent="0.25">
      <c r="A273" t="s">
        <v>102</v>
      </c>
      <c r="B273" t="s">
        <v>102</v>
      </c>
      <c r="H273" t="s">
        <v>102</v>
      </c>
      <c r="K273" t="s">
        <v>102</v>
      </c>
      <c r="M273" t="s">
        <v>102</v>
      </c>
      <c r="O273" t="s">
        <v>102</v>
      </c>
    </row>
    <row r="274" spans="1:15" x14ac:dyDescent="0.25">
      <c r="A274" t="s">
        <v>102</v>
      </c>
      <c r="B274" t="s">
        <v>102</v>
      </c>
      <c r="H274" t="s">
        <v>102</v>
      </c>
      <c r="K274" t="s">
        <v>102</v>
      </c>
      <c r="M274" t="s">
        <v>102</v>
      </c>
      <c r="O274" t="s">
        <v>102</v>
      </c>
    </row>
    <row r="275" spans="1:15" x14ac:dyDescent="0.25">
      <c r="A275" t="s">
        <v>102</v>
      </c>
      <c r="B275" t="s">
        <v>102</v>
      </c>
      <c r="H275" t="s">
        <v>102</v>
      </c>
      <c r="K275" t="s">
        <v>102</v>
      </c>
      <c r="M275" t="s">
        <v>102</v>
      </c>
      <c r="O275" t="s">
        <v>102</v>
      </c>
    </row>
    <row r="276" spans="1:15" x14ac:dyDescent="0.25">
      <c r="A276" t="s">
        <v>102</v>
      </c>
      <c r="B276" t="s">
        <v>102</v>
      </c>
      <c r="H276" t="s">
        <v>102</v>
      </c>
      <c r="K276" t="s">
        <v>102</v>
      </c>
      <c r="M276" t="s">
        <v>102</v>
      </c>
      <c r="O276" t="s">
        <v>102</v>
      </c>
    </row>
    <row r="277" spans="1:15" x14ac:dyDescent="0.25">
      <c r="A277" t="s">
        <v>102</v>
      </c>
      <c r="B277" t="s">
        <v>102</v>
      </c>
      <c r="H277" t="s">
        <v>102</v>
      </c>
      <c r="K277" t="s">
        <v>102</v>
      </c>
      <c r="M277" t="s">
        <v>102</v>
      </c>
      <c r="O277" t="s">
        <v>102</v>
      </c>
    </row>
    <row r="278" spans="1:15" x14ac:dyDescent="0.25">
      <c r="A278" t="s">
        <v>102</v>
      </c>
      <c r="B278" t="s">
        <v>102</v>
      </c>
      <c r="H278" t="s">
        <v>102</v>
      </c>
      <c r="K278" t="s">
        <v>102</v>
      </c>
      <c r="M278" t="s">
        <v>102</v>
      </c>
      <c r="O278" t="s">
        <v>102</v>
      </c>
    </row>
    <row r="279" spans="1:15" x14ac:dyDescent="0.25">
      <c r="A279" t="s">
        <v>102</v>
      </c>
      <c r="B279" t="s">
        <v>102</v>
      </c>
      <c r="H279" t="s">
        <v>102</v>
      </c>
      <c r="K279" t="s">
        <v>102</v>
      </c>
      <c r="M279" t="s">
        <v>102</v>
      </c>
      <c r="O279" t="s">
        <v>102</v>
      </c>
    </row>
    <row r="280" spans="1:15" x14ac:dyDescent="0.25">
      <c r="A280" t="s">
        <v>102</v>
      </c>
      <c r="B280" t="s">
        <v>102</v>
      </c>
      <c r="H280" t="s">
        <v>102</v>
      </c>
      <c r="K280" t="s">
        <v>102</v>
      </c>
      <c r="M280" t="s">
        <v>102</v>
      </c>
      <c r="O280" t="s">
        <v>102</v>
      </c>
    </row>
    <row r="281" spans="1:15" x14ac:dyDescent="0.25">
      <c r="A281" t="s">
        <v>102</v>
      </c>
      <c r="B281" t="s">
        <v>102</v>
      </c>
      <c r="H281" t="s">
        <v>102</v>
      </c>
      <c r="K281" t="s">
        <v>102</v>
      </c>
      <c r="M281" t="s">
        <v>102</v>
      </c>
      <c r="O281" t="s">
        <v>102</v>
      </c>
    </row>
    <row r="282" spans="1:15" x14ac:dyDescent="0.25">
      <c r="A282" t="s">
        <v>102</v>
      </c>
      <c r="B282" t="s">
        <v>102</v>
      </c>
      <c r="H282" t="s">
        <v>102</v>
      </c>
      <c r="K282" t="s">
        <v>102</v>
      </c>
      <c r="M282" t="s">
        <v>102</v>
      </c>
      <c r="O282" t="s">
        <v>102</v>
      </c>
    </row>
    <row r="283" spans="1:15" x14ac:dyDescent="0.25">
      <c r="A283" t="s">
        <v>102</v>
      </c>
      <c r="B283" t="s">
        <v>102</v>
      </c>
      <c r="H283" t="s">
        <v>102</v>
      </c>
      <c r="K283" t="s">
        <v>102</v>
      </c>
      <c r="M283" t="s">
        <v>102</v>
      </c>
      <c r="O283" t="s">
        <v>102</v>
      </c>
    </row>
    <row r="284" spans="1:15" x14ac:dyDescent="0.25">
      <c r="A284" t="s">
        <v>102</v>
      </c>
      <c r="B284" t="s">
        <v>102</v>
      </c>
      <c r="H284" t="s">
        <v>102</v>
      </c>
      <c r="K284" t="s">
        <v>102</v>
      </c>
      <c r="M284" t="s">
        <v>102</v>
      </c>
      <c r="O284" t="s">
        <v>102</v>
      </c>
    </row>
    <row r="285" spans="1:15" x14ac:dyDescent="0.25">
      <c r="A285" t="s">
        <v>102</v>
      </c>
      <c r="B285" t="s">
        <v>102</v>
      </c>
      <c r="H285" t="s">
        <v>102</v>
      </c>
      <c r="K285" t="s">
        <v>102</v>
      </c>
      <c r="M285" t="s">
        <v>102</v>
      </c>
      <c r="O285" t="s">
        <v>102</v>
      </c>
    </row>
    <row r="286" spans="1:15" x14ac:dyDescent="0.25">
      <c r="A286" t="s">
        <v>102</v>
      </c>
      <c r="B286" t="s">
        <v>102</v>
      </c>
      <c r="H286" t="s">
        <v>102</v>
      </c>
      <c r="K286" t="s">
        <v>102</v>
      </c>
      <c r="M286" t="s">
        <v>102</v>
      </c>
      <c r="O286" t="s">
        <v>102</v>
      </c>
    </row>
    <row r="287" spans="1:15" x14ac:dyDescent="0.25">
      <c r="A287" t="s">
        <v>102</v>
      </c>
      <c r="B287" t="s">
        <v>102</v>
      </c>
      <c r="H287" t="s">
        <v>102</v>
      </c>
      <c r="K287" t="s">
        <v>102</v>
      </c>
      <c r="M287" t="s">
        <v>102</v>
      </c>
      <c r="O287" t="s">
        <v>102</v>
      </c>
    </row>
    <row r="288" spans="1:15" x14ac:dyDescent="0.25">
      <c r="A288" t="s">
        <v>102</v>
      </c>
      <c r="B288" t="s">
        <v>102</v>
      </c>
      <c r="H288" t="s">
        <v>102</v>
      </c>
      <c r="K288" t="s">
        <v>102</v>
      </c>
      <c r="M288" t="s">
        <v>102</v>
      </c>
      <c r="O288" t="s">
        <v>102</v>
      </c>
    </row>
    <row r="289" spans="1:15" x14ac:dyDescent="0.25">
      <c r="A289" t="s">
        <v>102</v>
      </c>
      <c r="B289" t="s">
        <v>102</v>
      </c>
      <c r="H289" t="s">
        <v>102</v>
      </c>
      <c r="K289" t="s">
        <v>102</v>
      </c>
      <c r="M289" t="s">
        <v>102</v>
      </c>
      <c r="O289" t="s">
        <v>102</v>
      </c>
    </row>
    <row r="290" spans="1:15" x14ac:dyDescent="0.25">
      <c r="A290" t="s">
        <v>102</v>
      </c>
      <c r="B290" t="s">
        <v>102</v>
      </c>
      <c r="H290" t="s">
        <v>102</v>
      </c>
      <c r="K290" t="s">
        <v>102</v>
      </c>
      <c r="M290" t="s">
        <v>102</v>
      </c>
      <c r="O290" t="s">
        <v>102</v>
      </c>
    </row>
    <row r="291" spans="1:15" x14ac:dyDescent="0.25">
      <c r="A291" t="s">
        <v>102</v>
      </c>
      <c r="B291" t="s">
        <v>102</v>
      </c>
      <c r="H291" t="s">
        <v>102</v>
      </c>
      <c r="K291" t="s">
        <v>102</v>
      </c>
      <c r="M291" t="s">
        <v>102</v>
      </c>
      <c r="O291" t="s">
        <v>102</v>
      </c>
    </row>
    <row r="292" spans="1:15" x14ac:dyDescent="0.25">
      <c r="A292" t="s">
        <v>102</v>
      </c>
      <c r="B292" t="s">
        <v>102</v>
      </c>
      <c r="H292" t="s">
        <v>102</v>
      </c>
      <c r="K292" t="s">
        <v>102</v>
      </c>
      <c r="M292" t="s">
        <v>102</v>
      </c>
      <c r="O292" t="s">
        <v>102</v>
      </c>
    </row>
    <row r="293" spans="1:15" x14ac:dyDescent="0.25">
      <c r="A293" t="s">
        <v>102</v>
      </c>
      <c r="B293" t="s">
        <v>102</v>
      </c>
      <c r="H293" t="s">
        <v>102</v>
      </c>
      <c r="K293" t="s">
        <v>102</v>
      </c>
      <c r="M293" t="s">
        <v>102</v>
      </c>
      <c r="O293" t="s">
        <v>102</v>
      </c>
    </row>
    <row r="294" spans="1:15" x14ac:dyDescent="0.25">
      <c r="A294" t="s">
        <v>102</v>
      </c>
      <c r="B294" t="s">
        <v>102</v>
      </c>
      <c r="H294" t="s">
        <v>102</v>
      </c>
      <c r="K294" t="s">
        <v>102</v>
      </c>
      <c r="M294" t="s">
        <v>102</v>
      </c>
      <c r="O294" t="s">
        <v>102</v>
      </c>
    </row>
    <row r="295" spans="1:15" x14ac:dyDescent="0.25">
      <c r="A295" t="s">
        <v>102</v>
      </c>
      <c r="B295" t="s">
        <v>102</v>
      </c>
      <c r="H295" t="s">
        <v>102</v>
      </c>
      <c r="K295" t="s">
        <v>102</v>
      </c>
      <c r="M295" t="s">
        <v>102</v>
      </c>
      <c r="O295" t="s">
        <v>102</v>
      </c>
    </row>
    <row r="296" spans="1:15" x14ac:dyDescent="0.25">
      <c r="A296" t="s">
        <v>102</v>
      </c>
      <c r="B296" t="s">
        <v>102</v>
      </c>
      <c r="H296" t="s">
        <v>102</v>
      </c>
      <c r="K296" t="s">
        <v>102</v>
      </c>
      <c r="M296" t="s">
        <v>102</v>
      </c>
      <c r="O296" t="s">
        <v>102</v>
      </c>
    </row>
    <row r="297" spans="1:15" x14ac:dyDescent="0.25">
      <c r="A297" t="s">
        <v>102</v>
      </c>
      <c r="B297" t="s">
        <v>102</v>
      </c>
      <c r="H297" t="s">
        <v>102</v>
      </c>
      <c r="K297" t="s">
        <v>102</v>
      </c>
      <c r="M297" t="s">
        <v>102</v>
      </c>
      <c r="O297" t="s">
        <v>102</v>
      </c>
    </row>
    <row r="298" spans="1:15" x14ac:dyDescent="0.25">
      <c r="A298" t="s">
        <v>102</v>
      </c>
      <c r="B298" t="s">
        <v>102</v>
      </c>
      <c r="H298" t="s">
        <v>102</v>
      </c>
      <c r="K298" t="s">
        <v>102</v>
      </c>
      <c r="M298" t="s">
        <v>102</v>
      </c>
      <c r="O298" t="s">
        <v>102</v>
      </c>
    </row>
    <row r="299" spans="1:15" x14ac:dyDescent="0.25">
      <c r="A299" t="s">
        <v>102</v>
      </c>
      <c r="B299" t="s">
        <v>102</v>
      </c>
      <c r="H299" t="s">
        <v>102</v>
      </c>
      <c r="K299" t="s">
        <v>102</v>
      </c>
      <c r="M299" t="s">
        <v>102</v>
      </c>
      <c r="O299" t="s">
        <v>102</v>
      </c>
    </row>
    <row r="300" spans="1:15" x14ac:dyDescent="0.25">
      <c r="A300" t="s">
        <v>102</v>
      </c>
      <c r="B300" t="s">
        <v>102</v>
      </c>
      <c r="H300" t="s">
        <v>102</v>
      </c>
      <c r="K300" t="s">
        <v>102</v>
      </c>
      <c r="M300" t="s">
        <v>102</v>
      </c>
      <c r="O300" t="s">
        <v>102</v>
      </c>
    </row>
    <row r="301" spans="1:15" x14ac:dyDescent="0.25">
      <c r="A301" t="s">
        <v>102</v>
      </c>
      <c r="B301" t="s">
        <v>102</v>
      </c>
      <c r="H301" t="s">
        <v>102</v>
      </c>
      <c r="K301" t="s">
        <v>102</v>
      </c>
      <c r="M301" t="s">
        <v>102</v>
      </c>
      <c r="O301" t="s">
        <v>102</v>
      </c>
    </row>
    <row r="302" spans="1:15" x14ac:dyDescent="0.25">
      <c r="A302" t="s">
        <v>102</v>
      </c>
      <c r="B302" t="s">
        <v>102</v>
      </c>
      <c r="H302" t="s">
        <v>102</v>
      </c>
      <c r="K302" t="s">
        <v>102</v>
      </c>
      <c r="M302" t="s">
        <v>102</v>
      </c>
      <c r="O302" t="s">
        <v>102</v>
      </c>
    </row>
    <row r="303" spans="1:15" x14ac:dyDescent="0.25">
      <c r="A303" t="s">
        <v>102</v>
      </c>
      <c r="B303" t="s">
        <v>102</v>
      </c>
      <c r="H303" t="s">
        <v>102</v>
      </c>
      <c r="K303" t="s">
        <v>102</v>
      </c>
      <c r="M303" t="s">
        <v>102</v>
      </c>
      <c r="O303" t="s">
        <v>102</v>
      </c>
    </row>
    <row r="304" spans="1:15" x14ac:dyDescent="0.25">
      <c r="A304" t="s">
        <v>102</v>
      </c>
      <c r="B304" t="s">
        <v>102</v>
      </c>
      <c r="H304" t="s">
        <v>102</v>
      </c>
      <c r="K304" t="s">
        <v>102</v>
      </c>
      <c r="M304" t="s">
        <v>102</v>
      </c>
      <c r="O304" t="s">
        <v>102</v>
      </c>
    </row>
    <row r="305" spans="1:15" x14ac:dyDescent="0.25">
      <c r="A305" t="s">
        <v>102</v>
      </c>
      <c r="B305" t="s">
        <v>102</v>
      </c>
      <c r="H305" t="s">
        <v>102</v>
      </c>
      <c r="K305" t="s">
        <v>102</v>
      </c>
      <c r="M305" t="s">
        <v>102</v>
      </c>
      <c r="O305" t="s">
        <v>102</v>
      </c>
    </row>
    <row r="306" spans="1:15" x14ac:dyDescent="0.25">
      <c r="A306" t="s">
        <v>102</v>
      </c>
      <c r="B306" t="s">
        <v>102</v>
      </c>
      <c r="H306" t="s">
        <v>102</v>
      </c>
      <c r="K306" t="s">
        <v>102</v>
      </c>
      <c r="M306" t="s">
        <v>102</v>
      </c>
      <c r="O306" t="s">
        <v>102</v>
      </c>
    </row>
    <row r="307" spans="1:15" x14ac:dyDescent="0.25">
      <c r="A307" t="s">
        <v>102</v>
      </c>
      <c r="B307" t="s">
        <v>102</v>
      </c>
      <c r="H307" t="s">
        <v>102</v>
      </c>
      <c r="K307" t="s">
        <v>102</v>
      </c>
      <c r="M307" t="s">
        <v>102</v>
      </c>
      <c r="O307" t="s">
        <v>102</v>
      </c>
    </row>
    <row r="308" spans="1:15" x14ac:dyDescent="0.25">
      <c r="A308" t="s">
        <v>102</v>
      </c>
      <c r="B308" t="s">
        <v>102</v>
      </c>
      <c r="H308" t="s">
        <v>102</v>
      </c>
      <c r="K308" t="s">
        <v>102</v>
      </c>
      <c r="M308" t="s">
        <v>102</v>
      </c>
      <c r="O308" t="s">
        <v>102</v>
      </c>
    </row>
    <row r="309" spans="1:15" x14ac:dyDescent="0.25">
      <c r="A309" t="s">
        <v>102</v>
      </c>
      <c r="B309" t="s">
        <v>102</v>
      </c>
      <c r="H309" t="s">
        <v>102</v>
      </c>
      <c r="K309" t="s">
        <v>102</v>
      </c>
      <c r="M309" t="s">
        <v>102</v>
      </c>
      <c r="O309" t="s">
        <v>102</v>
      </c>
    </row>
    <row r="310" spans="1:15" x14ac:dyDescent="0.25">
      <c r="A310" t="s">
        <v>102</v>
      </c>
      <c r="B310" t="s">
        <v>102</v>
      </c>
      <c r="H310" t="s">
        <v>102</v>
      </c>
      <c r="K310" t="s">
        <v>102</v>
      </c>
      <c r="M310" t="s">
        <v>102</v>
      </c>
      <c r="O310" t="s">
        <v>102</v>
      </c>
    </row>
    <row r="311" spans="1:15" x14ac:dyDescent="0.25">
      <c r="A311" t="s">
        <v>102</v>
      </c>
      <c r="B311" t="s">
        <v>102</v>
      </c>
      <c r="H311" t="s">
        <v>102</v>
      </c>
      <c r="K311" t="s">
        <v>102</v>
      </c>
      <c r="M311" t="s">
        <v>102</v>
      </c>
      <c r="O311" t="s">
        <v>102</v>
      </c>
    </row>
    <row r="312" spans="1:15" x14ac:dyDescent="0.25">
      <c r="A312" t="s">
        <v>102</v>
      </c>
      <c r="B312" t="s">
        <v>102</v>
      </c>
      <c r="H312" t="s">
        <v>102</v>
      </c>
      <c r="K312" t="s">
        <v>102</v>
      </c>
      <c r="M312" t="s">
        <v>102</v>
      </c>
      <c r="O312" t="s">
        <v>102</v>
      </c>
    </row>
    <row r="313" spans="1:15" x14ac:dyDescent="0.25">
      <c r="A313" t="s">
        <v>102</v>
      </c>
      <c r="B313" t="s">
        <v>102</v>
      </c>
      <c r="H313" t="s">
        <v>102</v>
      </c>
      <c r="K313" t="s">
        <v>102</v>
      </c>
      <c r="M313" t="s">
        <v>102</v>
      </c>
      <c r="O313" t="s">
        <v>102</v>
      </c>
    </row>
    <row r="314" spans="1:15" x14ac:dyDescent="0.25">
      <c r="A314" t="s">
        <v>102</v>
      </c>
      <c r="B314" t="s">
        <v>102</v>
      </c>
      <c r="H314" t="s">
        <v>102</v>
      </c>
      <c r="K314" t="s">
        <v>102</v>
      </c>
      <c r="M314" t="s">
        <v>102</v>
      </c>
      <c r="O314" t="s">
        <v>102</v>
      </c>
    </row>
    <row r="315" spans="1:15" x14ac:dyDescent="0.25">
      <c r="A315" t="s">
        <v>102</v>
      </c>
      <c r="B315" t="s">
        <v>102</v>
      </c>
      <c r="H315" t="s">
        <v>102</v>
      </c>
      <c r="K315" t="s">
        <v>102</v>
      </c>
      <c r="M315" t="s">
        <v>102</v>
      </c>
      <c r="O315" t="s">
        <v>102</v>
      </c>
    </row>
    <row r="316" spans="1:15" x14ac:dyDescent="0.25">
      <c r="A316" t="s">
        <v>102</v>
      </c>
      <c r="B316" t="s">
        <v>102</v>
      </c>
      <c r="H316" t="s">
        <v>102</v>
      </c>
      <c r="K316" t="s">
        <v>102</v>
      </c>
      <c r="M316" t="s">
        <v>102</v>
      </c>
      <c r="O316" t="s">
        <v>102</v>
      </c>
    </row>
    <row r="317" spans="1:15" x14ac:dyDescent="0.25">
      <c r="A317" t="s">
        <v>102</v>
      </c>
      <c r="B317" t="s">
        <v>102</v>
      </c>
      <c r="H317" t="s">
        <v>102</v>
      </c>
      <c r="K317" t="s">
        <v>102</v>
      </c>
      <c r="M317" t="s">
        <v>102</v>
      </c>
      <c r="O317" t="s">
        <v>102</v>
      </c>
    </row>
    <row r="318" spans="1:15" x14ac:dyDescent="0.25">
      <c r="A318" t="s">
        <v>102</v>
      </c>
      <c r="B318" t="s">
        <v>102</v>
      </c>
      <c r="H318" t="s">
        <v>102</v>
      </c>
      <c r="K318" t="s">
        <v>102</v>
      </c>
      <c r="M318" t="s">
        <v>102</v>
      </c>
      <c r="O318" t="s">
        <v>102</v>
      </c>
    </row>
    <row r="319" spans="1:15" x14ac:dyDescent="0.25">
      <c r="A319" t="s">
        <v>102</v>
      </c>
      <c r="B319" t="s">
        <v>102</v>
      </c>
      <c r="H319" t="s">
        <v>102</v>
      </c>
      <c r="K319" t="s">
        <v>102</v>
      </c>
      <c r="M319" t="s">
        <v>102</v>
      </c>
      <c r="O319" t="s">
        <v>102</v>
      </c>
    </row>
    <row r="320" spans="1:15" x14ac:dyDescent="0.25">
      <c r="A320" t="s">
        <v>102</v>
      </c>
      <c r="B320" t="s">
        <v>102</v>
      </c>
      <c r="H320" t="s">
        <v>102</v>
      </c>
      <c r="K320" t="s">
        <v>102</v>
      </c>
      <c r="M320" t="s">
        <v>102</v>
      </c>
      <c r="O320" t="s">
        <v>102</v>
      </c>
    </row>
    <row r="321" spans="1:15" x14ac:dyDescent="0.25">
      <c r="A321" t="s">
        <v>102</v>
      </c>
      <c r="B321" t="s">
        <v>102</v>
      </c>
      <c r="H321" t="s">
        <v>102</v>
      </c>
      <c r="K321" t="s">
        <v>102</v>
      </c>
      <c r="M321" t="s">
        <v>102</v>
      </c>
      <c r="O321" t="s">
        <v>102</v>
      </c>
    </row>
    <row r="322" spans="1:15" x14ac:dyDescent="0.25">
      <c r="A322" t="s">
        <v>102</v>
      </c>
      <c r="B322" t="s">
        <v>102</v>
      </c>
      <c r="H322" t="s">
        <v>102</v>
      </c>
      <c r="K322" t="s">
        <v>102</v>
      </c>
      <c r="M322" t="s">
        <v>102</v>
      </c>
      <c r="O322" t="s">
        <v>102</v>
      </c>
    </row>
    <row r="323" spans="1:15" x14ac:dyDescent="0.25">
      <c r="A323" t="s">
        <v>102</v>
      </c>
      <c r="B323" t="s">
        <v>102</v>
      </c>
      <c r="H323" t="s">
        <v>102</v>
      </c>
      <c r="K323" t="s">
        <v>102</v>
      </c>
      <c r="M323" t="s">
        <v>102</v>
      </c>
      <c r="O323" t="s">
        <v>102</v>
      </c>
    </row>
    <row r="324" spans="1:15" x14ac:dyDescent="0.25">
      <c r="A324" t="s">
        <v>102</v>
      </c>
      <c r="B324" t="s">
        <v>102</v>
      </c>
      <c r="H324" t="s">
        <v>102</v>
      </c>
      <c r="K324" t="s">
        <v>102</v>
      </c>
      <c r="M324" t="s">
        <v>102</v>
      </c>
      <c r="O324" t="s">
        <v>102</v>
      </c>
    </row>
    <row r="325" spans="1:15" x14ac:dyDescent="0.25">
      <c r="A325" t="s">
        <v>102</v>
      </c>
      <c r="B325" t="s">
        <v>102</v>
      </c>
      <c r="H325" t="s">
        <v>102</v>
      </c>
      <c r="K325" t="s">
        <v>102</v>
      </c>
      <c r="M325" t="s">
        <v>102</v>
      </c>
      <c r="O325" t="s">
        <v>102</v>
      </c>
    </row>
    <row r="326" spans="1:15" x14ac:dyDescent="0.25">
      <c r="A326" t="s">
        <v>102</v>
      </c>
      <c r="B326" t="s">
        <v>102</v>
      </c>
      <c r="H326" t="s">
        <v>102</v>
      </c>
      <c r="K326" t="s">
        <v>102</v>
      </c>
      <c r="M326" t="s">
        <v>102</v>
      </c>
      <c r="O326" t="s">
        <v>102</v>
      </c>
    </row>
    <row r="327" spans="1:15" x14ac:dyDescent="0.25">
      <c r="A327" t="s">
        <v>102</v>
      </c>
      <c r="B327" t="s">
        <v>102</v>
      </c>
      <c r="H327" t="s">
        <v>102</v>
      </c>
      <c r="K327" t="s">
        <v>102</v>
      </c>
      <c r="M327" t="s">
        <v>102</v>
      </c>
      <c r="O327" t="s">
        <v>102</v>
      </c>
    </row>
    <row r="328" spans="1:15" x14ac:dyDescent="0.25">
      <c r="A328" t="s">
        <v>102</v>
      </c>
      <c r="B328" t="s">
        <v>102</v>
      </c>
      <c r="H328" t="s">
        <v>102</v>
      </c>
      <c r="K328" t="s">
        <v>102</v>
      </c>
      <c r="M328" t="s">
        <v>102</v>
      </c>
      <c r="O328" t="s">
        <v>102</v>
      </c>
    </row>
    <row r="329" spans="1:15" x14ac:dyDescent="0.25">
      <c r="A329" t="s">
        <v>102</v>
      </c>
      <c r="B329" t="s">
        <v>102</v>
      </c>
      <c r="H329" t="s">
        <v>102</v>
      </c>
      <c r="K329" t="s">
        <v>102</v>
      </c>
      <c r="M329" t="s">
        <v>102</v>
      </c>
      <c r="O329" t="s">
        <v>102</v>
      </c>
    </row>
    <row r="330" spans="1:15" x14ac:dyDescent="0.25">
      <c r="A330" t="s">
        <v>102</v>
      </c>
      <c r="B330" t="s">
        <v>102</v>
      </c>
      <c r="H330" t="s">
        <v>102</v>
      </c>
      <c r="K330" t="s">
        <v>102</v>
      </c>
      <c r="M330" t="s">
        <v>102</v>
      </c>
      <c r="O330" t="s">
        <v>102</v>
      </c>
    </row>
    <row r="331" spans="1:15" x14ac:dyDescent="0.25">
      <c r="A331" t="s">
        <v>102</v>
      </c>
      <c r="B331" t="s">
        <v>102</v>
      </c>
      <c r="H331" t="s">
        <v>102</v>
      </c>
      <c r="K331" t="s">
        <v>102</v>
      </c>
      <c r="M331" t="s">
        <v>102</v>
      </c>
      <c r="O331" t="s">
        <v>102</v>
      </c>
    </row>
    <row r="332" spans="1:15" x14ac:dyDescent="0.25">
      <c r="A332" t="s">
        <v>102</v>
      </c>
      <c r="B332" t="s">
        <v>102</v>
      </c>
      <c r="H332" t="s">
        <v>102</v>
      </c>
      <c r="K332" t="s">
        <v>102</v>
      </c>
      <c r="M332" t="s">
        <v>102</v>
      </c>
      <c r="O332" t="s">
        <v>102</v>
      </c>
    </row>
    <row r="333" spans="1:15" x14ac:dyDescent="0.25">
      <c r="A333" t="s">
        <v>102</v>
      </c>
      <c r="B333" t="s">
        <v>102</v>
      </c>
      <c r="H333" t="s">
        <v>102</v>
      </c>
      <c r="K333" t="s">
        <v>102</v>
      </c>
      <c r="M333" t="s">
        <v>102</v>
      </c>
      <c r="O333" t="s">
        <v>102</v>
      </c>
    </row>
    <row r="334" spans="1:15" x14ac:dyDescent="0.25">
      <c r="A334" t="s">
        <v>102</v>
      </c>
      <c r="B334" t="s">
        <v>102</v>
      </c>
      <c r="H334" t="s">
        <v>102</v>
      </c>
      <c r="K334" t="s">
        <v>102</v>
      </c>
      <c r="M334" t="s">
        <v>102</v>
      </c>
      <c r="O334" t="s">
        <v>102</v>
      </c>
    </row>
    <row r="335" spans="1:15" x14ac:dyDescent="0.25">
      <c r="A335" t="s">
        <v>102</v>
      </c>
      <c r="B335" t="s">
        <v>102</v>
      </c>
      <c r="H335" t="s">
        <v>102</v>
      </c>
      <c r="K335" t="s">
        <v>102</v>
      </c>
      <c r="M335" t="s">
        <v>102</v>
      </c>
      <c r="O335" t="s">
        <v>102</v>
      </c>
    </row>
    <row r="336" spans="1:15" x14ac:dyDescent="0.25">
      <c r="A336" t="s">
        <v>102</v>
      </c>
      <c r="B336" t="s">
        <v>102</v>
      </c>
      <c r="H336" t="s">
        <v>102</v>
      </c>
      <c r="K336" t="s">
        <v>102</v>
      </c>
      <c r="M336" t="s">
        <v>102</v>
      </c>
      <c r="O336" t="s">
        <v>102</v>
      </c>
    </row>
    <row r="337" spans="1:15" x14ac:dyDescent="0.25">
      <c r="A337" t="s">
        <v>102</v>
      </c>
      <c r="B337" t="s">
        <v>102</v>
      </c>
      <c r="H337" t="s">
        <v>102</v>
      </c>
      <c r="K337" t="s">
        <v>102</v>
      </c>
      <c r="M337" t="s">
        <v>102</v>
      </c>
      <c r="O337" t="s">
        <v>102</v>
      </c>
    </row>
    <row r="338" spans="1:15" x14ac:dyDescent="0.25">
      <c r="A338" t="s">
        <v>102</v>
      </c>
      <c r="B338" t="s">
        <v>102</v>
      </c>
      <c r="H338" t="s">
        <v>102</v>
      </c>
      <c r="K338" t="s">
        <v>102</v>
      </c>
      <c r="M338" t="s">
        <v>102</v>
      </c>
      <c r="O338" t="s">
        <v>102</v>
      </c>
    </row>
    <row r="339" spans="1:15" x14ac:dyDescent="0.25">
      <c r="A339" t="s">
        <v>102</v>
      </c>
      <c r="B339" t="s">
        <v>102</v>
      </c>
      <c r="H339" t="s">
        <v>102</v>
      </c>
      <c r="K339" t="s">
        <v>102</v>
      </c>
      <c r="M339" t="s">
        <v>102</v>
      </c>
      <c r="O339" t="s">
        <v>102</v>
      </c>
    </row>
    <row r="340" spans="1:15" x14ac:dyDescent="0.25">
      <c r="A340" t="s">
        <v>102</v>
      </c>
      <c r="B340" t="s">
        <v>102</v>
      </c>
      <c r="H340" t="s">
        <v>102</v>
      </c>
      <c r="K340" t="s">
        <v>102</v>
      </c>
      <c r="M340" t="s">
        <v>102</v>
      </c>
      <c r="O340" t="s">
        <v>102</v>
      </c>
    </row>
    <row r="341" spans="1:15" x14ac:dyDescent="0.25">
      <c r="A341" t="s">
        <v>102</v>
      </c>
      <c r="B341" t="s">
        <v>102</v>
      </c>
      <c r="H341" t="s">
        <v>102</v>
      </c>
      <c r="K341" t="s">
        <v>102</v>
      </c>
      <c r="M341" t="s">
        <v>102</v>
      </c>
      <c r="O341" t="s">
        <v>102</v>
      </c>
    </row>
    <row r="342" spans="1:15" x14ac:dyDescent="0.25">
      <c r="A342" t="s">
        <v>102</v>
      </c>
      <c r="B342" t="s">
        <v>102</v>
      </c>
      <c r="H342" t="s">
        <v>102</v>
      </c>
      <c r="K342" t="s">
        <v>102</v>
      </c>
      <c r="M342" t="s">
        <v>102</v>
      </c>
      <c r="O342" t="s">
        <v>102</v>
      </c>
    </row>
    <row r="343" spans="1:15" x14ac:dyDescent="0.25">
      <c r="A343" t="s">
        <v>102</v>
      </c>
      <c r="B343" t="s">
        <v>102</v>
      </c>
      <c r="H343" t="s">
        <v>102</v>
      </c>
      <c r="K343" t="s">
        <v>102</v>
      </c>
      <c r="M343" t="s">
        <v>102</v>
      </c>
      <c r="O343" t="s">
        <v>102</v>
      </c>
    </row>
    <row r="344" spans="1:15" x14ac:dyDescent="0.25">
      <c r="A344" t="s">
        <v>102</v>
      </c>
      <c r="B344" t="s">
        <v>102</v>
      </c>
      <c r="H344" t="s">
        <v>102</v>
      </c>
      <c r="K344" t="s">
        <v>102</v>
      </c>
      <c r="M344" t="s">
        <v>102</v>
      </c>
      <c r="O344" t="s">
        <v>102</v>
      </c>
    </row>
    <row r="345" spans="1:15" x14ac:dyDescent="0.25">
      <c r="A345" t="s">
        <v>102</v>
      </c>
      <c r="B345" t="s">
        <v>102</v>
      </c>
      <c r="H345" t="s">
        <v>102</v>
      </c>
      <c r="K345" t="s">
        <v>102</v>
      </c>
      <c r="M345" t="s">
        <v>102</v>
      </c>
      <c r="O345" t="s">
        <v>102</v>
      </c>
    </row>
    <row r="346" spans="1:15" x14ac:dyDescent="0.25">
      <c r="A346" t="s">
        <v>102</v>
      </c>
      <c r="B346" t="s">
        <v>102</v>
      </c>
      <c r="H346" t="s">
        <v>102</v>
      </c>
      <c r="K346" t="s">
        <v>102</v>
      </c>
      <c r="M346" t="s">
        <v>102</v>
      </c>
      <c r="O346" t="s">
        <v>102</v>
      </c>
    </row>
    <row r="347" spans="1:15" x14ac:dyDescent="0.25">
      <c r="A347" t="s">
        <v>102</v>
      </c>
      <c r="B347" t="s">
        <v>102</v>
      </c>
      <c r="H347" t="s">
        <v>102</v>
      </c>
      <c r="K347" t="s">
        <v>102</v>
      </c>
      <c r="M347" t="s">
        <v>102</v>
      </c>
      <c r="O347" t="s">
        <v>102</v>
      </c>
    </row>
    <row r="348" spans="1:15" x14ac:dyDescent="0.25">
      <c r="A348" t="s">
        <v>102</v>
      </c>
      <c r="B348" t="s">
        <v>102</v>
      </c>
      <c r="H348" t="s">
        <v>102</v>
      </c>
      <c r="K348" t="s">
        <v>102</v>
      </c>
      <c r="M348" t="s">
        <v>102</v>
      </c>
      <c r="O348" t="s">
        <v>102</v>
      </c>
    </row>
    <row r="349" spans="1:15" x14ac:dyDescent="0.25">
      <c r="A349" t="s">
        <v>102</v>
      </c>
      <c r="B349" t="s">
        <v>102</v>
      </c>
      <c r="H349" t="s">
        <v>102</v>
      </c>
      <c r="K349" t="s">
        <v>102</v>
      </c>
      <c r="M349" t="s">
        <v>102</v>
      </c>
      <c r="O349" t="s">
        <v>102</v>
      </c>
    </row>
    <row r="350" spans="1:15" x14ac:dyDescent="0.25">
      <c r="A350" t="s">
        <v>102</v>
      </c>
      <c r="B350" t="s">
        <v>102</v>
      </c>
      <c r="H350" t="s">
        <v>102</v>
      </c>
      <c r="K350" t="s">
        <v>102</v>
      </c>
      <c r="M350" t="s">
        <v>102</v>
      </c>
      <c r="O350" t="s">
        <v>102</v>
      </c>
    </row>
    <row r="351" spans="1:15" x14ac:dyDescent="0.25">
      <c r="A351" t="s">
        <v>102</v>
      </c>
      <c r="B351" t="s">
        <v>102</v>
      </c>
      <c r="H351" t="s">
        <v>102</v>
      </c>
      <c r="K351" t="s">
        <v>102</v>
      </c>
      <c r="M351" t="s">
        <v>102</v>
      </c>
      <c r="O351" t="s">
        <v>102</v>
      </c>
    </row>
    <row r="352" spans="1:15" x14ac:dyDescent="0.25">
      <c r="A352" t="s">
        <v>102</v>
      </c>
      <c r="B352" t="s">
        <v>102</v>
      </c>
      <c r="H352" t="s">
        <v>102</v>
      </c>
      <c r="K352" t="s">
        <v>102</v>
      </c>
      <c r="M352" t="s">
        <v>102</v>
      </c>
      <c r="O352" t="s">
        <v>102</v>
      </c>
    </row>
    <row r="353" spans="1:15" x14ac:dyDescent="0.25">
      <c r="A353" t="s">
        <v>102</v>
      </c>
      <c r="B353" t="s">
        <v>102</v>
      </c>
      <c r="H353" t="s">
        <v>102</v>
      </c>
      <c r="K353" t="s">
        <v>102</v>
      </c>
      <c r="M353" t="s">
        <v>102</v>
      </c>
      <c r="O353" t="s">
        <v>102</v>
      </c>
    </row>
    <row r="354" spans="1:15" x14ac:dyDescent="0.25">
      <c r="A354" t="s">
        <v>102</v>
      </c>
      <c r="B354" t="s">
        <v>102</v>
      </c>
      <c r="H354" t="s">
        <v>102</v>
      </c>
      <c r="K354" t="s">
        <v>102</v>
      </c>
      <c r="M354" t="s">
        <v>102</v>
      </c>
      <c r="O354" t="s">
        <v>102</v>
      </c>
    </row>
    <row r="355" spans="1:15" x14ac:dyDescent="0.25">
      <c r="A355" t="s">
        <v>102</v>
      </c>
      <c r="B355" t="s">
        <v>102</v>
      </c>
      <c r="H355" t="s">
        <v>102</v>
      </c>
      <c r="K355" t="s">
        <v>102</v>
      </c>
      <c r="M355" t="s">
        <v>102</v>
      </c>
      <c r="O355" t="s">
        <v>102</v>
      </c>
    </row>
    <row r="356" spans="1:15" x14ac:dyDescent="0.25">
      <c r="A356" t="s">
        <v>102</v>
      </c>
      <c r="B356" t="s">
        <v>102</v>
      </c>
      <c r="H356" t="s">
        <v>102</v>
      </c>
      <c r="K356" t="s">
        <v>102</v>
      </c>
      <c r="M356" t="s">
        <v>102</v>
      </c>
      <c r="O356" t="s">
        <v>102</v>
      </c>
    </row>
    <row r="357" spans="1:15" x14ac:dyDescent="0.25">
      <c r="A357" t="s">
        <v>102</v>
      </c>
      <c r="B357" t="s">
        <v>102</v>
      </c>
      <c r="H357" t="s">
        <v>102</v>
      </c>
      <c r="K357" t="s">
        <v>102</v>
      </c>
      <c r="M357" t="s">
        <v>102</v>
      </c>
      <c r="O357" t="s">
        <v>102</v>
      </c>
    </row>
    <row r="358" spans="1:15" x14ac:dyDescent="0.25">
      <c r="A358" t="s">
        <v>102</v>
      </c>
      <c r="B358" t="s">
        <v>102</v>
      </c>
      <c r="H358" t="s">
        <v>102</v>
      </c>
      <c r="K358" t="s">
        <v>102</v>
      </c>
      <c r="M358" t="s">
        <v>102</v>
      </c>
      <c r="O358" t="s">
        <v>102</v>
      </c>
    </row>
    <row r="359" spans="1:15" x14ac:dyDescent="0.25">
      <c r="A359" t="s">
        <v>102</v>
      </c>
      <c r="B359" t="s">
        <v>102</v>
      </c>
      <c r="H359" t="s">
        <v>102</v>
      </c>
      <c r="K359" t="s">
        <v>102</v>
      </c>
      <c r="M359" t="s">
        <v>102</v>
      </c>
      <c r="O359" t="s">
        <v>102</v>
      </c>
    </row>
    <row r="360" spans="1:15" x14ac:dyDescent="0.25">
      <c r="A360" t="s">
        <v>102</v>
      </c>
      <c r="B360" t="s">
        <v>102</v>
      </c>
      <c r="H360" t="s">
        <v>102</v>
      </c>
      <c r="K360" t="s">
        <v>102</v>
      </c>
      <c r="M360" t="s">
        <v>102</v>
      </c>
      <c r="O360" t="s">
        <v>102</v>
      </c>
    </row>
    <row r="361" spans="1:15" x14ac:dyDescent="0.25">
      <c r="A361" t="s">
        <v>102</v>
      </c>
      <c r="B361" t="s">
        <v>102</v>
      </c>
      <c r="H361" t="s">
        <v>102</v>
      </c>
      <c r="K361" t="s">
        <v>102</v>
      </c>
      <c r="M361" t="s">
        <v>102</v>
      </c>
      <c r="O361" t="s">
        <v>102</v>
      </c>
    </row>
    <row r="362" spans="1:15" x14ac:dyDescent="0.25">
      <c r="A362" t="s">
        <v>102</v>
      </c>
      <c r="B362" t="s">
        <v>102</v>
      </c>
      <c r="H362" t="s">
        <v>102</v>
      </c>
      <c r="K362" t="s">
        <v>102</v>
      </c>
      <c r="M362" t="s">
        <v>102</v>
      </c>
      <c r="O362" t="s">
        <v>102</v>
      </c>
    </row>
    <row r="363" spans="1:15" x14ac:dyDescent="0.25">
      <c r="A363" t="s">
        <v>102</v>
      </c>
      <c r="B363" t="s">
        <v>102</v>
      </c>
      <c r="H363" t="s">
        <v>102</v>
      </c>
      <c r="K363" t="s">
        <v>102</v>
      </c>
      <c r="M363" t="s">
        <v>102</v>
      </c>
      <c r="O363" t="s">
        <v>102</v>
      </c>
    </row>
    <row r="364" spans="1:15" x14ac:dyDescent="0.25">
      <c r="A364" t="s">
        <v>102</v>
      </c>
      <c r="B364" t="s">
        <v>102</v>
      </c>
      <c r="H364" t="s">
        <v>102</v>
      </c>
      <c r="K364" t="s">
        <v>102</v>
      </c>
      <c r="M364" t="s">
        <v>102</v>
      </c>
      <c r="O364" t="s">
        <v>102</v>
      </c>
    </row>
    <row r="365" spans="1:15" x14ac:dyDescent="0.25">
      <c r="A365" t="s">
        <v>102</v>
      </c>
      <c r="B365" t="s">
        <v>102</v>
      </c>
      <c r="H365" t="s">
        <v>102</v>
      </c>
      <c r="K365" t="s">
        <v>102</v>
      </c>
      <c r="M365" t="s">
        <v>102</v>
      </c>
      <c r="O365" t="s">
        <v>102</v>
      </c>
    </row>
    <row r="366" spans="1:15" x14ac:dyDescent="0.25">
      <c r="A366" t="s">
        <v>102</v>
      </c>
      <c r="B366" t="s">
        <v>102</v>
      </c>
      <c r="H366" t="s">
        <v>102</v>
      </c>
      <c r="K366" t="s">
        <v>102</v>
      </c>
      <c r="M366" t="s">
        <v>102</v>
      </c>
      <c r="O366" t="s">
        <v>102</v>
      </c>
    </row>
    <row r="367" spans="1:15" x14ac:dyDescent="0.25">
      <c r="A367" t="s">
        <v>102</v>
      </c>
      <c r="B367" t="s">
        <v>102</v>
      </c>
      <c r="H367" t="s">
        <v>102</v>
      </c>
      <c r="K367" t="s">
        <v>102</v>
      </c>
      <c r="M367" t="s">
        <v>102</v>
      </c>
      <c r="O367" t="s">
        <v>102</v>
      </c>
    </row>
    <row r="368" spans="1:15" x14ac:dyDescent="0.25">
      <c r="A368" t="s">
        <v>102</v>
      </c>
      <c r="B368" t="s">
        <v>102</v>
      </c>
      <c r="H368" t="s">
        <v>102</v>
      </c>
      <c r="K368" t="s">
        <v>102</v>
      </c>
      <c r="M368" t="s">
        <v>102</v>
      </c>
      <c r="O368" t="s">
        <v>102</v>
      </c>
    </row>
    <row r="369" spans="1:15" x14ac:dyDescent="0.25">
      <c r="A369" t="s">
        <v>102</v>
      </c>
      <c r="B369" t="s">
        <v>102</v>
      </c>
      <c r="H369" t="s">
        <v>102</v>
      </c>
      <c r="K369" t="s">
        <v>102</v>
      </c>
      <c r="M369" t="s">
        <v>102</v>
      </c>
      <c r="O369" t="s">
        <v>102</v>
      </c>
    </row>
    <row r="370" spans="1:15" x14ac:dyDescent="0.25">
      <c r="A370" t="s">
        <v>102</v>
      </c>
      <c r="B370" t="s">
        <v>102</v>
      </c>
      <c r="H370" t="s">
        <v>102</v>
      </c>
      <c r="K370" t="s">
        <v>102</v>
      </c>
      <c r="M370" t="s">
        <v>102</v>
      </c>
      <c r="O370" t="s">
        <v>102</v>
      </c>
    </row>
    <row r="371" spans="1:15" x14ac:dyDescent="0.25">
      <c r="A371" t="s">
        <v>102</v>
      </c>
      <c r="B371" t="s">
        <v>102</v>
      </c>
      <c r="H371" t="s">
        <v>102</v>
      </c>
      <c r="K371" t="s">
        <v>102</v>
      </c>
      <c r="M371" t="s">
        <v>102</v>
      </c>
      <c r="O371" t="s">
        <v>102</v>
      </c>
    </row>
    <row r="372" spans="1:15" x14ac:dyDescent="0.25">
      <c r="A372" t="s">
        <v>102</v>
      </c>
      <c r="B372" t="s">
        <v>102</v>
      </c>
      <c r="H372" t="s">
        <v>102</v>
      </c>
      <c r="K372" t="s">
        <v>102</v>
      </c>
      <c r="M372" t="s">
        <v>102</v>
      </c>
      <c r="O372" t="s">
        <v>102</v>
      </c>
    </row>
    <row r="373" spans="1:15" x14ac:dyDescent="0.25">
      <c r="A373" t="s">
        <v>102</v>
      </c>
      <c r="B373" t="s">
        <v>102</v>
      </c>
      <c r="H373" t="s">
        <v>102</v>
      </c>
      <c r="K373" t="s">
        <v>102</v>
      </c>
      <c r="M373" t="s">
        <v>102</v>
      </c>
      <c r="O373" t="s">
        <v>102</v>
      </c>
    </row>
    <row r="374" spans="1:15" x14ac:dyDescent="0.25">
      <c r="A374" t="s">
        <v>102</v>
      </c>
      <c r="B374" t="s">
        <v>102</v>
      </c>
      <c r="H374" t="s">
        <v>102</v>
      </c>
      <c r="K374" t="s">
        <v>102</v>
      </c>
      <c r="M374" t="s">
        <v>102</v>
      </c>
      <c r="O374" t="s">
        <v>102</v>
      </c>
    </row>
    <row r="375" spans="1:15" x14ac:dyDescent="0.25">
      <c r="A375" t="s">
        <v>102</v>
      </c>
      <c r="B375" t="s">
        <v>102</v>
      </c>
      <c r="H375" t="s">
        <v>102</v>
      </c>
      <c r="K375" t="s">
        <v>102</v>
      </c>
      <c r="M375" t="s">
        <v>102</v>
      </c>
      <c r="O375" t="s">
        <v>102</v>
      </c>
    </row>
    <row r="376" spans="1:15" x14ac:dyDescent="0.25">
      <c r="A376" t="s">
        <v>102</v>
      </c>
      <c r="B376" t="s">
        <v>102</v>
      </c>
      <c r="H376" t="s">
        <v>102</v>
      </c>
      <c r="K376" t="s">
        <v>102</v>
      </c>
      <c r="M376" t="s">
        <v>102</v>
      </c>
      <c r="O376" t="s">
        <v>102</v>
      </c>
    </row>
    <row r="377" spans="1:15" x14ac:dyDescent="0.25">
      <c r="A377" t="s">
        <v>102</v>
      </c>
      <c r="B377" t="s">
        <v>102</v>
      </c>
      <c r="H377" t="s">
        <v>102</v>
      </c>
      <c r="K377" t="s">
        <v>102</v>
      </c>
      <c r="M377" t="s">
        <v>102</v>
      </c>
      <c r="O377" t="s">
        <v>102</v>
      </c>
    </row>
    <row r="378" spans="1:15" x14ac:dyDescent="0.25">
      <c r="A378" t="s">
        <v>102</v>
      </c>
      <c r="B378" t="s">
        <v>102</v>
      </c>
      <c r="H378" t="s">
        <v>102</v>
      </c>
      <c r="K378" t="s">
        <v>102</v>
      </c>
      <c r="M378" t="s">
        <v>102</v>
      </c>
      <c r="O378" t="s">
        <v>102</v>
      </c>
    </row>
    <row r="379" spans="1:15" x14ac:dyDescent="0.25">
      <c r="A379" t="s">
        <v>102</v>
      </c>
      <c r="B379" t="s">
        <v>102</v>
      </c>
      <c r="H379" t="s">
        <v>102</v>
      </c>
      <c r="K379" t="s">
        <v>102</v>
      </c>
      <c r="M379" t="s">
        <v>102</v>
      </c>
      <c r="O379" t="s">
        <v>102</v>
      </c>
    </row>
    <row r="380" spans="1:15" x14ac:dyDescent="0.25">
      <c r="A380" t="s">
        <v>102</v>
      </c>
      <c r="B380" t="s">
        <v>102</v>
      </c>
      <c r="H380" t="s">
        <v>102</v>
      </c>
      <c r="K380" t="s">
        <v>102</v>
      </c>
      <c r="M380" t="s">
        <v>102</v>
      </c>
      <c r="O380" t="s">
        <v>102</v>
      </c>
    </row>
    <row r="381" spans="1:15" x14ac:dyDescent="0.25">
      <c r="A381" t="s">
        <v>102</v>
      </c>
      <c r="B381" t="s">
        <v>102</v>
      </c>
      <c r="H381" t="s">
        <v>102</v>
      </c>
      <c r="K381" t="s">
        <v>102</v>
      </c>
      <c r="M381" t="s">
        <v>102</v>
      </c>
      <c r="O381" t="s">
        <v>102</v>
      </c>
    </row>
    <row r="382" spans="1:15" x14ac:dyDescent="0.25">
      <c r="A382" t="s">
        <v>102</v>
      </c>
      <c r="B382" t="s">
        <v>102</v>
      </c>
      <c r="H382" t="s">
        <v>102</v>
      </c>
      <c r="K382" t="s">
        <v>102</v>
      </c>
      <c r="M382" t="s">
        <v>102</v>
      </c>
      <c r="O382" t="s">
        <v>102</v>
      </c>
    </row>
    <row r="383" spans="1:15" x14ac:dyDescent="0.25">
      <c r="A383" t="s">
        <v>102</v>
      </c>
      <c r="B383" t="s">
        <v>102</v>
      </c>
      <c r="H383" t="s">
        <v>102</v>
      </c>
      <c r="K383" t="s">
        <v>102</v>
      </c>
      <c r="M383" t="s">
        <v>102</v>
      </c>
      <c r="O383" t="s">
        <v>102</v>
      </c>
    </row>
    <row r="384" spans="1:15" x14ac:dyDescent="0.25">
      <c r="A384" t="s">
        <v>102</v>
      </c>
      <c r="B384" t="s">
        <v>102</v>
      </c>
      <c r="H384" t="s">
        <v>102</v>
      </c>
      <c r="K384" t="s">
        <v>102</v>
      </c>
      <c r="M384" t="s">
        <v>102</v>
      </c>
      <c r="O384" t="s">
        <v>102</v>
      </c>
    </row>
    <row r="385" spans="1:15" x14ac:dyDescent="0.25">
      <c r="A385" t="s">
        <v>102</v>
      </c>
      <c r="B385" t="s">
        <v>102</v>
      </c>
      <c r="H385" t="s">
        <v>102</v>
      </c>
      <c r="K385" t="s">
        <v>102</v>
      </c>
      <c r="M385" t="s">
        <v>102</v>
      </c>
      <c r="O385" t="s">
        <v>102</v>
      </c>
    </row>
    <row r="386" spans="1:15" x14ac:dyDescent="0.25">
      <c r="A386" t="s">
        <v>102</v>
      </c>
      <c r="B386" t="s">
        <v>102</v>
      </c>
      <c r="H386" t="s">
        <v>102</v>
      </c>
      <c r="K386" t="s">
        <v>102</v>
      </c>
      <c r="M386" t="s">
        <v>102</v>
      </c>
      <c r="O386" t="s">
        <v>102</v>
      </c>
    </row>
    <row r="387" spans="1:15" x14ac:dyDescent="0.25">
      <c r="A387" t="s">
        <v>102</v>
      </c>
      <c r="B387" t="s">
        <v>102</v>
      </c>
      <c r="H387" t="s">
        <v>102</v>
      </c>
      <c r="K387" t="s">
        <v>102</v>
      </c>
      <c r="M387" t="s">
        <v>102</v>
      </c>
      <c r="O387" t="s">
        <v>102</v>
      </c>
    </row>
    <row r="388" spans="1:15" x14ac:dyDescent="0.25">
      <c r="A388" t="s">
        <v>102</v>
      </c>
      <c r="B388" t="s">
        <v>102</v>
      </c>
      <c r="H388" t="s">
        <v>102</v>
      </c>
      <c r="K388" t="s">
        <v>102</v>
      </c>
      <c r="M388" t="s">
        <v>102</v>
      </c>
      <c r="O388" t="s">
        <v>102</v>
      </c>
    </row>
    <row r="389" spans="1:15" x14ac:dyDescent="0.25">
      <c r="A389" t="s">
        <v>102</v>
      </c>
      <c r="B389" t="s">
        <v>102</v>
      </c>
      <c r="H389" t="s">
        <v>102</v>
      </c>
      <c r="K389" t="s">
        <v>102</v>
      </c>
      <c r="M389" t="s">
        <v>102</v>
      </c>
      <c r="O389" t="s">
        <v>102</v>
      </c>
    </row>
    <row r="390" spans="1:15" x14ac:dyDescent="0.25">
      <c r="A390" t="s">
        <v>102</v>
      </c>
      <c r="B390" t="s">
        <v>102</v>
      </c>
      <c r="H390" t="s">
        <v>102</v>
      </c>
      <c r="K390" t="s">
        <v>102</v>
      </c>
      <c r="M390" t="s">
        <v>102</v>
      </c>
      <c r="O390" t="s">
        <v>102</v>
      </c>
    </row>
    <row r="391" spans="1:15" x14ac:dyDescent="0.25">
      <c r="A391" t="s">
        <v>102</v>
      </c>
      <c r="B391" t="s">
        <v>102</v>
      </c>
      <c r="H391" t="s">
        <v>102</v>
      </c>
      <c r="K391" t="s">
        <v>102</v>
      </c>
      <c r="M391" t="s">
        <v>102</v>
      </c>
      <c r="O391" t="s">
        <v>102</v>
      </c>
    </row>
    <row r="392" spans="1:15" x14ac:dyDescent="0.25">
      <c r="A392" t="s">
        <v>102</v>
      </c>
      <c r="B392" t="s">
        <v>102</v>
      </c>
      <c r="H392" t="s">
        <v>102</v>
      </c>
      <c r="K392" t="s">
        <v>102</v>
      </c>
      <c r="M392" t="s">
        <v>102</v>
      </c>
      <c r="O392" t="s">
        <v>102</v>
      </c>
    </row>
    <row r="393" spans="1:15" x14ac:dyDescent="0.25">
      <c r="A393" t="s">
        <v>102</v>
      </c>
      <c r="B393" t="s">
        <v>102</v>
      </c>
      <c r="H393" t="s">
        <v>102</v>
      </c>
      <c r="K393" t="s">
        <v>102</v>
      </c>
      <c r="M393" t="s">
        <v>102</v>
      </c>
      <c r="O393" t="s">
        <v>102</v>
      </c>
    </row>
    <row r="394" spans="1:15" x14ac:dyDescent="0.25">
      <c r="A394" t="s">
        <v>102</v>
      </c>
      <c r="B394" t="s">
        <v>102</v>
      </c>
      <c r="H394" t="s">
        <v>102</v>
      </c>
      <c r="K394" t="s">
        <v>102</v>
      </c>
      <c r="M394" t="s">
        <v>102</v>
      </c>
      <c r="O394" t="s">
        <v>102</v>
      </c>
    </row>
    <row r="395" spans="1:15" x14ac:dyDescent="0.25">
      <c r="A395" t="s">
        <v>102</v>
      </c>
      <c r="B395" t="s">
        <v>102</v>
      </c>
      <c r="H395" t="s">
        <v>102</v>
      </c>
      <c r="K395" t="s">
        <v>102</v>
      </c>
      <c r="M395" t="s">
        <v>102</v>
      </c>
      <c r="O395" t="s">
        <v>102</v>
      </c>
    </row>
    <row r="396" spans="1:15" x14ac:dyDescent="0.25">
      <c r="A396" t="s">
        <v>102</v>
      </c>
      <c r="B396" t="s">
        <v>102</v>
      </c>
      <c r="H396" t="s">
        <v>102</v>
      </c>
      <c r="K396" t="s">
        <v>102</v>
      </c>
      <c r="M396" t="s">
        <v>102</v>
      </c>
      <c r="O396" t="s">
        <v>102</v>
      </c>
    </row>
    <row r="397" spans="1:15" x14ac:dyDescent="0.25">
      <c r="A397" t="s">
        <v>102</v>
      </c>
      <c r="B397" t="s">
        <v>102</v>
      </c>
      <c r="H397" t="s">
        <v>102</v>
      </c>
      <c r="K397" t="s">
        <v>102</v>
      </c>
      <c r="M397" t="s">
        <v>102</v>
      </c>
      <c r="O397" t="s">
        <v>102</v>
      </c>
    </row>
    <row r="398" spans="1:15" x14ac:dyDescent="0.25">
      <c r="A398" t="s">
        <v>102</v>
      </c>
      <c r="B398" t="s">
        <v>102</v>
      </c>
      <c r="H398" t="s">
        <v>102</v>
      </c>
      <c r="K398" t="s">
        <v>102</v>
      </c>
      <c r="M398" t="s">
        <v>102</v>
      </c>
      <c r="O398" t="s">
        <v>102</v>
      </c>
    </row>
    <row r="399" spans="1:15" x14ac:dyDescent="0.25">
      <c r="A399" t="s">
        <v>102</v>
      </c>
      <c r="B399" t="s">
        <v>102</v>
      </c>
      <c r="H399" t="s">
        <v>102</v>
      </c>
      <c r="K399" t="s">
        <v>102</v>
      </c>
      <c r="M399" t="s">
        <v>102</v>
      </c>
      <c r="O399" t="s">
        <v>102</v>
      </c>
    </row>
    <row r="400" spans="1:15" x14ac:dyDescent="0.25">
      <c r="A400" t="s">
        <v>102</v>
      </c>
      <c r="B400" t="s">
        <v>102</v>
      </c>
      <c r="H400" t="s">
        <v>102</v>
      </c>
      <c r="K400" t="s">
        <v>102</v>
      </c>
      <c r="M400" t="s">
        <v>102</v>
      </c>
      <c r="O400" t="s">
        <v>102</v>
      </c>
    </row>
    <row r="401" spans="1:15" x14ac:dyDescent="0.25">
      <c r="A401" t="s">
        <v>102</v>
      </c>
      <c r="B401" t="s">
        <v>102</v>
      </c>
      <c r="H401" t="s">
        <v>102</v>
      </c>
      <c r="K401" t="s">
        <v>102</v>
      </c>
      <c r="M401" t="s">
        <v>102</v>
      </c>
      <c r="O401" t="s">
        <v>102</v>
      </c>
    </row>
    <row r="402" spans="1:15" x14ac:dyDescent="0.25">
      <c r="A402" t="s">
        <v>102</v>
      </c>
      <c r="B402" t="s">
        <v>102</v>
      </c>
      <c r="H402" t="s">
        <v>102</v>
      </c>
      <c r="K402" t="s">
        <v>102</v>
      </c>
      <c r="M402" t="s">
        <v>102</v>
      </c>
      <c r="O402" t="s">
        <v>102</v>
      </c>
    </row>
    <row r="403" spans="1:15" x14ac:dyDescent="0.25">
      <c r="A403" t="s">
        <v>102</v>
      </c>
      <c r="B403" t="s">
        <v>102</v>
      </c>
      <c r="H403" t="s">
        <v>102</v>
      </c>
      <c r="K403" t="s">
        <v>102</v>
      </c>
      <c r="M403" t="s">
        <v>102</v>
      </c>
      <c r="O403" t="s">
        <v>102</v>
      </c>
    </row>
    <row r="404" spans="1:15" x14ac:dyDescent="0.25">
      <c r="A404" t="s">
        <v>102</v>
      </c>
      <c r="B404" t="s">
        <v>102</v>
      </c>
      <c r="H404" t="s">
        <v>102</v>
      </c>
      <c r="K404" t="s">
        <v>102</v>
      </c>
      <c r="M404" t="s">
        <v>102</v>
      </c>
      <c r="O404" t="s">
        <v>102</v>
      </c>
    </row>
    <row r="405" spans="1:15" x14ac:dyDescent="0.25">
      <c r="A405" t="s">
        <v>102</v>
      </c>
      <c r="B405" t="s">
        <v>102</v>
      </c>
      <c r="H405" t="s">
        <v>102</v>
      </c>
      <c r="K405" t="s">
        <v>102</v>
      </c>
      <c r="M405" t="s">
        <v>102</v>
      </c>
      <c r="O405" t="s">
        <v>102</v>
      </c>
    </row>
    <row r="406" spans="1:15" x14ac:dyDescent="0.25">
      <c r="A406" t="s">
        <v>102</v>
      </c>
      <c r="B406" t="s">
        <v>102</v>
      </c>
      <c r="H406" t="s">
        <v>102</v>
      </c>
      <c r="K406" t="s">
        <v>102</v>
      </c>
      <c r="M406" t="s">
        <v>102</v>
      </c>
      <c r="O406" t="s">
        <v>102</v>
      </c>
    </row>
    <row r="407" spans="1:15" x14ac:dyDescent="0.25">
      <c r="A407" t="s">
        <v>102</v>
      </c>
      <c r="B407" t="s">
        <v>102</v>
      </c>
      <c r="H407" t="s">
        <v>102</v>
      </c>
      <c r="K407" t="s">
        <v>102</v>
      </c>
      <c r="M407" t="s">
        <v>102</v>
      </c>
      <c r="O407" t="s">
        <v>102</v>
      </c>
    </row>
    <row r="408" spans="1:15" x14ac:dyDescent="0.25">
      <c r="A408" t="s">
        <v>102</v>
      </c>
      <c r="B408" t="s">
        <v>102</v>
      </c>
      <c r="H408" t="s">
        <v>102</v>
      </c>
      <c r="K408" t="s">
        <v>102</v>
      </c>
      <c r="M408" t="s">
        <v>102</v>
      </c>
      <c r="O408" t="s">
        <v>102</v>
      </c>
    </row>
    <row r="409" spans="1:15" x14ac:dyDescent="0.25">
      <c r="A409" t="s">
        <v>102</v>
      </c>
      <c r="B409" t="s">
        <v>102</v>
      </c>
      <c r="H409" t="s">
        <v>102</v>
      </c>
      <c r="K409" t="s">
        <v>102</v>
      </c>
      <c r="M409" t="s">
        <v>102</v>
      </c>
      <c r="O409" t="s">
        <v>102</v>
      </c>
    </row>
    <row r="410" spans="1:15" x14ac:dyDescent="0.25">
      <c r="A410" t="s">
        <v>102</v>
      </c>
      <c r="B410" t="s">
        <v>102</v>
      </c>
      <c r="H410" t="s">
        <v>102</v>
      </c>
      <c r="K410" t="s">
        <v>102</v>
      </c>
      <c r="M410" t="s">
        <v>102</v>
      </c>
      <c r="O410" t="s">
        <v>102</v>
      </c>
    </row>
    <row r="411" spans="1:15" x14ac:dyDescent="0.25">
      <c r="A411" t="s">
        <v>102</v>
      </c>
      <c r="B411" t="s">
        <v>102</v>
      </c>
      <c r="H411" t="s">
        <v>102</v>
      </c>
      <c r="K411" t="s">
        <v>102</v>
      </c>
      <c r="M411" t="s">
        <v>102</v>
      </c>
      <c r="O411" t="s">
        <v>102</v>
      </c>
    </row>
    <row r="412" spans="1:15" x14ac:dyDescent="0.25">
      <c r="A412" t="s">
        <v>102</v>
      </c>
      <c r="B412" t="s">
        <v>102</v>
      </c>
      <c r="H412" t="s">
        <v>102</v>
      </c>
      <c r="K412" t="s">
        <v>102</v>
      </c>
      <c r="M412" t="s">
        <v>102</v>
      </c>
      <c r="O412" t="s">
        <v>102</v>
      </c>
    </row>
    <row r="413" spans="1:15" x14ac:dyDescent="0.25">
      <c r="A413" t="s">
        <v>102</v>
      </c>
      <c r="B413" t="s">
        <v>102</v>
      </c>
      <c r="H413" t="s">
        <v>102</v>
      </c>
      <c r="K413" t="s">
        <v>102</v>
      </c>
      <c r="M413" t="s">
        <v>102</v>
      </c>
      <c r="O413" t="s">
        <v>102</v>
      </c>
    </row>
    <row r="414" spans="1:15" x14ac:dyDescent="0.25">
      <c r="A414" t="s">
        <v>102</v>
      </c>
      <c r="B414" t="s">
        <v>102</v>
      </c>
      <c r="H414" t="s">
        <v>102</v>
      </c>
      <c r="K414" t="s">
        <v>102</v>
      </c>
      <c r="M414" t="s">
        <v>102</v>
      </c>
      <c r="O414" t="s">
        <v>102</v>
      </c>
    </row>
    <row r="415" spans="1:15" x14ac:dyDescent="0.25">
      <c r="A415" t="s">
        <v>102</v>
      </c>
      <c r="B415" t="s">
        <v>102</v>
      </c>
      <c r="H415" t="s">
        <v>102</v>
      </c>
      <c r="K415" t="s">
        <v>102</v>
      </c>
      <c r="M415" t="s">
        <v>102</v>
      </c>
      <c r="O415" t="s">
        <v>102</v>
      </c>
    </row>
    <row r="416" spans="1:15" x14ac:dyDescent="0.25">
      <c r="A416" t="s">
        <v>102</v>
      </c>
      <c r="B416" t="s">
        <v>102</v>
      </c>
      <c r="H416" t="s">
        <v>102</v>
      </c>
      <c r="K416" t="s">
        <v>102</v>
      </c>
      <c r="M416" t="s">
        <v>102</v>
      </c>
      <c r="O416" t="s">
        <v>102</v>
      </c>
    </row>
    <row r="417" spans="1:15" x14ac:dyDescent="0.25">
      <c r="A417" t="s">
        <v>102</v>
      </c>
      <c r="B417" t="s">
        <v>102</v>
      </c>
      <c r="H417" t="s">
        <v>102</v>
      </c>
      <c r="K417" t="s">
        <v>102</v>
      </c>
      <c r="M417" t="s">
        <v>102</v>
      </c>
      <c r="O417" t="s">
        <v>102</v>
      </c>
    </row>
    <row r="418" spans="1:15" x14ac:dyDescent="0.25">
      <c r="A418" t="s">
        <v>102</v>
      </c>
      <c r="B418" t="s">
        <v>102</v>
      </c>
      <c r="H418" t="s">
        <v>102</v>
      </c>
      <c r="K418" t="s">
        <v>102</v>
      </c>
      <c r="M418" t="s">
        <v>102</v>
      </c>
      <c r="O418" t="s">
        <v>102</v>
      </c>
    </row>
    <row r="419" spans="1:15" x14ac:dyDescent="0.25">
      <c r="A419" t="s">
        <v>102</v>
      </c>
      <c r="B419" t="s">
        <v>102</v>
      </c>
      <c r="H419" t="s">
        <v>102</v>
      </c>
      <c r="K419" t="s">
        <v>102</v>
      </c>
      <c r="M419" t="s">
        <v>102</v>
      </c>
      <c r="O419" t="s">
        <v>102</v>
      </c>
    </row>
    <row r="420" spans="1:15" x14ac:dyDescent="0.25">
      <c r="A420" t="s">
        <v>102</v>
      </c>
      <c r="B420" t="s">
        <v>102</v>
      </c>
      <c r="H420" t="s">
        <v>102</v>
      </c>
      <c r="K420" t="s">
        <v>102</v>
      </c>
      <c r="M420" t="s">
        <v>102</v>
      </c>
      <c r="O420" t="s">
        <v>102</v>
      </c>
    </row>
    <row r="421" spans="1:15" x14ac:dyDescent="0.25">
      <c r="A421" t="s">
        <v>102</v>
      </c>
      <c r="B421" t="s">
        <v>102</v>
      </c>
      <c r="H421" t="s">
        <v>102</v>
      </c>
      <c r="K421" t="s">
        <v>102</v>
      </c>
      <c r="M421" t="s">
        <v>102</v>
      </c>
      <c r="O421" t="s">
        <v>102</v>
      </c>
    </row>
    <row r="422" spans="1:15" x14ac:dyDescent="0.25">
      <c r="A422" t="s">
        <v>102</v>
      </c>
      <c r="B422" t="s">
        <v>102</v>
      </c>
      <c r="H422" t="s">
        <v>102</v>
      </c>
      <c r="K422" t="s">
        <v>102</v>
      </c>
      <c r="M422" t="s">
        <v>102</v>
      </c>
      <c r="O422" t="s">
        <v>102</v>
      </c>
    </row>
    <row r="423" spans="1:15" x14ac:dyDescent="0.25">
      <c r="A423" t="s">
        <v>102</v>
      </c>
      <c r="B423" t="s">
        <v>102</v>
      </c>
      <c r="H423" t="s">
        <v>102</v>
      </c>
      <c r="K423" t="s">
        <v>102</v>
      </c>
      <c r="M423" t="s">
        <v>102</v>
      </c>
      <c r="O423" t="s">
        <v>102</v>
      </c>
    </row>
    <row r="424" spans="1:15" x14ac:dyDescent="0.25">
      <c r="A424" t="s">
        <v>102</v>
      </c>
      <c r="B424" t="s">
        <v>102</v>
      </c>
      <c r="H424" t="s">
        <v>102</v>
      </c>
      <c r="K424" t="s">
        <v>102</v>
      </c>
      <c r="M424" t="s">
        <v>102</v>
      </c>
      <c r="O424" t="s">
        <v>102</v>
      </c>
    </row>
    <row r="425" spans="1:15" x14ac:dyDescent="0.25">
      <c r="A425" t="s">
        <v>102</v>
      </c>
      <c r="B425" t="s">
        <v>102</v>
      </c>
      <c r="H425" t="s">
        <v>102</v>
      </c>
      <c r="K425" t="s">
        <v>102</v>
      </c>
      <c r="M425" t="s">
        <v>102</v>
      </c>
      <c r="O425" t="s">
        <v>102</v>
      </c>
    </row>
    <row r="426" spans="1:15" x14ac:dyDescent="0.25">
      <c r="A426" t="s">
        <v>102</v>
      </c>
      <c r="B426" t="s">
        <v>102</v>
      </c>
      <c r="H426" t="s">
        <v>102</v>
      </c>
      <c r="K426" t="s">
        <v>102</v>
      </c>
      <c r="M426" t="s">
        <v>102</v>
      </c>
      <c r="O426" t="s">
        <v>102</v>
      </c>
    </row>
    <row r="427" spans="1:15" x14ac:dyDescent="0.25">
      <c r="A427" t="s">
        <v>102</v>
      </c>
      <c r="B427" t="s">
        <v>102</v>
      </c>
      <c r="H427" t="s">
        <v>102</v>
      </c>
      <c r="K427" t="s">
        <v>102</v>
      </c>
      <c r="M427" t="s">
        <v>102</v>
      </c>
      <c r="O427" t="s">
        <v>102</v>
      </c>
    </row>
    <row r="428" spans="1:15" x14ac:dyDescent="0.25">
      <c r="A428" t="s">
        <v>102</v>
      </c>
      <c r="B428" t="s">
        <v>102</v>
      </c>
      <c r="H428" t="s">
        <v>102</v>
      </c>
      <c r="K428" t="s">
        <v>102</v>
      </c>
      <c r="M428" t="s">
        <v>102</v>
      </c>
      <c r="O428" t="s">
        <v>102</v>
      </c>
    </row>
    <row r="429" spans="1:15" x14ac:dyDescent="0.25">
      <c r="A429" t="s">
        <v>102</v>
      </c>
      <c r="B429" t="s">
        <v>102</v>
      </c>
      <c r="H429" t="s">
        <v>102</v>
      </c>
      <c r="K429" t="s">
        <v>102</v>
      </c>
      <c r="M429" t="s">
        <v>102</v>
      </c>
      <c r="O429" t="s">
        <v>102</v>
      </c>
    </row>
    <row r="430" spans="1:15" x14ac:dyDescent="0.25">
      <c r="A430" t="s">
        <v>102</v>
      </c>
      <c r="B430" t="s">
        <v>102</v>
      </c>
      <c r="H430" t="s">
        <v>102</v>
      </c>
      <c r="K430" t="s">
        <v>102</v>
      </c>
      <c r="M430" t="s">
        <v>102</v>
      </c>
      <c r="O430" t="s">
        <v>102</v>
      </c>
    </row>
    <row r="431" spans="1:15" x14ac:dyDescent="0.25">
      <c r="A431" t="s">
        <v>102</v>
      </c>
      <c r="B431" t="s">
        <v>102</v>
      </c>
      <c r="H431" t="s">
        <v>102</v>
      </c>
      <c r="K431" t="s">
        <v>102</v>
      </c>
      <c r="M431" t="s">
        <v>102</v>
      </c>
      <c r="O431" t="s">
        <v>102</v>
      </c>
    </row>
    <row r="432" spans="1:15" x14ac:dyDescent="0.25">
      <c r="A432" t="s">
        <v>102</v>
      </c>
      <c r="B432" t="s">
        <v>102</v>
      </c>
      <c r="H432" t="s">
        <v>102</v>
      </c>
      <c r="K432" t="s">
        <v>102</v>
      </c>
      <c r="M432" t="s">
        <v>102</v>
      </c>
      <c r="O432" t="s">
        <v>102</v>
      </c>
    </row>
    <row r="433" spans="1:15" x14ac:dyDescent="0.25">
      <c r="A433" t="s">
        <v>102</v>
      </c>
      <c r="B433" t="s">
        <v>102</v>
      </c>
      <c r="H433" t="s">
        <v>102</v>
      </c>
      <c r="K433" t="s">
        <v>102</v>
      </c>
      <c r="M433" t="s">
        <v>102</v>
      </c>
      <c r="O433" t="s">
        <v>102</v>
      </c>
    </row>
    <row r="434" spans="1:15" x14ac:dyDescent="0.25">
      <c r="A434" t="s">
        <v>102</v>
      </c>
      <c r="B434" t="s">
        <v>102</v>
      </c>
      <c r="H434" t="s">
        <v>102</v>
      </c>
      <c r="K434" t="s">
        <v>102</v>
      </c>
      <c r="M434" t="s">
        <v>102</v>
      </c>
      <c r="O434" t="s">
        <v>102</v>
      </c>
    </row>
    <row r="435" spans="1:15" x14ac:dyDescent="0.25">
      <c r="A435" t="s">
        <v>102</v>
      </c>
      <c r="B435" t="s">
        <v>102</v>
      </c>
      <c r="H435" t="s">
        <v>102</v>
      </c>
      <c r="K435" t="s">
        <v>102</v>
      </c>
      <c r="M435" t="s">
        <v>102</v>
      </c>
      <c r="O435" t="s">
        <v>102</v>
      </c>
    </row>
    <row r="436" spans="1:15" x14ac:dyDescent="0.25">
      <c r="A436" t="s">
        <v>102</v>
      </c>
      <c r="B436" t="s">
        <v>102</v>
      </c>
      <c r="H436" t="s">
        <v>102</v>
      </c>
      <c r="K436" t="s">
        <v>102</v>
      </c>
      <c r="M436" t="s">
        <v>102</v>
      </c>
      <c r="O436" t="s">
        <v>102</v>
      </c>
    </row>
    <row r="437" spans="1:15" x14ac:dyDescent="0.25">
      <c r="A437" t="s">
        <v>102</v>
      </c>
      <c r="B437" t="s">
        <v>102</v>
      </c>
      <c r="H437" t="s">
        <v>102</v>
      </c>
      <c r="K437" t="s">
        <v>102</v>
      </c>
      <c r="M437" t="s">
        <v>102</v>
      </c>
      <c r="O437" t="s">
        <v>102</v>
      </c>
    </row>
    <row r="438" spans="1:15" x14ac:dyDescent="0.25">
      <c r="A438" t="s">
        <v>102</v>
      </c>
      <c r="B438" t="s">
        <v>102</v>
      </c>
      <c r="H438" t="s">
        <v>102</v>
      </c>
      <c r="K438" t="s">
        <v>102</v>
      </c>
      <c r="M438" t="s">
        <v>102</v>
      </c>
      <c r="O438" t="s">
        <v>102</v>
      </c>
    </row>
    <row r="439" spans="1:15" x14ac:dyDescent="0.25">
      <c r="A439" t="s">
        <v>102</v>
      </c>
      <c r="B439" t="s">
        <v>102</v>
      </c>
      <c r="H439" t="s">
        <v>102</v>
      </c>
      <c r="K439" t="s">
        <v>102</v>
      </c>
      <c r="M439" t="s">
        <v>102</v>
      </c>
      <c r="O439" t="s">
        <v>102</v>
      </c>
    </row>
    <row r="440" spans="1:15" x14ac:dyDescent="0.25">
      <c r="A440" t="s">
        <v>102</v>
      </c>
      <c r="B440" t="s">
        <v>102</v>
      </c>
      <c r="H440" t="s">
        <v>102</v>
      </c>
      <c r="K440" t="s">
        <v>102</v>
      </c>
      <c r="M440" t="s">
        <v>102</v>
      </c>
      <c r="O440" t="s">
        <v>102</v>
      </c>
    </row>
    <row r="441" spans="1:15" x14ac:dyDescent="0.25">
      <c r="A441" t="s">
        <v>102</v>
      </c>
      <c r="B441" t="s">
        <v>102</v>
      </c>
      <c r="H441" t="s">
        <v>102</v>
      </c>
      <c r="K441" t="s">
        <v>102</v>
      </c>
      <c r="M441" t="s">
        <v>102</v>
      </c>
      <c r="O441" t="s">
        <v>102</v>
      </c>
    </row>
    <row r="442" spans="1:15" x14ac:dyDescent="0.25">
      <c r="A442" t="s">
        <v>102</v>
      </c>
      <c r="B442" t="s">
        <v>102</v>
      </c>
      <c r="H442" t="s">
        <v>102</v>
      </c>
      <c r="K442" t="s">
        <v>102</v>
      </c>
      <c r="M442" t="s">
        <v>102</v>
      </c>
      <c r="O442" t="s">
        <v>102</v>
      </c>
    </row>
    <row r="443" spans="1:15" x14ac:dyDescent="0.25">
      <c r="A443" t="s">
        <v>102</v>
      </c>
      <c r="B443" t="s">
        <v>102</v>
      </c>
      <c r="H443" t="s">
        <v>102</v>
      </c>
      <c r="K443" t="s">
        <v>102</v>
      </c>
      <c r="M443" t="s">
        <v>102</v>
      </c>
      <c r="O443" t="s">
        <v>102</v>
      </c>
    </row>
    <row r="444" spans="1:15" x14ac:dyDescent="0.25">
      <c r="A444" t="s">
        <v>102</v>
      </c>
      <c r="B444" t="s">
        <v>102</v>
      </c>
      <c r="H444" t="s">
        <v>102</v>
      </c>
      <c r="K444" t="s">
        <v>102</v>
      </c>
      <c r="M444" t="s">
        <v>102</v>
      </c>
      <c r="O444" t="s">
        <v>102</v>
      </c>
    </row>
    <row r="445" spans="1:15" x14ac:dyDescent="0.25">
      <c r="A445" t="s">
        <v>102</v>
      </c>
      <c r="B445" t="s">
        <v>102</v>
      </c>
      <c r="H445" t="s">
        <v>102</v>
      </c>
      <c r="K445" t="s">
        <v>102</v>
      </c>
      <c r="M445" t="s">
        <v>102</v>
      </c>
      <c r="O445" t="s">
        <v>102</v>
      </c>
    </row>
    <row r="446" spans="1:15" x14ac:dyDescent="0.25">
      <c r="A446" t="s">
        <v>102</v>
      </c>
      <c r="B446" t="s">
        <v>102</v>
      </c>
      <c r="H446" t="s">
        <v>102</v>
      </c>
      <c r="K446" t="s">
        <v>102</v>
      </c>
      <c r="M446" t="s">
        <v>102</v>
      </c>
      <c r="O446" t="s">
        <v>102</v>
      </c>
    </row>
    <row r="447" spans="1:15" x14ac:dyDescent="0.25">
      <c r="A447" t="s">
        <v>102</v>
      </c>
      <c r="B447" t="s">
        <v>102</v>
      </c>
      <c r="H447" t="s">
        <v>102</v>
      </c>
      <c r="K447" t="s">
        <v>102</v>
      </c>
      <c r="M447" t="s">
        <v>102</v>
      </c>
      <c r="O447" t="s">
        <v>102</v>
      </c>
    </row>
    <row r="448" spans="1:15" x14ac:dyDescent="0.25">
      <c r="A448" t="s">
        <v>102</v>
      </c>
      <c r="B448" t="s">
        <v>102</v>
      </c>
      <c r="H448" t="s">
        <v>102</v>
      </c>
      <c r="K448" t="s">
        <v>102</v>
      </c>
      <c r="M448" t="s">
        <v>102</v>
      </c>
      <c r="O448" t="s">
        <v>102</v>
      </c>
    </row>
    <row r="449" spans="1:15" x14ac:dyDescent="0.25">
      <c r="A449" t="s">
        <v>102</v>
      </c>
      <c r="B449" t="s">
        <v>102</v>
      </c>
      <c r="H449" t="s">
        <v>102</v>
      </c>
      <c r="K449" t="s">
        <v>102</v>
      </c>
      <c r="M449" t="s">
        <v>102</v>
      </c>
      <c r="O449" t="s">
        <v>102</v>
      </c>
    </row>
    <row r="450" spans="1:15" x14ac:dyDescent="0.25">
      <c r="A450" t="s">
        <v>102</v>
      </c>
      <c r="B450" t="s">
        <v>102</v>
      </c>
      <c r="H450" t="s">
        <v>102</v>
      </c>
      <c r="K450" t="s">
        <v>102</v>
      </c>
      <c r="M450" t="s">
        <v>102</v>
      </c>
      <c r="O450" t="s">
        <v>102</v>
      </c>
    </row>
    <row r="451" spans="1:15" x14ac:dyDescent="0.25">
      <c r="A451" t="s">
        <v>102</v>
      </c>
      <c r="B451" t="s">
        <v>102</v>
      </c>
      <c r="H451" t="s">
        <v>102</v>
      </c>
      <c r="K451" t="s">
        <v>102</v>
      </c>
      <c r="M451" t="s">
        <v>102</v>
      </c>
      <c r="O451" t="s">
        <v>102</v>
      </c>
    </row>
    <row r="452" spans="1:15" x14ac:dyDescent="0.25">
      <c r="A452" t="s">
        <v>102</v>
      </c>
      <c r="B452" t="s">
        <v>102</v>
      </c>
      <c r="H452" t="s">
        <v>102</v>
      </c>
      <c r="K452" t="s">
        <v>102</v>
      </c>
      <c r="M452" t="s">
        <v>102</v>
      </c>
      <c r="O452" t="s">
        <v>102</v>
      </c>
    </row>
    <row r="453" spans="1:15" x14ac:dyDescent="0.25">
      <c r="A453" t="s">
        <v>102</v>
      </c>
      <c r="B453" t="s">
        <v>102</v>
      </c>
      <c r="H453" t="s">
        <v>102</v>
      </c>
      <c r="K453" t="s">
        <v>102</v>
      </c>
      <c r="M453" t="s">
        <v>102</v>
      </c>
      <c r="O453" t="s">
        <v>102</v>
      </c>
    </row>
    <row r="454" spans="1:15" x14ac:dyDescent="0.25">
      <c r="A454" t="s">
        <v>102</v>
      </c>
      <c r="B454" t="s">
        <v>102</v>
      </c>
      <c r="H454" t="s">
        <v>102</v>
      </c>
      <c r="K454" t="s">
        <v>102</v>
      </c>
      <c r="M454" t="s">
        <v>102</v>
      </c>
      <c r="O454" t="s">
        <v>102</v>
      </c>
    </row>
    <row r="455" spans="1:15" x14ac:dyDescent="0.25">
      <c r="A455" t="s">
        <v>102</v>
      </c>
      <c r="B455" t="s">
        <v>102</v>
      </c>
      <c r="H455" t="s">
        <v>102</v>
      </c>
      <c r="K455" t="s">
        <v>102</v>
      </c>
      <c r="M455" t="s">
        <v>102</v>
      </c>
      <c r="O455" t="s">
        <v>102</v>
      </c>
    </row>
    <row r="456" spans="1:15" x14ac:dyDescent="0.25">
      <c r="A456" t="s">
        <v>102</v>
      </c>
      <c r="B456" t="s">
        <v>102</v>
      </c>
      <c r="H456" t="s">
        <v>102</v>
      </c>
      <c r="K456" t="s">
        <v>102</v>
      </c>
      <c r="M456" t="s">
        <v>102</v>
      </c>
      <c r="O456" t="s">
        <v>102</v>
      </c>
    </row>
    <row r="457" spans="1:15" x14ac:dyDescent="0.25">
      <c r="A457" t="s">
        <v>102</v>
      </c>
      <c r="B457" t="s">
        <v>102</v>
      </c>
      <c r="H457" t="s">
        <v>102</v>
      </c>
      <c r="K457" t="s">
        <v>102</v>
      </c>
      <c r="M457" t="s">
        <v>102</v>
      </c>
      <c r="O457" t="s">
        <v>102</v>
      </c>
    </row>
    <row r="458" spans="1:15" x14ac:dyDescent="0.25">
      <c r="A458" t="s">
        <v>102</v>
      </c>
      <c r="B458" t="s">
        <v>102</v>
      </c>
      <c r="H458" t="s">
        <v>102</v>
      </c>
      <c r="K458" t="s">
        <v>102</v>
      </c>
      <c r="M458" t="s">
        <v>102</v>
      </c>
      <c r="O458" t="s">
        <v>102</v>
      </c>
    </row>
    <row r="459" spans="1:15" x14ac:dyDescent="0.25">
      <c r="A459" t="s">
        <v>102</v>
      </c>
      <c r="B459" t="s">
        <v>102</v>
      </c>
      <c r="H459" t="s">
        <v>102</v>
      </c>
      <c r="K459" t="s">
        <v>102</v>
      </c>
      <c r="M459" t="s">
        <v>102</v>
      </c>
      <c r="O459" t="s">
        <v>102</v>
      </c>
    </row>
    <row r="460" spans="1:15" x14ac:dyDescent="0.25">
      <c r="A460" t="s">
        <v>102</v>
      </c>
      <c r="B460" t="s">
        <v>102</v>
      </c>
      <c r="H460" t="s">
        <v>102</v>
      </c>
      <c r="K460" t="s">
        <v>102</v>
      </c>
      <c r="M460" t="s">
        <v>102</v>
      </c>
      <c r="O460" t="s">
        <v>102</v>
      </c>
    </row>
    <row r="461" spans="1:15" x14ac:dyDescent="0.25">
      <c r="A461" t="s">
        <v>102</v>
      </c>
      <c r="B461" t="s">
        <v>102</v>
      </c>
      <c r="H461" t="s">
        <v>102</v>
      </c>
      <c r="K461" t="s">
        <v>102</v>
      </c>
      <c r="M461" t="s">
        <v>102</v>
      </c>
      <c r="O461" t="s">
        <v>102</v>
      </c>
    </row>
    <row r="462" spans="1:15" x14ac:dyDescent="0.25">
      <c r="A462" t="s">
        <v>102</v>
      </c>
      <c r="B462" t="s">
        <v>102</v>
      </c>
      <c r="H462" t="s">
        <v>102</v>
      </c>
      <c r="K462" t="s">
        <v>102</v>
      </c>
      <c r="M462" t="s">
        <v>102</v>
      </c>
      <c r="O462" t="s">
        <v>102</v>
      </c>
    </row>
    <row r="463" spans="1:15" x14ac:dyDescent="0.25">
      <c r="A463" t="s">
        <v>102</v>
      </c>
      <c r="B463" t="s">
        <v>102</v>
      </c>
      <c r="H463" t="s">
        <v>102</v>
      </c>
      <c r="K463" t="s">
        <v>102</v>
      </c>
      <c r="M463" t="s">
        <v>102</v>
      </c>
      <c r="O463" t="s">
        <v>102</v>
      </c>
    </row>
    <row r="464" spans="1:15" x14ac:dyDescent="0.25">
      <c r="A464" t="s">
        <v>102</v>
      </c>
      <c r="B464" t="s">
        <v>102</v>
      </c>
      <c r="H464" t="s">
        <v>102</v>
      </c>
      <c r="K464" t="s">
        <v>102</v>
      </c>
      <c r="M464" t="s">
        <v>102</v>
      </c>
      <c r="O464" t="s">
        <v>102</v>
      </c>
    </row>
    <row r="465" spans="1:15" x14ac:dyDescent="0.25">
      <c r="A465" t="s">
        <v>102</v>
      </c>
      <c r="B465" t="s">
        <v>102</v>
      </c>
      <c r="H465" t="s">
        <v>102</v>
      </c>
      <c r="K465" t="s">
        <v>102</v>
      </c>
      <c r="M465" t="s">
        <v>102</v>
      </c>
      <c r="O465" t="s">
        <v>102</v>
      </c>
    </row>
    <row r="466" spans="1:15" x14ac:dyDescent="0.25">
      <c r="A466" t="s">
        <v>102</v>
      </c>
      <c r="B466" t="s">
        <v>102</v>
      </c>
      <c r="H466" t="s">
        <v>102</v>
      </c>
      <c r="K466" t="s">
        <v>102</v>
      </c>
      <c r="M466" t="s">
        <v>102</v>
      </c>
      <c r="O466" t="s">
        <v>102</v>
      </c>
    </row>
    <row r="467" spans="1:15" x14ac:dyDescent="0.25">
      <c r="A467" t="s">
        <v>102</v>
      </c>
      <c r="B467" t="s">
        <v>102</v>
      </c>
      <c r="H467" t="s">
        <v>102</v>
      </c>
      <c r="K467" t="s">
        <v>102</v>
      </c>
      <c r="M467" t="s">
        <v>102</v>
      </c>
      <c r="O467" t="s">
        <v>102</v>
      </c>
    </row>
    <row r="468" spans="1:15" x14ac:dyDescent="0.25">
      <c r="A468" t="s">
        <v>102</v>
      </c>
      <c r="B468" t="s">
        <v>102</v>
      </c>
      <c r="H468" t="s">
        <v>102</v>
      </c>
      <c r="K468" t="s">
        <v>102</v>
      </c>
      <c r="M468" t="s">
        <v>102</v>
      </c>
      <c r="O468" t="s">
        <v>102</v>
      </c>
    </row>
    <row r="469" spans="1:15" x14ac:dyDescent="0.25">
      <c r="A469" t="s">
        <v>102</v>
      </c>
      <c r="B469" t="s">
        <v>102</v>
      </c>
      <c r="H469" t="s">
        <v>102</v>
      </c>
      <c r="K469" t="s">
        <v>102</v>
      </c>
      <c r="M469" t="s">
        <v>102</v>
      </c>
      <c r="O469" t="s">
        <v>102</v>
      </c>
    </row>
    <row r="470" spans="1:15" x14ac:dyDescent="0.25">
      <c r="A470" t="s">
        <v>102</v>
      </c>
      <c r="B470" t="s">
        <v>102</v>
      </c>
      <c r="H470" t="s">
        <v>102</v>
      </c>
      <c r="K470" t="s">
        <v>102</v>
      </c>
      <c r="M470" t="s">
        <v>102</v>
      </c>
      <c r="O470" t="s">
        <v>102</v>
      </c>
    </row>
    <row r="471" spans="1:15" x14ac:dyDescent="0.25">
      <c r="A471" t="s">
        <v>102</v>
      </c>
      <c r="B471" t="s">
        <v>102</v>
      </c>
      <c r="H471" t="s">
        <v>102</v>
      </c>
      <c r="K471" t="s">
        <v>102</v>
      </c>
      <c r="M471" t="s">
        <v>102</v>
      </c>
      <c r="O471" t="s">
        <v>102</v>
      </c>
    </row>
    <row r="472" spans="1:15" x14ac:dyDescent="0.25">
      <c r="A472" t="s">
        <v>102</v>
      </c>
      <c r="B472" t="s">
        <v>102</v>
      </c>
      <c r="H472" t="s">
        <v>102</v>
      </c>
      <c r="K472" t="s">
        <v>102</v>
      </c>
      <c r="M472" t="s">
        <v>102</v>
      </c>
      <c r="O472" t="s">
        <v>102</v>
      </c>
    </row>
    <row r="473" spans="1:15" x14ac:dyDescent="0.25">
      <c r="A473" t="s">
        <v>102</v>
      </c>
      <c r="B473" t="s">
        <v>102</v>
      </c>
      <c r="H473" t="s">
        <v>102</v>
      </c>
      <c r="K473" t="s">
        <v>102</v>
      </c>
      <c r="M473" t="s">
        <v>102</v>
      </c>
      <c r="O473" t="s">
        <v>102</v>
      </c>
    </row>
    <row r="474" spans="1:15" x14ac:dyDescent="0.25">
      <c r="A474" t="s">
        <v>102</v>
      </c>
      <c r="B474" t="s">
        <v>102</v>
      </c>
      <c r="H474" t="s">
        <v>102</v>
      </c>
      <c r="K474" t="s">
        <v>102</v>
      </c>
      <c r="M474" t="s">
        <v>102</v>
      </c>
      <c r="O474" t="s">
        <v>102</v>
      </c>
    </row>
    <row r="475" spans="1:15" x14ac:dyDescent="0.25">
      <c r="A475" t="s">
        <v>102</v>
      </c>
      <c r="B475" t="s">
        <v>102</v>
      </c>
      <c r="H475" t="s">
        <v>102</v>
      </c>
      <c r="K475" t="s">
        <v>102</v>
      </c>
      <c r="M475" t="s">
        <v>102</v>
      </c>
      <c r="O475" t="s">
        <v>102</v>
      </c>
    </row>
    <row r="476" spans="1:15" x14ac:dyDescent="0.25">
      <c r="A476" t="s">
        <v>102</v>
      </c>
      <c r="B476" t="s">
        <v>102</v>
      </c>
      <c r="H476" t="s">
        <v>102</v>
      </c>
      <c r="K476" t="s">
        <v>102</v>
      </c>
      <c r="M476" t="s">
        <v>102</v>
      </c>
      <c r="O476" t="s">
        <v>102</v>
      </c>
    </row>
    <row r="477" spans="1:15" x14ac:dyDescent="0.25">
      <c r="A477" t="s">
        <v>102</v>
      </c>
      <c r="B477" t="s">
        <v>102</v>
      </c>
      <c r="H477" t="s">
        <v>102</v>
      </c>
      <c r="K477" t="s">
        <v>102</v>
      </c>
      <c r="M477" t="s">
        <v>102</v>
      </c>
      <c r="O477" t="s">
        <v>102</v>
      </c>
    </row>
    <row r="478" spans="1:15" x14ac:dyDescent="0.25">
      <c r="A478" t="s">
        <v>102</v>
      </c>
      <c r="B478" t="s">
        <v>102</v>
      </c>
      <c r="H478" t="s">
        <v>102</v>
      </c>
      <c r="K478" t="s">
        <v>102</v>
      </c>
      <c r="M478" t="s">
        <v>102</v>
      </c>
      <c r="O478" t="s">
        <v>102</v>
      </c>
    </row>
    <row r="479" spans="1:15" x14ac:dyDescent="0.25">
      <c r="A479" t="s">
        <v>102</v>
      </c>
      <c r="B479" t="s">
        <v>102</v>
      </c>
      <c r="H479" t="s">
        <v>102</v>
      </c>
      <c r="K479" t="s">
        <v>102</v>
      </c>
      <c r="M479" t="s">
        <v>102</v>
      </c>
      <c r="O479" t="s">
        <v>102</v>
      </c>
    </row>
    <row r="480" spans="1:15" x14ac:dyDescent="0.25">
      <c r="A480" t="s">
        <v>102</v>
      </c>
      <c r="B480" t="s">
        <v>102</v>
      </c>
      <c r="H480" t="s">
        <v>102</v>
      </c>
      <c r="K480" t="s">
        <v>102</v>
      </c>
      <c r="M480" t="s">
        <v>102</v>
      </c>
      <c r="O480" t="s">
        <v>102</v>
      </c>
    </row>
    <row r="481" spans="1:15" x14ac:dyDescent="0.25">
      <c r="A481" t="s">
        <v>102</v>
      </c>
      <c r="B481" t="s">
        <v>102</v>
      </c>
      <c r="H481" t="s">
        <v>102</v>
      </c>
      <c r="K481" t="s">
        <v>102</v>
      </c>
      <c r="M481" t="s">
        <v>102</v>
      </c>
      <c r="O481" t="s">
        <v>102</v>
      </c>
    </row>
    <row r="482" spans="1:15" x14ac:dyDescent="0.25">
      <c r="A482" t="s">
        <v>102</v>
      </c>
      <c r="B482" t="s">
        <v>102</v>
      </c>
      <c r="H482" t="s">
        <v>102</v>
      </c>
      <c r="K482" t="s">
        <v>102</v>
      </c>
      <c r="M482" t="s">
        <v>102</v>
      </c>
      <c r="O482" t="s">
        <v>102</v>
      </c>
    </row>
    <row r="483" spans="1:15" x14ac:dyDescent="0.25">
      <c r="A483" t="s">
        <v>102</v>
      </c>
      <c r="B483" t="s">
        <v>102</v>
      </c>
      <c r="H483" t="s">
        <v>102</v>
      </c>
      <c r="K483" t="s">
        <v>102</v>
      </c>
      <c r="M483" t="s">
        <v>102</v>
      </c>
      <c r="O483" t="s">
        <v>102</v>
      </c>
    </row>
    <row r="484" spans="1:15" x14ac:dyDescent="0.25">
      <c r="A484" t="s">
        <v>102</v>
      </c>
      <c r="B484" t="s">
        <v>102</v>
      </c>
      <c r="H484" t="s">
        <v>102</v>
      </c>
      <c r="K484" t="s">
        <v>102</v>
      </c>
      <c r="M484" t="s">
        <v>102</v>
      </c>
      <c r="O484" t="s">
        <v>102</v>
      </c>
    </row>
    <row r="485" spans="1:15" x14ac:dyDescent="0.25">
      <c r="A485" t="s">
        <v>102</v>
      </c>
      <c r="B485" t="s">
        <v>102</v>
      </c>
      <c r="H485" t="s">
        <v>102</v>
      </c>
      <c r="K485" t="s">
        <v>102</v>
      </c>
      <c r="M485" t="s">
        <v>102</v>
      </c>
      <c r="O485" t="s">
        <v>102</v>
      </c>
    </row>
    <row r="486" spans="1:15" x14ac:dyDescent="0.25">
      <c r="A486" t="s">
        <v>102</v>
      </c>
      <c r="B486" t="s">
        <v>102</v>
      </c>
      <c r="H486" t="s">
        <v>102</v>
      </c>
      <c r="K486" t="s">
        <v>102</v>
      </c>
      <c r="M486" t="s">
        <v>102</v>
      </c>
      <c r="O486" t="s">
        <v>102</v>
      </c>
    </row>
    <row r="487" spans="1:15" x14ac:dyDescent="0.25">
      <c r="A487" t="s">
        <v>102</v>
      </c>
      <c r="B487" t="s">
        <v>102</v>
      </c>
      <c r="H487" t="s">
        <v>102</v>
      </c>
      <c r="K487" t="s">
        <v>102</v>
      </c>
      <c r="M487" t="s">
        <v>102</v>
      </c>
      <c r="O487" t="s">
        <v>102</v>
      </c>
    </row>
    <row r="488" spans="1:15" x14ac:dyDescent="0.25">
      <c r="A488" t="s">
        <v>102</v>
      </c>
      <c r="B488" t="s">
        <v>102</v>
      </c>
      <c r="H488" t="s">
        <v>102</v>
      </c>
      <c r="K488" t="s">
        <v>102</v>
      </c>
      <c r="M488" t="s">
        <v>102</v>
      </c>
      <c r="O488" t="s">
        <v>102</v>
      </c>
    </row>
    <row r="489" spans="1:15" x14ac:dyDescent="0.25">
      <c r="A489" t="s">
        <v>102</v>
      </c>
      <c r="B489" t="s">
        <v>102</v>
      </c>
      <c r="H489" t="s">
        <v>102</v>
      </c>
      <c r="K489" t="s">
        <v>102</v>
      </c>
      <c r="M489" t="s">
        <v>102</v>
      </c>
      <c r="O489" t="s">
        <v>102</v>
      </c>
    </row>
    <row r="490" spans="1:15" x14ac:dyDescent="0.25">
      <c r="A490" t="s">
        <v>102</v>
      </c>
      <c r="B490" t="s">
        <v>102</v>
      </c>
      <c r="H490" t="s">
        <v>102</v>
      </c>
      <c r="K490" t="s">
        <v>102</v>
      </c>
      <c r="M490" t="s">
        <v>102</v>
      </c>
      <c r="O490" t="s">
        <v>102</v>
      </c>
    </row>
    <row r="491" spans="1:15" x14ac:dyDescent="0.25">
      <c r="A491" t="s">
        <v>102</v>
      </c>
      <c r="B491" t="s">
        <v>102</v>
      </c>
      <c r="H491" t="s">
        <v>102</v>
      </c>
      <c r="K491" t="s">
        <v>102</v>
      </c>
      <c r="M491" t="s">
        <v>102</v>
      </c>
      <c r="O491" t="s">
        <v>102</v>
      </c>
    </row>
    <row r="492" spans="1:15" x14ac:dyDescent="0.25">
      <c r="A492" t="s">
        <v>102</v>
      </c>
      <c r="B492" t="s">
        <v>102</v>
      </c>
      <c r="H492" t="s">
        <v>102</v>
      </c>
      <c r="K492" t="s">
        <v>102</v>
      </c>
      <c r="M492" t="s">
        <v>102</v>
      </c>
      <c r="O492" t="s">
        <v>102</v>
      </c>
    </row>
    <row r="493" spans="1:15" x14ac:dyDescent="0.25">
      <c r="A493" t="s">
        <v>102</v>
      </c>
      <c r="B493" t="s">
        <v>102</v>
      </c>
      <c r="H493" t="s">
        <v>102</v>
      </c>
      <c r="K493" t="s">
        <v>102</v>
      </c>
      <c r="M493" t="s">
        <v>102</v>
      </c>
      <c r="O493" t="s">
        <v>102</v>
      </c>
    </row>
    <row r="494" spans="1:15" x14ac:dyDescent="0.25">
      <c r="A494" t="s">
        <v>102</v>
      </c>
      <c r="B494" t="s">
        <v>102</v>
      </c>
      <c r="H494" t="s">
        <v>102</v>
      </c>
      <c r="K494" t="s">
        <v>102</v>
      </c>
      <c r="M494" t="s">
        <v>102</v>
      </c>
      <c r="O494" t="s">
        <v>102</v>
      </c>
    </row>
    <row r="495" spans="1:15" x14ac:dyDescent="0.25">
      <c r="A495" t="s">
        <v>102</v>
      </c>
      <c r="B495" t="s">
        <v>102</v>
      </c>
      <c r="H495" t="s">
        <v>102</v>
      </c>
      <c r="K495" t="s">
        <v>102</v>
      </c>
      <c r="M495" t="s">
        <v>102</v>
      </c>
      <c r="O495" t="s">
        <v>102</v>
      </c>
    </row>
    <row r="496" spans="1:15" x14ac:dyDescent="0.25">
      <c r="A496" t="s">
        <v>102</v>
      </c>
      <c r="B496" t="s">
        <v>102</v>
      </c>
      <c r="H496" t="s">
        <v>102</v>
      </c>
      <c r="K496" t="s">
        <v>102</v>
      </c>
      <c r="M496" t="s">
        <v>102</v>
      </c>
      <c r="O496" t="s">
        <v>102</v>
      </c>
    </row>
    <row r="497" spans="1:15" x14ac:dyDescent="0.25">
      <c r="A497" t="s">
        <v>102</v>
      </c>
      <c r="B497" t="s">
        <v>102</v>
      </c>
      <c r="H497" t="s">
        <v>102</v>
      </c>
      <c r="K497" t="s">
        <v>102</v>
      </c>
      <c r="M497" t="s">
        <v>102</v>
      </c>
      <c r="O497" t="s">
        <v>102</v>
      </c>
    </row>
    <row r="498" spans="1:15" x14ac:dyDescent="0.25">
      <c r="A498" t="s">
        <v>102</v>
      </c>
      <c r="B498" t="s">
        <v>102</v>
      </c>
      <c r="H498" t="s">
        <v>102</v>
      </c>
      <c r="K498" t="s">
        <v>102</v>
      </c>
      <c r="M498" t="s">
        <v>102</v>
      </c>
      <c r="O498" t="s">
        <v>102</v>
      </c>
    </row>
    <row r="499" spans="1:15" x14ac:dyDescent="0.25">
      <c r="A499" t="s">
        <v>102</v>
      </c>
      <c r="B499" t="s">
        <v>102</v>
      </c>
      <c r="H499" t="s">
        <v>102</v>
      </c>
      <c r="K499" t="s">
        <v>102</v>
      </c>
      <c r="M499" t="s">
        <v>102</v>
      </c>
      <c r="O499" t="s">
        <v>102</v>
      </c>
    </row>
    <row r="500" spans="1:15" x14ac:dyDescent="0.25">
      <c r="A500" t="s">
        <v>102</v>
      </c>
      <c r="B500" t="s">
        <v>102</v>
      </c>
      <c r="H500" t="s">
        <v>102</v>
      </c>
      <c r="K500" t="s">
        <v>102</v>
      </c>
      <c r="M500" t="s">
        <v>102</v>
      </c>
      <c r="O500" t="s">
        <v>102</v>
      </c>
    </row>
    <row r="501" spans="1:15" x14ac:dyDescent="0.25">
      <c r="A501" t="s">
        <v>102</v>
      </c>
      <c r="B501" t="s">
        <v>102</v>
      </c>
      <c r="H501" t="s">
        <v>102</v>
      </c>
      <c r="K501" t="s">
        <v>102</v>
      </c>
      <c r="M501" t="s">
        <v>102</v>
      </c>
      <c r="O501" t="s">
        <v>102</v>
      </c>
    </row>
    <row r="502" spans="1:15" x14ac:dyDescent="0.25">
      <c r="A502" t="s">
        <v>102</v>
      </c>
      <c r="B502" t="s">
        <v>102</v>
      </c>
      <c r="H502" t="s">
        <v>102</v>
      </c>
      <c r="K502" t="s">
        <v>102</v>
      </c>
      <c r="M502" t="s">
        <v>102</v>
      </c>
      <c r="O502" t="s">
        <v>102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6B135-CD6C-472F-8DF8-8F8820655795}">
  <sheetPr codeName="Planilha3"/>
  <dimension ref="A1:P506"/>
  <sheetViews>
    <sheetView tabSelected="1" workbookViewId="0">
      <selection activeCell="C11" sqref="C11"/>
    </sheetView>
  </sheetViews>
  <sheetFormatPr defaultRowHeight="15" x14ac:dyDescent="0.25"/>
  <cols>
    <col min="1" max="1" width="11.28515625" customWidth="1"/>
    <col min="2" max="2" width="9.85546875" customWidth="1"/>
    <col min="4" max="4" width="24.28515625" customWidth="1"/>
    <col min="6" max="6" width="10.7109375" customWidth="1"/>
    <col min="7" max="7" width="10.5703125" customWidth="1"/>
    <col min="9" max="9" width="12.7109375" bestFit="1" customWidth="1"/>
    <col min="10" max="10" width="11.5703125" customWidth="1"/>
    <col min="11" max="11" width="14.85546875" customWidth="1"/>
    <col min="12" max="12" width="12.5703125" customWidth="1"/>
    <col min="13" max="13" width="15.28515625" customWidth="1"/>
    <col min="14" max="14" width="27.140625" customWidth="1"/>
    <col min="15" max="15" width="15.28515625" customWidth="1"/>
    <col min="16" max="16" width="12.85546875" customWidth="1"/>
  </cols>
  <sheetData>
    <row r="1" spans="1:16" x14ac:dyDescent="0.25">
      <c r="A1" s="62"/>
      <c r="B1" s="62"/>
      <c r="C1" s="62"/>
      <c r="D1" s="62"/>
      <c r="E1" s="64" t="s">
        <v>81</v>
      </c>
      <c r="F1" s="64"/>
      <c r="G1" s="64"/>
      <c r="H1" s="64"/>
      <c r="I1" s="64"/>
      <c r="J1" s="64"/>
      <c r="K1" s="65" t="s">
        <v>82</v>
      </c>
      <c r="L1" s="62" t="str">
        <f>[1]Sheet1!$L$37</f>
        <v>2000</v>
      </c>
      <c r="M1" s="56" t="s">
        <v>83</v>
      </c>
      <c r="N1" s="63" t="s">
        <v>84</v>
      </c>
      <c r="O1" s="63"/>
      <c r="P1" s="63"/>
    </row>
    <row r="2" spans="1:16" x14ac:dyDescent="0.25">
      <c r="A2" s="62"/>
      <c r="B2" s="62"/>
      <c r="C2" s="62"/>
      <c r="D2" s="62"/>
      <c r="E2" s="64"/>
      <c r="F2" s="64"/>
      <c r="G2" s="64"/>
      <c r="H2" s="64"/>
      <c r="I2" s="64"/>
      <c r="J2" s="64"/>
      <c r="K2" s="65"/>
      <c r="L2" s="62"/>
      <c r="M2" s="56" t="s">
        <v>85</v>
      </c>
      <c r="N2" s="62" t="str">
        <f>[1]Sheet1!$N$38</f>
        <v/>
      </c>
      <c r="O2" s="62"/>
      <c r="P2" s="62"/>
    </row>
    <row r="3" spans="1:16" ht="15.75" thickBot="1" x14ac:dyDescent="0.3">
      <c r="A3" s="62"/>
      <c r="B3" s="62"/>
      <c r="C3" s="62"/>
      <c r="D3" s="62"/>
      <c r="E3" s="65" t="s">
        <v>86</v>
      </c>
      <c r="F3" s="65"/>
      <c r="G3" s="62" t="s">
        <v>87</v>
      </c>
      <c r="H3" s="62"/>
      <c r="I3" s="56" t="s">
        <v>88</v>
      </c>
      <c r="J3" s="62" t="s">
        <v>89</v>
      </c>
      <c r="K3" s="62"/>
      <c r="L3" s="62"/>
      <c r="M3" s="56" t="s">
        <v>90</v>
      </c>
      <c r="N3" s="63"/>
      <c r="O3" s="63"/>
      <c r="P3" s="57"/>
    </row>
    <row r="4" spans="1:16" x14ac:dyDescent="0.25">
      <c r="A4" s="55"/>
      <c r="B4" s="55"/>
      <c r="C4" s="55"/>
      <c r="D4" s="55"/>
      <c r="E4" s="55"/>
      <c r="F4" s="62" t="s">
        <v>95</v>
      </c>
      <c r="G4" s="62"/>
      <c r="H4" s="62"/>
      <c r="I4" s="62" t="s">
        <v>96</v>
      </c>
      <c r="J4" s="62"/>
      <c r="K4" s="58"/>
      <c r="L4" s="58"/>
      <c r="M4" s="58"/>
      <c r="N4" s="58"/>
      <c r="O4" s="58"/>
      <c r="P4" s="59"/>
    </row>
    <row r="5" spans="1:16" x14ac:dyDescent="0.25">
      <c r="A5" s="55" t="s">
        <v>27</v>
      </c>
      <c r="B5" s="55" t="s">
        <v>91</v>
      </c>
      <c r="C5" s="55" t="s">
        <v>92</v>
      </c>
      <c r="D5" s="55" t="s">
        <v>93</v>
      </c>
      <c r="E5" s="55" t="s">
        <v>94</v>
      </c>
      <c r="F5" s="55" t="s">
        <v>31</v>
      </c>
      <c r="G5" s="55" t="s">
        <v>32</v>
      </c>
      <c r="H5" s="55" t="s">
        <v>58</v>
      </c>
      <c r="I5" s="55" t="s">
        <v>100</v>
      </c>
      <c r="J5" s="55" t="s">
        <v>101</v>
      </c>
      <c r="K5" s="58" t="s">
        <v>34</v>
      </c>
      <c r="L5" s="58" t="s">
        <v>35</v>
      </c>
      <c r="M5" s="58" t="s">
        <v>36</v>
      </c>
      <c r="N5" s="58" t="s">
        <v>97</v>
      </c>
      <c r="O5" s="58" t="s">
        <v>98</v>
      </c>
      <c r="P5" s="58" t="s">
        <v>99</v>
      </c>
    </row>
    <row r="6" spans="1:16" x14ac:dyDescent="0.25">
      <c r="A6" t="str">
        <f>IF([1]Sheet1!A42="","",[1]Sheet1!A42)</f>
        <v>e3</v>
      </c>
      <c r="B6" t="str">
        <f>IF([1]Sheet1!B42="","",[1]Sheet1!B42)</f>
        <v>4</v>
      </c>
      <c r="C6" t="str">
        <f>IF([1]Sheet1!C42="","",[1]Sheet1!C42)</f>
        <v/>
      </c>
      <c r="D6" t="str">
        <f>IF([1]Sheet1!D42="","",[1]Sheet1!D42)</f>
        <v>200</v>
      </c>
      <c r="E6" t="str">
        <f>IF([1]Sheet1!E42="","",[1]Sheet1!E42)</f>
        <v/>
      </c>
      <c r="F6" t="str">
        <f>IF([1]Sheet1!F42="","",[1]Sheet1!F42)</f>
        <v>0</v>
      </c>
      <c r="G6" t="str">
        <f>IF([1]Sheet1!G42="","",[1]Sheet1!G42)</f>
        <v>10</v>
      </c>
      <c r="H6" t="str">
        <f>IF([1]Sheet1!H42="","",[1]Sheet1!H42)</f>
        <v>E</v>
      </c>
      <c r="I6" t="str">
        <f>IF([1]Sheet1!I42="","",[1]Sheet1!I42)</f>
        <v>91</v>
      </c>
      <c r="J6" t="str">
        <f>IF([1]Sheet1!J42="","",[1]Sheet1!J42)</f>
        <v>3</v>
      </c>
      <c r="K6" t="str">
        <f>IF([1]Sheet1!K42="","",[1]Sheet1!K42)</f>
        <v/>
      </c>
      <c r="L6" t="str">
        <f>IF([1]Sheet1!L42="","",[1]Sheet1!L42)</f>
        <v>2000</v>
      </c>
      <c r="M6" t="str">
        <f>IF([1]Sheet1!M42="","",[1]Sheet1!M42)</f>
        <v/>
      </c>
      <c r="N6" t="str">
        <f>IF([1]Sheet1!N42="","",[1]Sheet1!N42)</f>
        <v>197,982</v>
      </c>
      <c r="O6" t="str">
        <f>IF([1]Sheet1!O42="","",[1]Sheet1!O42)</f>
        <v>Poste</v>
      </c>
      <c r="P6" t="str">
        <f>IF([1]Sheet1!P42="","",[1]Sheet1!P42)</f>
        <v>37</v>
      </c>
    </row>
    <row r="7" spans="1:16" x14ac:dyDescent="0.25">
      <c r="A7" t="str">
        <f>IF([1]Sheet1!A43="","",[1]Sheet1!A43)</f>
        <v>e3</v>
      </c>
      <c r="B7" t="str">
        <f>IF([1]Sheet1!B43="","",[1]Sheet1!B43)</f>
        <v>5</v>
      </c>
      <c r="C7" t="str">
        <f>IF([1]Sheet1!C43="","",[1]Sheet1!C43)</f>
        <v/>
      </c>
      <c r="D7" t="str">
        <f>IF([1]Sheet1!D43="","",[1]Sheet1!D43)</f>
        <v>200</v>
      </c>
      <c r="E7" t="str">
        <f>IF([1]Sheet1!E43="","",[1]Sheet1!E43)</f>
        <v/>
      </c>
      <c r="F7" t="str">
        <f>IF([1]Sheet1!F43="","",[1]Sheet1!F43)</f>
        <v>0</v>
      </c>
      <c r="G7" t="str">
        <f>IF([1]Sheet1!G43="","",[1]Sheet1!G43)</f>
        <v>10</v>
      </c>
      <c r="H7" t="str">
        <f>IF([1]Sheet1!H43="","",[1]Sheet1!H43)</f>
        <v>E</v>
      </c>
      <c r="I7" t="str">
        <f>IF([1]Sheet1!I43="","",[1]Sheet1!I43)</f>
        <v>91</v>
      </c>
      <c r="J7" t="str">
        <f>IF([1]Sheet1!J43="","",[1]Sheet1!J43)</f>
        <v>3</v>
      </c>
      <c r="K7" t="str">
        <f>IF([1]Sheet1!K43="","",[1]Sheet1!K43)</f>
        <v/>
      </c>
      <c r="L7" t="str">
        <f>IF([1]Sheet1!L43="","",[1]Sheet1!L43)</f>
        <v>2000</v>
      </c>
      <c r="M7" t="str">
        <f>IF([1]Sheet1!M43="","",[1]Sheet1!M43)</f>
        <v/>
      </c>
      <c r="N7" t="str">
        <f>IF([1]Sheet1!N43="","",[1]Sheet1!N43)</f>
        <v>252,355</v>
      </c>
      <c r="O7" t="str">
        <f>IF([1]Sheet1!O43="","",[1]Sheet1!O43)</f>
        <v/>
      </c>
      <c r="P7" t="str">
        <f>IF([1]Sheet1!P43="","",[1]Sheet1!P43)</f>
        <v>38</v>
      </c>
    </row>
    <row r="8" spans="1:16" x14ac:dyDescent="0.25">
      <c r="A8" t="str">
        <f>IF([1]Sheet1!A44="","",[1]Sheet1!A44)</f>
        <v>e3</v>
      </c>
      <c r="B8" t="str">
        <f>IF([1]Sheet1!B44="","",[1]Sheet1!B44)</f>
        <v>6</v>
      </c>
      <c r="C8" t="str">
        <f>IF([1]Sheet1!C44="","",[1]Sheet1!C44)</f>
        <v/>
      </c>
      <c r="D8" t="str">
        <f>IF([1]Sheet1!D44="","",[1]Sheet1!D44)</f>
        <v>200</v>
      </c>
      <c r="E8" t="str">
        <f>IF([1]Sheet1!E44="","",[1]Sheet1!E44)</f>
        <v>5</v>
      </c>
      <c r="F8" t="str">
        <f>IF([1]Sheet1!F44="","",[1]Sheet1!F44)</f>
        <v>0</v>
      </c>
      <c r="G8" t="str">
        <f>IF([1]Sheet1!G44="","",[1]Sheet1!G44)</f>
        <v>10</v>
      </c>
      <c r="H8" t="str">
        <f>IF([1]Sheet1!H44="","",[1]Sheet1!H44)</f>
        <v>E</v>
      </c>
      <c r="I8" t="str">
        <f>IF([1]Sheet1!I44="","",[1]Sheet1!I44)</f>
        <v>90</v>
      </c>
      <c r="J8" t="str">
        <f>IF([1]Sheet1!J44="","",[1]Sheet1!J44)</f>
        <v>45</v>
      </c>
      <c r="K8" t="str">
        <f>IF([1]Sheet1!K44="","",[1]Sheet1!K44)</f>
        <v/>
      </c>
      <c r="L8" t="str">
        <f>IF([1]Sheet1!L44="","",[1]Sheet1!L44)</f>
        <v>2000</v>
      </c>
      <c r="M8" t="str">
        <f>IF([1]Sheet1!M44="","",[1]Sheet1!M44)</f>
        <v/>
      </c>
      <c r="N8" t="str">
        <f>IF([1]Sheet1!N44="","",[1]Sheet1!N44)</f>
        <v>295,309</v>
      </c>
      <c r="O8" t="str">
        <f>IF([1]Sheet1!O44="","",[1]Sheet1!O44)</f>
        <v xml:space="preserve">05 liso divisa </v>
      </c>
      <c r="P8" t="str">
        <f>IF([1]Sheet1!P44="","",[1]Sheet1!P44)</f>
        <v>39</v>
      </c>
    </row>
    <row r="9" spans="1:16" x14ac:dyDescent="0.25">
      <c r="A9" t="str">
        <f>IF([1]Sheet1!A45="","",[1]Sheet1!A45)</f>
        <v>e3</v>
      </c>
      <c r="B9" t="str">
        <f>IF([1]Sheet1!B45="","",[1]Sheet1!B45)</f>
        <v>7</v>
      </c>
      <c r="C9" t="str">
        <f>IF([1]Sheet1!C45="","",[1]Sheet1!C45)</f>
        <v/>
      </c>
      <c r="D9" t="str">
        <f>IF([1]Sheet1!D45="","",[1]Sheet1!D45)</f>
        <v>200</v>
      </c>
      <c r="E9" t="str">
        <f>IF([1]Sheet1!E45="","",[1]Sheet1!E45)</f>
        <v/>
      </c>
      <c r="F9" t="str">
        <f>IF([1]Sheet1!F45="","",[1]Sheet1!F45)</f>
        <v>0</v>
      </c>
      <c r="G9" t="str">
        <f>IF([1]Sheet1!G45="","",[1]Sheet1!G45)</f>
        <v>10</v>
      </c>
      <c r="H9" t="str">
        <f>IF([1]Sheet1!H45="","",[1]Sheet1!H45)</f>
        <v>E</v>
      </c>
      <c r="I9" t="str">
        <f>IF([1]Sheet1!I45="","",[1]Sheet1!I45)</f>
        <v>90</v>
      </c>
      <c r="J9" t="str">
        <f>IF([1]Sheet1!J45="","",[1]Sheet1!J45)</f>
        <v>42</v>
      </c>
      <c r="K9" t="str">
        <f>IF([1]Sheet1!K45="","",[1]Sheet1!K45)</f>
        <v/>
      </c>
      <c r="L9" t="str">
        <f>IF([1]Sheet1!L45="","",[1]Sheet1!L45)</f>
        <v>2000</v>
      </c>
      <c r="M9" t="str">
        <f>IF([1]Sheet1!M45="","",[1]Sheet1!M45)</f>
        <v/>
      </c>
      <c r="N9" t="str">
        <f>IF([1]Sheet1!N45="","",[1]Sheet1!N45)</f>
        <v>298,472</v>
      </c>
      <c r="O9" t="str">
        <f>IF([1]Sheet1!O45="","",[1]Sheet1!O45)</f>
        <v>Poste</v>
      </c>
      <c r="P9" t="str">
        <f>IF([1]Sheet1!P45="","",[1]Sheet1!P45)</f>
        <v>40</v>
      </c>
    </row>
    <row r="10" spans="1:16" x14ac:dyDescent="0.25">
      <c r="A10" t="str">
        <f>IF([1]Sheet1!A46="","",[1]Sheet1!A46)</f>
        <v>e3</v>
      </c>
      <c r="B10" t="str">
        <f>IF([1]Sheet1!B46="","",[1]Sheet1!B46)</f>
        <v>8</v>
      </c>
      <c r="C10" t="str">
        <f>IF([1]Sheet1!C46="","",[1]Sheet1!C46)</f>
        <v/>
      </c>
      <c r="D10" t="str">
        <f>IF([1]Sheet1!D46="","",[1]Sheet1!D46)</f>
        <v>200</v>
      </c>
      <c r="E10" t="str">
        <f>IF([1]Sheet1!E46="","",[1]Sheet1!E46)</f>
        <v>3</v>
      </c>
      <c r="F10" t="str">
        <f>IF([1]Sheet1!F46="","",[1]Sheet1!F46)</f>
        <v>0</v>
      </c>
      <c r="G10" t="str">
        <f>IF([1]Sheet1!G46="","",[1]Sheet1!G46)</f>
        <v>10</v>
      </c>
      <c r="H10" t="str">
        <f>IF([1]Sheet1!H46="","",[1]Sheet1!H46)</f>
        <v>E</v>
      </c>
      <c r="I10" t="str">
        <f>IF([1]Sheet1!I46="","",[1]Sheet1!I46)</f>
        <v>90</v>
      </c>
      <c r="J10" t="str">
        <f>IF([1]Sheet1!J46="","",[1]Sheet1!J46)</f>
        <v>44</v>
      </c>
      <c r="K10" t="str">
        <f>IF([1]Sheet1!K46="","",[1]Sheet1!K46)</f>
        <v/>
      </c>
      <c r="L10" t="str">
        <f>IF([1]Sheet1!L46="","",[1]Sheet1!L46)</f>
        <v>2000</v>
      </c>
      <c r="M10" t="str">
        <f>IF([1]Sheet1!M46="","",[1]Sheet1!M46)</f>
        <v/>
      </c>
      <c r="N10" t="str">
        <f>IF([1]Sheet1!N46="","",[1]Sheet1!N46)</f>
        <v>301,257</v>
      </c>
      <c r="O10" t="str">
        <f>IF([1]Sheet1!O46="","",[1]Sheet1!O46)</f>
        <v xml:space="preserve">inicio estrada </v>
      </c>
      <c r="P10" t="str">
        <f>IF([1]Sheet1!P46="","",[1]Sheet1!P46)</f>
        <v>41</v>
      </c>
    </row>
    <row r="11" spans="1:16" x14ac:dyDescent="0.25">
      <c r="A11" t="str">
        <f>IF([1]Sheet1!A47="","",[1]Sheet1!A47)</f>
        <v>e3</v>
      </c>
      <c r="B11" t="str">
        <f>IF([1]Sheet1!B47="","",[1]Sheet1!B47)</f>
        <v>9</v>
      </c>
      <c r="C11" t="str">
        <f>IF([1]Sheet1!C47="","",[1]Sheet1!C47)</f>
        <v/>
      </c>
      <c r="D11" t="str">
        <f>IF([1]Sheet1!D47="","",[1]Sheet1!D47)</f>
        <v>200</v>
      </c>
      <c r="E11" t="str">
        <f>IF([1]Sheet1!E47="","",[1]Sheet1!E47)</f>
        <v>3</v>
      </c>
      <c r="F11" t="str">
        <f>IF([1]Sheet1!F47="","",[1]Sheet1!F47)</f>
        <v>0</v>
      </c>
      <c r="G11" t="str">
        <f>IF([1]Sheet1!G47="","",[1]Sheet1!G47)</f>
        <v>10</v>
      </c>
      <c r="H11" t="str">
        <f>IF([1]Sheet1!H47="","",[1]Sheet1!H47)</f>
        <v>E</v>
      </c>
      <c r="I11" t="str">
        <f>IF([1]Sheet1!I47="","",[1]Sheet1!I47)</f>
        <v>90</v>
      </c>
      <c r="J11" t="str">
        <f>IF([1]Sheet1!J47="","",[1]Sheet1!J47)</f>
        <v>34</v>
      </c>
      <c r="K11" t="str">
        <f>IF([1]Sheet1!K47="","",[1]Sheet1!K47)</f>
        <v/>
      </c>
      <c r="L11" t="str">
        <f>IF([1]Sheet1!L47="","",[1]Sheet1!L47)</f>
        <v>2000</v>
      </c>
      <c r="M11" t="str">
        <f>IF([1]Sheet1!M47="","",[1]Sheet1!M47)</f>
        <v/>
      </c>
      <c r="N11" t="str">
        <f>IF([1]Sheet1!N47="","",[1]Sheet1!N47)</f>
        <v>315,973</v>
      </c>
      <c r="O11" t="str">
        <f>IF([1]Sheet1!O47="","",[1]Sheet1!O47)</f>
        <v xml:space="preserve">estrada </v>
      </c>
      <c r="P11" t="str">
        <f>IF([1]Sheet1!P47="","",[1]Sheet1!P47)</f>
        <v>42</v>
      </c>
    </row>
    <row r="12" spans="1:16" x14ac:dyDescent="0.25">
      <c r="A12" t="str">
        <f>IF([1]Sheet1!A48="","",[1]Sheet1!A48)</f>
        <v>e3</v>
      </c>
      <c r="B12" t="str">
        <f>IF([1]Sheet1!B48="","",[1]Sheet1!B48)</f>
        <v>10</v>
      </c>
      <c r="C12" t="str">
        <f>IF([1]Sheet1!C48="","",[1]Sheet1!C48)</f>
        <v/>
      </c>
      <c r="D12" t="str">
        <f>IF([1]Sheet1!D48="","",[1]Sheet1!D48)</f>
        <v>200</v>
      </c>
      <c r="E12" t="str">
        <f>IF([1]Sheet1!E48="","",[1]Sheet1!E48)</f>
        <v>4</v>
      </c>
      <c r="F12" t="str">
        <f>IF([1]Sheet1!F48="","",[1]Sheet1!F48)</f>
        <v>0</v>
      </c>
      <c r="G12" t="str">
        <f>IF([1]Sheet1!G48="","",[1]Sheet1!G48)</f>
        <v>10</v>
      </c>
      <c r="H12" t="str">
        <f>IF([1]Sheet1!H48="","",[1]Sheet1!H48)</f>
        <v>E</v>
      </c>
      <c r="I12" t="str">
        <f>IF([1]Sheet1!I48="","",[1]Sheet1!I48)</f>
        <v>90</v>
      </c>
      <c r="J12" t="str">
        <f>IF([1]Sheet1!J48="","",[1]Sheet1!J48)</f>
        <v>31</v>
      </c>
      <c r="K12" t="str">
        <f>IF([1]Sheet1!K48="","",[1]Sheet1!K48)</f>
        <v/>
      </c>
      <c r="L12" t="str">
        <f>IF([1]Sheet1!L48="","",[1]Sheet1!L48)</f>
        <v>2000</v>
      </c>
      <c r="M12" t="str">
        <f>IF([1]Sheet1!M48="","",[1]Sheet1!M48)</f>
        <v/>
      </c>
      <c r="N12" t="str">
        <f>IF([1]Sheet1!N48="","",[1]Sheet1!N48)</f>
        <v>322,258</v>
      </c>
      <c r="O12" t="str">
        <f>IF([1]Sheet1!O48="","",[1]Sheet1!O48)</f>
        <v xml:space="preserve">5ff divisa </v>
      </c>
      <c r="P12" t="str">
        <f>IF([1]Sheet1!P48="","",[1]Sheet1!P48)</f>
        <v>43</v>
      </c>
    </row>
    <row r="13" spans="1:16" x14ac:dyDescent="0.25">
      <c r="A13" t="str">
        <f>IF([1]Sheet1!A49="","",[1]Sheet1!A49)</f>
        <v>e3</v>
      </c>
      <c r="B13" t="str">
        <f>IF([1]Sheet1!B49="","",[1]Sheet1!B49)</f>
        <v>11</v>
      </c>
      <c r="C13" t="str">
        <f>IF([1]Sheet1!C49="","",[1]Sheet1!C49)</f>
        <v/>
      </c>
      <c r="D13" t="str">
        <f>IF([1]Sheet1!D49="","",[1]Sheet1!D49)</f>
        <v>200</v>
      </c>
      <c r="E13" t="str">
        <f>IF([1]Sheet1!E49="","",[1]Sheet1!E49)</f>
        <v/>
      </c>
      <c r="F13" t="str">
        <f>IF([1]Sheet1!F49="","",[1]Sheet1!F49)</f>
        <v>0</v>
      </c>
      <c r="G13" t="str">
        <f>IF([1]Sheet1!G49="","",[1]Sheet1!G49)</f>
        <v>10</v>
      </c>
      <c r="H13" t="str">
        <f>IF([1]Sheet1!H49="","",[1]Sheet1!H49)</f>
        <v>E</v>
      </c>
      <c r="I13" t="str">
        <f>IF([1]Sheet1!I49="","",[1]Sheet1!I49)</f>
        <v>90</v>
      </c>
      <c r="J13" t="str">
        <f>IF([1]Sheet1!J49="","",[1]Sheet1!J49)</f>
        <v>35</v>
      </c>
      <c r="K13" t="str">
        <f>IF([1]Sheet1!K49="","",[1]Sheet1!K49)</f>
        <v/>
      </c>
      <c r="L13" t="str">
        <f>IF([1]Sheet1!L49="","",[1]Sheet1!L49)</f>
        <v>2000</v>
      </c>
      <c r="M13" t="str">
        <f>IF([1]Sheet1!M49="","",[1]Sheet1!M49)</f>
        <v/>
      </c>
      <c r="N13" t="str">
        <f>IF([1]Sheet1!N49="","",[1]Sheet1!N49)</f>
        <v>347,612</v>
      </c>
      <c r="O13" t="str">
        <f>IF([1]Sheet1!O49="","",[1]Sheet1!O49)</f>
        <v/>
      </c>
      <c r="P13" t="str">
        <f>IF([1]Sheet1!P49="","",[1]Sheet1!P49)</f>
        <v>44</v>
      </c>
    </row>
    <row r="14" spans="1:16" x14ac:dyDescent="0.25">
      <c r="A14" t="str">
        <f>IF([1]Sheet1!A50="","",[1]Sheet1!A50)</f>
        <v>e3</v>
      </c>
      <c r="B14" t="str">
        <f>IF([1]Sheet1!B50="","",[1]Sheet1!B50)</f>
        <v>12</v>
      </c>
      <c r="C14" t="str">
        <f>IF([1]Sheet1!C50="","",[1]Sheet1!C50)</f>
        <v/>
      </c>
      <c r="D14" t="str">
        <f>IF([1]Sheet1!D50="","",[1]Sheet1!D50)</f>
        <v>200</v>
      </c>
      <c r="E14" t="str">
        <f>IF([1]Sheet1!E50="","",[1]Sheet1!E50)</f>
        <v/>
      </c>
      <c r="F14" t="str">
        <f>IF([1]Sheet1!F50="","",[1]Sheet1!F50)</f>
        <v>0</v>
      </c>
      <c r="G14" t="str">
        <f>IF([1]Sheet1!G50="","",[1]Sheet1!G50)</f>
        <v>10</v>
      </c>
      <c r="H14" t="str">
        <f>IF([1]Sheet1!H50="","",[1]Sheet1!H50)</f>
        <v>E</v>
      </c>
      <c r="I14" t="str">
        <f>IF([1]Sheet1!I50="","",[1]Sheet1!I50)</f>
        <v>90</v>
      </c>
      <c r="J14" t="str">
        <f>IF([1]Sheet1!J50="","",[1]Sheet1!J50)</f>
        <v>16</v>
      </c>
      <c r="K14" t="str">
        <f>IF([1]Sheet1!K50="","",[1]Sheet1!K50)</f>
        <v/>
      </c>
      <c r="L14" t="str">
        <f>IF([1]Sheet1!L50="","",[1]Sheet1!L50)</f>
        <v>2000</v>
      </c>
      <c r="M14" t="str">
        <f>IF([1]Sheet1!M50="","",[1]Sheet1!M50)</f>
        <v/>
      </c>
      <c r="N14" t="str">
        <f>IF([1]Sheet1!N50="","",[1]Sheet1!N50)</f>
        <v>372,757</v>
      </c>
      <c r="O14" t="str">
        <f>IF([1]Sheet1!O50="","",[1]Sheet1!O50)</f>
        <v/>
      </c>
      <c r="P14" t="str">
        <f>IF([1]Sheet1!P50="","",[1]Sheet1!P50)</f>
        <v>45</v>
      </c>
    </row>
    <row r="15" spans="1:16" x14ac:dyDescent="0.25">
      <c r="A15" t="str">
        <f>IF([1]Sheet1!A51="","",[1]Sheet1!A51)</f>
        <v>e3</v>
      </c>
      <c r="B15" t="str">
        <f>IF([1]Sheet1!B51="","",[1]Sheet1!B51)</f>
        <v>13</v>
      </c>
      <c r="C15" t="str">
        <f>IF([1]Sheet1!C51="","",[1]Sheet1!C51)</f>
        <v/>
      </c>
      <c r="D15" t="str">
        <f>IF([1]Sheet1!D51="","",[1]Sheet1!D51)</f>
        <v>200</v>
      </c>
      <c r="E15" t="str">
        <f>IF([1]Sheet1!E51="","",[1]Sheet1!E51)</f>
        <v/>
      </c>
      <c r="F15" t="str">
        <f>IF([1]Sheet1!F51="","",[1]Sheet1!F51)</f>
        <v>0</v>
      </c>
      <c r="G15" t="str">
        <f>IF([1]Sheet1!G51="","",[1]Sheet1!G51)</f>
        <v>10</v>
      </c>
      <c r="H15" t="str">
        <f>IF([1]Sheet1!H51="","",[1]Sheet1!H51)</f>
        <v>E</v>
      </c>
      <c r="I15" t="str">
        <f>IF([1]Sheet1!I51="","",[1]Sheet1!I51)</f>
        <v>90</v>
      </c>
      <c r="J15" t="str">
        <f>IF([1]Sheet1!J51="","",[1]Sheet1!J51)</f>
        <v>10</v>
      </c>
      <c r="K15" t="str">
        <f>IF([1]Sheet1!K51="","",[1]Sheet1!K51)</f>
        <v/>
      </c>
      <c r="L15" t="str">
        <f>IF([1]Sheet1!L51="","",[1]Sheet1!L51)</f>
        <v>2000</v>
      </c>
      <c r="M15" t="str">
        <f>IF([1]Sheet1!M51="","",[1]Sheet1!M51)</f>
        <v/>
      </c>
      <c r="N15" t="str">
        <f>IF([1]Sheet1!N51="","",[1]Sheet1!N51)</f>
        <v>401,852</v>
      </c>
      <c r="O15" t="str">
        <f>IF([1]Sheet1!O51="","",[1]Sheet1!O51)</f>
        <v>Poste</v>
      </c>
      <c r="P15" t="str">
        <f>IF([1]Sheet1!P51="","",[1]Sheet1!P51)</f>
        <v>46</v>
      </c>
    </row>
    <row r="16" spans="1:16" x14ac:dyDescent="0.25">
      <c r="A16" t="str">
        <f>IF([1]Sheet1!A52="","",[1]Sheet1!A52)</f>
        <v>e3</v>
      </c>
      <c r="B16" t="str">
        <f>IF([1]Sheet1!B52="","",[1]Sheet1!B52)</f>
        <v>14</v>
      </c>
      <c r="C16" t="str">
        <f>IF([1]Sheet1!C52="","",[1]Sheet1!C52)</f>
        <v/>
      </c>
      <c r="D16" t="str">
        <f>IF([1]Sheet1!D52="","",[1]Sheet1!D52)</f>
        <v>200</v>
      </c>
      <c r="E16" t="str">
        <f>IF([1]Sheet1!E52="","",[1]Sheet1!E52)</f>
        <v/>
      </c>
      <c r="F16" t="str">
        <f>IF([1]Sheet1!F52="","",[1]Sheet1!F52)</f>
        <v>0</v>
      </c>
      <c r="G16" t="str">
        <f>IF([1]Sheet1!G52="","",[1]Sheet1!G52)</f>
        <v>10</v>
      </c>
      <c r="H16" t="str">
        <f>IF([1]Sheet1!H52="","",[1]Sheet1!H52)</f>
        <v>E</v>
      </c>
      <c r="I16" t="str">
        <f>IF([1]Sheet1!I52="","",[1]Sheet1!I52)</f>
        <v>90</v>
      </c>
      <c r="J16" t="str">
        <f>IF([1]Sheet1!J52="","",[1]Sheet1!J52)</f>
        <v>4</v>
      </c>
      <c r="K16" t="str">
        <f>IF([1]Sheet1!K52="","",[1]Sheet1!K52)</f>
        <v/>
      </c>
      <c r="L16" t="str">
        <f>IF([1]Sheet1!L52="","",[1]Sheet1!L52)</f>
        <v>2000</v>
      </c>
      <c r="M16" t="str">
        <f>IF([1]Sheet1!M52="","",[1]Sheet1!M52)</f>
        <v/>
      </c>
      <c r="N16" t="str">
        <f>IF([1]Sheet1!N52="","",[1]Sheet1!N52)</f>
        <v>444,925</v>
      </c>
      <c r="O16" t="str">
        <f>IF([1]Sheet1!O52="","",[1]Sheet1!O52)</f>
        <v/>
      </c>
      <c r="P16" t="str">
        <f>IF([1]Sheet1!P52="","",[1]Sheet1!P52)</f>
        <v>47</v>
      </c>
    </row>
    <row r="17" spans="1:16" x14ac:dyDescent="0.25">
      <c r="A17" t="str">
        <f>IF([1]Sheet1!A53="","",[1]Sheet1!A53)</f>
        <v>e3</v>
      </c>
      <c r="B17" t="str">
        <f>IF([1]Sheet1!B53="","",[1]Sheet1!B53)</f>
        <v>e4</v>
      </c>
      <c r="C17" t="str">
        <f>IF([1]Sheet1!C53="","",[1]Sheet1!C53)</f>
        <v/>
      </c>
      <c r="D17" t="str">
        <f>IF([1]Sheet1!D53="","",[1]Sheet1!D53)</f>
        <v>200</v>
      </c>
      <c r="E17" t="str">
        <f>IF([1]Sheet1!E53="","",[1]Sheet1!E53)</f>
        <v/>
      </c>
      <c r="F17" t="str">
        <f>IF([1]Sheet1!F53="","",[1]Sheet1!F53)</f>
        <v>0</v>
      </c>
      <c r="G17" t="str">
        <f>IF([1]Sheet1!G53="","",[1]Sheet1!G53)</f>
        <v>10</v>
      </c>
      <c r="H17" t="str">
        <f>IF([1]Sheet1!H53="","",[1]Sheet1!H53)</f>
        <v>E</v>
      </c>
      <c r="I17" t="str">
        <f>IF([1]Sheet1!I53="","",[1]Sheet1!I53)</f>
        <v>89</v>
      </c>
      <c r="J17" t="str">
        <f>IF([1]Sheet1!J53="","",[1]Sheet1!J53)</f>
        <v>57</v>
      </c>
      <c r="K17" t="str">
        <f>IF([1]Sheet1!K53="","",[1]Sheet1!K53)</f>
        <v/>
      </c>
      <c r="L17" t="str">
        <f>IF([1]Sheet1!L53="","",[1]Sheet1!L53)</f>
        <v>2000</v>
      </c>
      <c r="M17" t="str">
        <f>IF([1]Sheet1!M53="","",[1]Sheet1!M53)</f>
        <v/>
      </c>
      <c r="N17" t="str">
        <f>IF([1]Sheet1!N53="","",[1]Sheet1!N53)</f>
        <v>500,121</v>
      </c>
      <c r="O17" t="str">
        <f>IF([1]Sheet1!O53="","",[1]Sheet1!O53)</f>
        <v xml:space="preserve">poste </v>
      </c>
      <c r="P17" t="str">
        <f>IF([1]Sheet1!P53="","",[1]Sheet1!P53)</f>
        <v>48</v>
      </c>
    </row>
    <row r="18" spans="1:16" x14ac:dyDescent="0.25">
      <c r="A18" t="str">
        <f>IF([1]Sheet1!A54="","",[1]Sheet1!A54)</f>
        <v>e4</v>
      </c>
      <c r="B18" t="str">
        <f>IF([1]Sheet1!B54="","",[1]Sheet1!B54)</f>
        <v>e3</v>
      </c>
      <c r="C18" t="str">
        <f>IF([1]Sheet1!C54="","",[1]Sheet1!C54)</f>
        <v/>
      </c>
      <c r="D18" t="str">
        <f>IF([1]Sheet1!D54="","",[1]Sheet1!D54)</f>
        <v>200</v>
      </c>
      <c r="E18" t="str">
        <f>IF([1]Sheet1!E54="","",[1]Sheet1!E54)</f>
        <v>20</v>
      </c>
      <c r="F18" t="str">
        <f>IF([1]Sheet1!F54="","",[1]Sheet1!F54)</f>
        <v>180</v>
      </c>
      <c r="G18" t="str">
        <f>IF([1]Sheet1!G54="","",[1]Sheet1!G54)</f>
        <v>0</v>
      </c>
      <c r="H18" t="str">
        <f>IF([1]Sheet1!H54="","",[1]Sheet1!H54)</f>
        <v>E</v>
      </c>
      <c r="I18" t="str">
        <f>IF([1]Sheet1!I54="","",[1]Sheet1!I54)</f>
        <v/>
      </c>
      <c r="J18" t="str">
        <f>IF([1]Sheet1!J54="","",[1]Sheet1!J54)</f>
        <v/>
      </c>
      <c r="K18" t="str">
        <f>IF([1]Sheet1!K54="","",[1]Sheet1!K54)</f>
        <v/>
      </c>
      <c r="L18" t="str">
        <f>IF([1]Sheet1!L54="","",[1]Sheet1!L54)</f>
        <v/>
      </c>
      <c r="M18" t="str">
        <f>IF([1]Sheet1!M54="","",[1]Sheet1!M54)</f>
        <v/>
      </c>
      <c r="N18" t="str">
        <f>IF([1]Sheet1!N54="","",[1]Sheet1!N54)</f>
        <v/>
      </c>
      <c r="O18" t="str">
        <f>IF([1]Sheet1!O54="","",[1]Sheet1!O54)</f>
        <v>RÉ</v>
      </c>
      <c r="P18" t="str">
        <f>IF([1]Sheet1!P54="","",[1]Sheet1!P54)</f>
        <v>49</v>
      </c>
    </row>
    <row r="19" spans="1:16" x14ac:dyDescent="0.25">
      <c r="A19" t="str">
        <f>IF([1]Sheet1!A55="","",[1]Sheet1!A55)</f>
        <v>e4</v>
      </c>
      <c r="B19" t="str">
        <f>IF([1]Sheet1!B55="","",[1]Sheet1!B55)</f>
        <v>1</v>
      </c>
      <c r="C19" t="str">
        <f>IF([1]Sheet1!C55="","",[1]Sheet1!C55)</f>
        <v/>
      </c>
      <c r="D19" t="str">
        <f>IF([1]Sheet1!D55="","",[1]Sheet1!D55)</f>
        <v>200</v>
      </c>
      <c r="E19" t="str">
        <f>IF([1]Sheet1!E55="","",[1]Sheet1!E55)</f>
        <v/>
      </c>
      <c r="F19" t="str">
        <f>IF([1]Sheet1!F55="","",[1]Sheet1!F55)</f>
        <v>0</v>
      </c>
      <c r="G19" t="str">
        <f>IF([1]Sheet1!G55="","",[1]Sheet1!G55)</f>
        <v>13</v>
      </c>
      <c r="H19" t="str">
        <f>IF([1]Sheet1!H55="","",[1]Sheet1!H55)</f>
        <v>E</v>
      </c>
      <c r="I19" t="str">
        <f>IF([1]Sheet1!I55="","",[1]Sheet1!I55)</f>
        <v>87</v>
      </c>
      <c r="J19" t="str">
        <f>IF([1]Sheet1!J55="","",[1]Sheet1!J55)</f>
        <v>27</v>
      </c>
      <c r="K19" t="str">
        <f>IF([1]Sheet1!K55="","",[1]Sheet1!K55)</f>
        <v/>
      </c>
      <c r="L19" t="str">
        <f>IF([1]Sheet1!L55="","",[1]Sheet1!L55)</f>
        <v>2000</v>
      </c>
      <c r="M19" t="str">
        <f>IF([1]Sheet1!M55="","",[1]Sheet1!M55)</f>
        <v/>
      </c>
      <c r="N19" t="str">
        <f>IF([1]Sheet1!N55="","",[1]Sheet1!N55)</f>
        <v>48,528</v>
      </c>
      <c r="O19" t="str">
        <f>IF([1]Sheet1!O55="","",[1]Sheet1!O55)</f>
        <v/>
      </c>
      <c r="P19" t="str">
        <f>IF([1]Sheet1!P55="","",[1]Sheet1!P55)</f>
        <v>50</v>
      </c>
    </row>
    <row r="20" spans="1:16" x14ac:dyDescent="0.25">
      <c r="A20" t="str">
        <f>IF([1]Sheet1!A56="","",[1]Sheet1!A56)</f>
        <v>e4</v>
      </c>
      <c r="B20" t="str">
        <f>IF([1]Sheet1!B56="","",[1]Sheet1!B56)</f>
        <v>2</v>
      </c>
      <c r="C20" t="str">
        <f>IF([1]Sheet1!C56="","",[1]Sheet1!C56)</f>
        <v/>
      </c>
      <c r="D20" t="str">
        <f>IF([1]Sheet1!D56="","",[1]Sheet1!D56)</f>
        <v>200</v>
      </c>
      <c r="E20" t="str">
        <f>IF([1]Sheet1!E56="","",[1]Sheet1!E56)</f>
        <v/>
      </c>
      <c r="F20" t="str">
        <f>IF([1]Sheet1!F56="","",[1]Sheet1!F56)</f>
        <v>0</v>
      </c>
      <c r="G20" t="str">
        <f>IF([1]Sheet1!G56="","",[1]Sheet1!G56)</f>
        <v>13</v>
      </c>
      <c r="H20" t="str">
        <f>IF([1]Sheet1!H56="","",[1]Sheet1!H56)</f>
        <v>E</v>
      </c>
      <c r="I20" t="str">
        <f>IF([1]Sheet1!I56="","",[1]Sheet1!I56)</f>
        <v>88</v>
      </c>
      <c r="J20" t="str">
        <f>IF([1]Sheet1!J56="","",[1]Sheet1!J56)</f>
        <v>19</v>
      </c>
      <c r="K20" t="str">
        <f>IF([1]Sheet1!K56="","",[1]Sheet1!K56)</f>
        <v/>
      </c>
      <c r="L20" t="str">
        <f>IF([1]Sheet1!L56="","",[1]Sheet1!L56)</f>
        <v>2000</v>
      </c>
      <c r="M20" t="str">
        <f>IF([1]Sheet1!M56="","",[1]Sheet1!M56)</f>
        <v/>
      </c>
      <c r="N20" t="str">
        <f>IF([1]Sheet1!N56="","",[1]Sheet1!N56)</f>
        <v>100,2</v>
      </c>
      <c r="O20" t="str">
        <f>IF([1]Sheet1!O56="","",[1]Sheet1!O56)</f>
        <v>Poste</v>
      </c>
      <c r="P20" t="str">
        <f>IF([1]Sheet1!P56="","",[1]Sheet1!P56)</f>
        <v>51</v>
      </c>
    </row>
    <row r="21" spans="1:16" x14ac:dyDescent="0.25">
      <c r="A21" t="str">
        <f>IF([1]Sheet1!A57="","",[1]Sheet1!A57)</f>
        <v>e4</v>
      </c>
      <c r="B21" t="str">
        <f>IF([1]Sheet1!B57="","",[1]Sheet1!B57)</f>
        <v>3</v>
      </c>
      <c r="C21" t="str">
        <f>IF([1]Sheet1!C57="","",[1]Sheet1!C57)</f>
        <v/>
      </c>
      <c r="D21" t="str">
        <f>IF([1]Sheet1!D57="","",[1]Sheet1!D57)</f>
        <v>200</v>
      </c>
      <c r="E21" t="str">
        <f>IF([1]Sheet1!E57="","",[1]Sheet1!E57)</f>
        <v/>
      </c>
      <c r="F21" t="str">
        <f>IF([1]Sheet1!F57="","",[1]Sheet1!F57)</f>
        <v>0</v>
      </c>
      <c r="G21" t="str">
        <f>IF([1]Sheet1!G57="","",[1]Sheet1!G57)</f>
        <v>13</v>
      </c>
      <c r="H21" t="str">
        <f>IF([1]Sheet1!H57="","",[1]Sheet1!H57)</f>
        <v>E</v>
      </c>
      <c r="I21" t="str">
        <f>IF([1]Sheet1!I57="","",[1]Sheet1!I57)</f>
        <v>88</v>
      </c>
      <c r="J21" t="str">
        <f>IF([1]Sheet1!J57="","",[1]Sheet1!J57)</f>
        <v>45</v>
      </c>
      <c r="K21" t="str">
        <f>IF([1]Sheet1!K57="","",[1]Sheet1!K57)</f>
        <v/>
      </c>
      <c r="L21" t="str">
        <f>IF([1]Sheet1!L57="","",[1]Sheet1!L57)</f>
        <v>2000</v>
      </c>
      <c r="M21" t="str">
        <f>IF([1]Sheet1!M57="","",[1]Sheet1!M57)</f>
        <v/>
      </c>
      <c r="N21" t="str">
        <f>IF([1]Sheet1!N57="","",[1]Sheet1!N57)</f>
        <v>153,645</v>
      </c>
      <c r="O21" t="str">
        <f>IF([1]Sheet1!O57="","",[1]Sheet1!O57)</f>
        <v/>
      </c>
      <c r="P21" t="str">
        <f>IF([1]Sheet1!P57="","",[1]Sheet1!P57)</f>
        <v>52</v>
      </c>
    </row>
    <row r="22" spans="1:16" x14ac:dyDescent="0.25">
      <c r="A22" t="str">
        <f>IF([1]Sheet1!A58="","",[1]Sheet1!A58)</f>
        <v>e4</v>
      </c>
      <c r="B22" t="str">
        <f>IF([1]Sheet1!B58="","",[1]Sheet1!B58)</f>
        <v>4</v>
      </c>
      <c r="C22" t="str">
        <f>IF([1]Sheet1!C58="","",[1]Sheet1!C58)</f>
        <v/>
      </c>
      <c r="D22" t="str">
        <f>IF([1]Sheet1!D58="","",[1]Sheet1!D58)</f>
        <v>200</v>
      </c>
      <c r="E22" t="str">
        <f>IF([1]Sheet1!E58="","",[1]Sheet1!E58)</f>
        <v/>
      </c>
      <c r="F22" t="str">
        <f>IF([1]Sheet1!F58="","",[1]Sheet1!F58)</f>
        <v>0</v>
      </c>
      <c r="G22" t="str">
        <f>IF([1]Sheet1!G58="","",[1]Sheet1!G58)</f>
        <v>13</v>
      </c>
      <c r="H22" t="str">
        <f>IF([1]Sheet1!H58="","",[1]Sheet1!H58)</f>
        <v>E</v>
      </c>
      <c r="I22" t="str">
        <f>IF([1]Sheet1!I58="","",[1]Sheet1!I58)</f>
        <v>88</v>
      </c>
      <c r="J22" t="str">
        <f>IF([1]Sheet1!J58="","",[1]Sheet1!J58)</f>
        <v>58</v>
      </c>
      <c r="K22" t="str">
        <f>IF([1]Sheet1!K58="","",[1]Sheet1!K58)</f>
        <v/>
      </c>
      <c r="L22" t="str">
        <f>IF([1]Sheet1!L58="","",[1]Sheet1!L58)</f>
        <v>2000</v>
      </c>
      <c r="M22" t="str">
        <f>IF([1]Sheet1!M58="","",[1]Sheet1!M58)</f>
        <v/>
      </c>
      <c r="N22" t="str">
        <f>IF([1]Sheet1!N58="","",[1]Sheet1!N58)</f>
        <v>199,92</v>
      </c>
      <c r="O22" t="str">
        <f>IF([1]Sheet1!O58="","",[1]Sheet1!O58)</f>
        <v>Poste</v>
      </c>
      <c r="P22" t="str">
        <f>IF([1]Sheet1!P58="","",[1]Sheet1!P58)</f>
        <v>53</v>
      </c>
    </row>
    <row r="23" spans="1:16" x14ac:dyDescent="0.25">
      <c r="A23" t="str">
        <f>IF([1]Sheet1!A59="","",[1]Sheet1!A59)</f>
        <v>e4</v>
      </c>
      <c r="B23" t="str">
        <f>IF([1]Sheet1!B59="","",[1]Sheet1!B59)</f>
        <v>5</v>
      </c>
      <c r="C23" t="str">
        <f>IF([1]Sheet1!C59="","",[1]Sheet1!C59)</f>
        <v/>
      </c>
      <c r="D23" t="str">
        <f>IF([1]Sheet1!D59="","",[1]Sheet1!D59)</f>
        <v>200</v>
      </c>
      <c r="E23" t="str">
        <f>IF([1]Sheet1!E59="","",[1]Sheet1!E59)</f>
        <v/>
      </c>
      <c r="F23" t="str">
        <f>IF([1]Sheet1!F59="","",[1]Sheet1!F59)</f>
        <v>0</v>
      </c>
      <c r="G23" t="str">
        <f>IF([1]Sheet1!G59="","",[1]Sheet1!G59)</f>
        <v>13</v>
      </c>
      <c r="H23" t="str">
        <f>IF([1]Sheet1!H59="","",[1]Sheet1!H59)</f>
        <v>E</v>
      </c>
      <c r="I23" t="str">
        <f>IF([1]Sheet1!I59="","",[1]Sheet1!I59)</f>
        <v>89</v>
      </c>
      <c r="J23" t="str">
        <f>IF([1]Sheet1!J59="","",[1]Sheet1!J59)</f>
        <v>16</v>
      </c>
      <c r="K23" t="str">
        <f>IF([1]Sheet1!K59="","",[1]Sheet1!K59)</f>
        <v/>
      </c>
      <c r="L23" t="str">
        <f>IF([1]Sheet1!L59="","",[1]Sheet1!L59)</f>
        <v>2000</v>
      </c>
      <c r="M23" t="str">
        <f>IF([1]Sheet1!M59="","",[1]Sheet1!M59)</f>
        <v/>
      </c>
      <c r="N23" t="str">
        <f>IF([1]Sheet1!N59="","",[1]Sheet1!N59)</f>
        <v>255,8</v>
      </c>
      <c r="O23" t="str">
        <f>IF([1]Sheet1!O59="","",[1]Sheet1!O59)</f>
        <v/>
      </c>
      <c r="P23" t="str">
        <f>IF([1]Sheet1!P59="","",[1]Sheet1!P59)</f>
        <v>54</v>
      </c>
    </row>
    <row r="24" spans="1:16" x14ac:dyDescent="0.25">
      <c r="A24" t="str">
        <f>IF([1]Sheet1!A60="","",[1]Sheet1!A60)</f>
        <v>e4</v>
      </c>
      <c r="B24" t="str">
        <f>IF([1]Sheet1!B60="","",[1]Sheet1!B60)</f>
        <v>6</v>
      </c>
      <c r="C24" t="str">
        <f>IF([1]Sheet1!C60="","",[1]Sheet1!C60)</f>
        <v/>
      </c>
      <c r="D24" t="str">
        <f>IF([1]Sheet1!D60="","",[1]Sheet1!D60)</f>
        <v>200</v>
      </c>
      <c r="E24" t="str">
        <f>IF([1]Sheet1!E60="","",[1]Sheet1!E60)</f>
        <v/>
      </c>
      <c r="F24" t="str">
        <f>IF([1]Sheet1!F60="","",[1]Sheet1!F60)</f>
        <v>0</v>
      </c>
      <c r="G24" t="str">
        <f>IF([1]Sheet1!G60="","",[1]Sheet1!G60)</f>
        <v>13</v>
      </c>
      <c r="H24" t="str">
        <f>IF([1]Sheet1!H60="","",[1]Sheet1!H60)</f>
        <v>E</v>
      </c>
      <c r="I24" t="str">
        <f>IF([1]Sheet1!I60="","",[1]Sheet1!I60)</f>
        <v>89</v>
      </c>
      <c r="J24" t="str">
        <f>IF([1]Sheet1!J60="","",[1]Sheet1!J60)</f>
        <v>23</v>
      </c>
      <c r="K24" t="str">
        <f>IF([1]Sheet1!K60="","",[1]Sheet1!K60)</f>
        <v/>
      </c>
      <c r="L24" t="str">
        <f>IF([1]Sheet1!L60="","",[1]Sheet1!L60)</f>
        <v>2000</v>
      </c>
      <c r="M24" t="str">
        <f>IF([1]Sheet1!M60="","",[1]Sheet1!M60)</f>
        <v/>
      </c>
      <c r="N24" t="str">
        <f>IF([1]Sheet1!N60="","",[1]Sheet1!N60)</f>
        <v>300,294</v>
      </c>
      <c r="O24" t="str">
        <f>IF([1]Sheet1!O60="","",[1]Sheet1!O60)</f>
        <v>Poste</v>
      </c>
      <c r="P24" t="str">
        <f>IF([1]Sheet1!P60="","",[1]Sheet1!P60)</f>
        <v>55</v>
      </c>
    </row>
    <row r="25" spans="1:16" x14ac:dyDescent="0.25">
      <c r="A25" t="str">
        <f>IF([1]Sheet1!A61="","",[1]Sheet1!A61)</f>
        <v>e4</v>
      </c>
      <c r="B25" t="str">
        <f>IF([1]Sheet1!B61="","",[1]Sheet1!B61)</f>
        <v>7</v>
      </c>
      <c r="C25" t="str">
        <f>IF([1]Sheet1!C61="","",[1]Sheet1!C61)</f>
        <v/>
      </c>
      <c r="D25" t="str">
        <f>IF([1]Sheet1!D61="","",[1]Sheet1!D61)</f>
        <v>200</v>
      </c>
      <c r="E25" t="str">
        <f>IF([1]Sheet1!E61="","",[1]Sheet1!E61)</f>
        <v/>
      </c>
      <c r="F25" t="str">
        <f>IF([1]Sheet1!F61="","",[1]Sheet1!F61)</f>
        <v>0</v>
      </c>
      <c r="G25" t="str">
        <f>IF([1]Sheet1!G61="","",[1]Sheet1!G61)</f>
        <v>13</v>
      </c>
      <c r="H25" t="str">
        <f>IF([1]Sheet1!H61="","",[1]Sheet1!H61)</f>
        <v>E</v>
      </c>
      <c r="I25" t="str">
        <f>IF([1]Sheet1!I61="","",[1]Sheet1!I61)</f>
        <v>89</v>
      </c>
      <c r="J25" t="str">
        <f>IF([1]Sheet1!J61="","",[1]Sheet1!J61)</f>
        <v>30</v>
      </c>
      <c r="K25" t="str">
        <f>IF([1]Sheet1!K61="","",[1]Sheet1!K61)</f>
        <v/>
      </c>
      <c r="L25" t="str">
        <f>IF([1]Sheet1!L61="","",[1]Sheet1!L61)</f>
        <v>2000</v>
      </c>
      <c r="M25" t="str">
        <f>IF([1]Sheet1!M61="","",[1]Sheet1!M61)</f>
        <v/>
      </c>
      <c r="N25" t="str">
        <f>IF([1]Sheet1!N61="","",[1]Sheet1!N61)</f>
        <v>343,58</v>
      </c>
      <c r="O25" t="str">
        <f>IF([1]Sheet1!O61="","",[1]Sheet1!O61)</f>
        <v/>
      </c>
      <c r="P25" t="str">
        <f>IF([1]Sheet1!P61="","",[1]Sheet1!P61)</f>
        <v>56</v>
      </c>
    </row>
    <row r="26" spans="1:16" x14ac:dyDescent="0.25">
      <c r="A26" t="str">
        <f>IF([1]Sheet1!A62="","",[1]Sheet1!A62)</f>
        <v>e4</v>
      </c>
      <c r="B26" t="str">
        <f>IF([1]Sheet1!B62="","",[1]Sheet1!B62)</f>
        <v>e5</v>
      </c>
      <c r="C26" t="str">
        <f>IF([1]Sheet1!C62="","",[1]Sheet1!C62)</f>
        <v/>
      </c>
      <c r="D26" t="str">
        <f>IF([1]Sheet1!D62="","",[1]Sheet1!D62)</f>
        <v>200</v>
      </c>
      <c r="E26" t="str">
        <f>IF([1]Sheet1!E62="","",[1]Sheet1!E62)</f>
        <v/>
      </c>
      <c r="F26" t="str">
        <f>IF([1]Sheet1!F62="","",[1]Sheet1!F62)</f>
        <v>0</v>
      </c>
      <c r="G26" t="str">
        <f>IF([1]Sheet1!G62="","",[1]Sheet1!G62)</f>
        <v>13</v>
      </c>
      <c r="H26" t="str">
        <f>IF([1]Sheet1!H62="","",[1]Sheet1!H62)</f>
        <v>E</v>
      </c>
      <c r="I26" t="str">
        <f>IF([1]Sheet1!I62="","",[1]Sheet1!I62)</f>
        <v>89</v>
      </c>
      <c r="J26" t="str">
        <f>IF([1]Sheet1!J62="","",[1]Sheet1!J62)</f>
        <v>37</v>
      </c>
      <c r="K26" t="str">
        <f>IF([1]Sheet1!K62="","",[1]Sheet1!K62)</f>
        <v/>
      </c>
      <c r="L26" t="str">
        <f>IF([1]Sheet1!L62="","",[1]Sheet1!L62)</f>
        <v>2000</v>
      </c>
      <c r="M26" t="str">
        <f>IF([1]Sheet1!M62="","",[1]Sheet1!M62)</f>
        <v/>
      </c>
      <c r="N26" t="str">
        <f>IF([1]Sheet1!N62="","",[1]Sheet1!N62)</f>
        <v>401,612</v>
      </c>
      <c r="O26" t="str">
        <f>IF([1]Sheet1!O62="","",[1]Sheet1!O62)</f>
        <v>Poste</v>
      </c>
      <c r="P26" t="str">
        <f>IF([1]Sheet1!P62="","",[1]Sheet1!P62)</f>
        <v>57</v>
      </c>
    </row>
    <row r="27" spans="1:16" x14ac:dyDescent="0.25">
      <c r="A27" t="str">
        <f>IF([1]Sheet1!A63="","",[1]Sheet1!A63)</f>
        <v>e5</v>
      </c>
      <c r="B27" t="str">
        <f>IF([1]Sheet1!B63="","",[1]Sheet1!B63)</f>
        <v>e4</v>
      </c>
      <c r="C27" t="str">
        <f>IF([1]Sheet1!C63="","",[1]Sheet1!C63)</f>
        <v/>
      </c>
      <c r="D27" t="str">
        <f>IF([1]Sheet1!D63="","",[1]Sheet1!D63)</f>
        <v>200</v>
      </c>
      <c r="E27" t="str">
        <f>IF([1]Sheet1!E63="","",[1]Sheet1!E63)</f>
        <v>20</v>
      </c>
      <c r="F27" t="str">
        <f>IF([1]Sheet1!F63="","",[1]Sheet1!F63)</f>
        <v>180</v>
      </c>
      <c r="G27" t="str">
        <f>IF([1]Sheet1!G63="","",[1]Sheet1!G63)</f>
        <v>0</v>
      </c>
      <c r="H27" t="str">
        <f>IF([1]Sheet1!H63="","",[1]Sheet1!H63)</f>
        <v>E</v>
      </c>
      <c r="I27" t="str">
        <f>IF([1]Sheet1!I63="","",[1]Sheet1!I63)</f>
        <v/>
      </c>
      <c r="J27" t="str">
        <f>IF([1]Sheet1!J63="","",[1]Sheet1!J63)</f>
        <v/>
      </c>
      <c r="K27" t="str">
        <f>IF([1]Sheet1!K63="","",[1]Sheet1!K63)</f>
        <v/>
      </c>
      <c r="L27" t="str">
        <f>IF([1]Sheet1!L63="","",[1]Sheet1!L63)</f>
        <v/>
      </c>
      <c r="M27" t="str">
        <f>IF([1]Sheet1!M63="","",[1]Sheet1!M63)</f>
        <v/>
      </c>
      <c r="N27" t="str">
        <f>IF([1]Sheet1!N63="","",[1]Sheet1!N63)</f>
        <v/>
      </c>
      <c r="O27" t="str">
        <f>IF([1]Sheet1!O63="","",[1]Sheet1!O63)</f>
        <v>RÉ</v>
      </c>
      <c r="P27" t="str">
        <f>IF([1]Sheet1!P63="","",[1]Sheet1!P63)</f>
        <v>58</v>
      </c>
    </row>
    <row r="28" spans="1:16" x14ac:dyDescent="0.25">
      <c r="A28" t="str">
        <f>IF([1]Sheet1!A64="","",[1]Sheet1!A64)</f>
        <v>e5</v>
      </c>
      <c r="B28" t="str">
        <f>IF([1]Sheet1!B64="","",[1]Sheet1!B64)</f>
        <v>1</v>
      </c>
      <c r="C28" t="str">
        <f>IF([1]Sheet1!C64="","",[1]Sheet1!C64)</f>
        <v/>
      </c>
      <c r="D28" t="str">
        <f>IF([1]Sheet1!D64="","",[1]Sheet1!D64)</f>
        <v>200</v>
      </c>
      <c r="E28" t="str">
        <f>IF([1]Sheet1!E64="","",[1]Sheet1!E64)</f>
        <v/>
      </c>
      <c r="F28" t="str">
        <f>IF([1]Sheet1!F64="","",[1]Sheet1!F64)</f>
        <v>0</v>
      </c>
      <c r="G28" t="str">
        <f>IF([1]Sheet1!G64="","",[1]Sheet1!G64)</f>
        <v>9</v>
      </c>
      <c r="H28" t="str">
        <f>IF([1]Sheet1!H64="","",[1]Sheet1!H64)</f>
        <v>E</v>
      </c>
      <c r="I28" t="str">
        <f>IF([1]Sheet1!I64="","",[1]Sheet1!I64)</f>
        <v>90</v>
      </c>
      <c r="J28" t="str">
        <f>IF([1]Sheet1!J64="","",[1]Sheet1!J64)</f>
        <v>6</v>
      </c>
      <c r="K28" t="str">
        <f>IF([1]Sheet1!K64="","",[1]Sheet1!K64)</f>
        <v/>
      </c>
      <c r="L28" t="str">
        <f>IF([1]Sheet1!L64="","",[1]Sheet1!L64)</f>
        <v>2000</v>
      </c>
      <c r="M28" t="str">
        <f>IF([1]Sheet1!M64="","",[1]Sheet1!M64)</f>
        <v/>
      </c>
      <c r="N28" t="str">
        <f>IF([1]Sheet1!N64="","",[1]Sheet1!N64)</f>
        <v>44,862</v>
      </c>
      <c r="O28" t="str">
        <f>IF([1]Sheet1!O64="","",[1]Sheet1!O64)</f>
        <v/>
      </c>
      <c r="P28" t="str">
        <f>IF([1]Sheet1!P64="","",[1]Sheet1!P64)</f>
        <v>59</v>
      </c>
    </row>
    <row r="29" spans="1:16" x14ac:dyDescent="0.25">
      <c r="A29" t="str">
        <f>IF([1]Sheet1!A65="","",[1]Sheet1!A65)</f>
        <v>e5</v>
      </c>
      <c r="B29" t="str">
        <f>IF([1]Sheet1!B65="","",[1]Sheet1!B65)</f>
        <v>2</v>
      </c>
      <c r="C29" t="str">
        <f>IF([1]Sheet1!C65="","",[1]Sheet1!C65)</f>
        <v/>
      </c>
      <c r="D29" t="str">
        <f>IF([1]Sheet1!D65="","",[1]Sheet1!D65)</f>
        <v>200</v>
      </c>
      <c r="E29" t="str">
        <f>IF([1]Sheet1!E65="","",[1]Sheet1!E65)</f>
        <v>3</v>
      </c>
      <c r="F29" t="str">
        <f>IF([1]Sheet1!F65="","",[1]Sheet1!F65)</f>
        <v>0</v>
      </c>
      <c r="G29" t="str">
        <f>IF([1]Sheet1!G65="","",[1]Sheet1!G65)</f>
        <v>9</v>
      </c>
      <c r="H29" t="str">
        <f>IF([1]Sheet1!H65="","",[1]Sheet1!H65)</f>
        <v>E</v>
      </c>
      <c r="I29" t="str">
        <f>IF([1]Sheet1!I65="","",[1]Sheet1!I65)</f>
        <v>90</v>
      </c>
      <c r="J29" t="str">
        <f>IF([1]Sheet1!J65="","",[1]Sheet1!J65)</f>
        <v>24</v>
      </c>
      <c r="K29" t="str">
        <f>IF([1]Sheet1!K65="","",[1]Sheet1!K65)</f>
        <v/>
      </c>
      <c r="L29" t="str">
        <f>IF([1]Sheet1!L65="","",[1]Sheet1!L65)</f>
        <v>2000</v>
      </c>
      <c r="M29" t="str">
        <f>IF([1]Sheet1!M65="","",[1]Sheet1!M65)</f>
        <v/>
      </c>
      <c r="N29" t="str">
        <f>IF([1]Sheet1!N65="","",[1]Sheet1!N65)</f>
        <v>79,445</v>
      </c>
      <c r="O29" t="str">
        <f>IF([1]Sheet1!O65="","",[1]Sheet1!O65)</f>
        <v xml:space="preserve">inicio de estrada </v>
      </c>
      <c r="P29" t="str">
        <f>IF([1]Sheet1!P65="","",[1]Sheet1!P65)</f>
        <v>60</v>
      </c>
    </row>
    <row r="30" spans="1:16" x14ac:dyDescent="0.25">
      <c r="A30" t="str">
        <f>IF([1]Sheet1!A66="","",[1]Sheet1!A66)</f>
        <v>e5</v>
      </c>
      <c r="B30" t="str">
        <f>IF([1]Sheet1!B66="","",[1]Sheet1!B66)</f>
        <v>3</v>
      </c>
      <c r="C30" t="str">
        <f>IF([1]Sheet1!C66="","",[1]Sheet1!C66)</f>
        <v/>
      </c>
      <c r="D30" t="str">
        <f>IF([1]Sheet1!D66="","",[1]Sheet1!D66)</f>
        <v>200</v>
      </c>
      <c r="E30" t="str">
        <f>IF([1]Sheet1!E66="","",[1]Sheet1!E66)</f>
        <v>3</v>
      </c>
      <c r="F30" t="str">
        <f>IF([1]Sheet1!F66="","",[1]Sheet1!F66)</f>
        <v>0</v>
      </c>
      <c r="G30" t="str">
        <f>IF([1]Sheet1!G66="","",[1]Sheet1!G66)</f>
        <v>9</v>
      </c>
      <c r="H30" t="str">
        <f>IF([1]Sheet1!H66="","",[1]Sheet1!H66)</f>
        <v>E</v>
      </c>
      <c r="I30" t="str">
        <f>IF([1]Sheet1!I66="","",[1]Sheet1!I66)</f>
        <v>90</v>
      </c>
      <c r="J30" t="str">
        <f>IF([1]Sheet1!J66="","",[1]Sheet1!J66)</f>
        <v>23</v>
      </c>
      <c r="K30" t="str">
        <f>IF([1]Sheet1!K66="","",[1]Sheet1!K66)</f>
        <v/>
      </c>
      <c r="L30" t="str">
        <f>IF([1]Sheet1!L66="","",[1]Sheet1!L66)</f>
        <v>2000</v>
      </c>
      <c r="M30" t="str">
        <f>IF([1]Sheet1!M66="","",[1]Sheet1!M66)</f>
        <v/>
      </c>
      <c r="N30" t="str">
        <f>IF([1]Sheet1!N66="","",[1]Sheet1!N66)</f>
        <v>84,229</v>
      </c>
      <c r="O30" t="str">
        <f>IF([1]Sheet1!O66="","",[1]Sheet1!O66)</f>
        <v>fim de estrada</v>
      </c>
      <c r="P30" t="str">
        <f>IF([1]Sheet1!P66="","",[1]Sheet1!P66)</f>
        <v>61</v>
      </c>
    </row>
    <row r="31" spans="1:16" x14ac:dyDescent="0.25">
      <c r="A31" t="str">
        <f>IF([1]Sheet1!A67="","",[1]Sheet1!A67)</f>
        <v>e5</v>
      </c>
      <c r="B31" t="str">
        <f>IF([1]Sheet1!B67="","",[1]Sheet1!B67)</f>
        <v>4</v>
      </c>
      <c r="C31" t="str">
        <f>IF([1]Sheet1!C67="","",[1]Sheet1!C67)</f>
        <v/>
      </c>
      <c r="D31" t="str">
        <f>IF([1]Sheet1!D67="","",[1]Sheet1!D67)</f>
        <v>200</v>
      </c>
      <c r="E31" t="str">
        <f>IF([1]Sheet1!E67="","",[1]Sheet1!E67)</f>
        <v>5</v>
      </c>
      <c r="F31" t="str">
        <f>IF([1]Sheet1!F67="","",[1]Sheet1!F67)</f>
        <v>0</v>
      </c>
      <c r="G31" t="str">
        <f>IF([1]Sheet1!G67="","",[1]Sheet1!G67)</f>
        <v>9</v>
      </c>
      <c r="H31" t="str">
        <f>IF([1]Sheet1!H67="","",[1]Sheet1!H67)</f>
        <v>E</v>
      </c>
      <c r="I31" t="str">
        <f>IF([1]Sheet1!I67="","",[1]Sheet1!I67)</f>
        <v>90</v>
      </c>
      <c r="J31" t="str">
        <f>IF([1]Sheet1!J67="","",[1]Sheet1!J67)</f>
        <v>28</v>
      </c>
      <c r="K31" t="str">
        <f>IF([1]Sheet1!K67="","",[1]Sheet1!K67)</f>
        <v/>
      </c>
      <c r="L31" t="str">
        <f>IF([1]Sheet1!L67="","",[1]Sheet1!L67)</f>
        <v>2000</v>
      </c>
      <c r="M31" t="str">
        <f>IF([1]Sheet1!M67="","",[1]Sheet1!M67)</f>
        <v/>
      </c>
      <c r="N31" t="str">
        <f>IF([1]Sheet1!N67="","",[1]Sheet1!N67)</f>
        <v>86,546</v>
      </c>
      <c r="O31" t="str">
        <f>IF([1]Sheet1!O67="","",[1]Sheet1!O67)</f>
        <v>05 fl</v>
      </c>
      <c r="P31" t="str">
        <f>IF([1]Sheet1!P67="","",[1]Sheet1!P67)</f>
        <v>62</v>
      </c>
    </row>
    <row r="32" spans="1:16" x14ac:dyDescent="0.25">
      <c r="A32" t="str">
        <f>IF([1]Sheet1!A68="","",[1]Sheet1!A68)</f>
        <v>e5</v>
      </c>
      <c r="B32" t="str">
        <f>IF([1]Sheet1!B68="","",[1]Sheet1!B68)</f>
        <v>5</v>
      </c>
      <c r="C32" t="str">
        <f>IF([1]Sheet1!C68="","",[1]Sheet1!C68)</f>
        <v/>
      </c>
      <c r="D32" t="str">
        <f>IF([1]Sheet1!D68="","",[1]Sheet1!D68)</f>
        <v>200</v>
      </c>
      <c r="E32" t="str">
        <f>IF([1]Sheet1!E68="","",[1]Sheet1!E68)</f>
        <v/>
      </c>
      <c r="F32" t="str">
        <f>IF([1]Sheet1!F68="","",[1]Sheet1!F68)</f>
        <v>0</v>
      </c>
      <c r="G32" t="str">
        <f>IF([1]Sheet1!G68="","",[1]Sheet1!G68)</f>
        <v>9</v>
      </c>
      <c r="H32" t="str">
        <f>IF([1]Sheet1!H68="","",[1]Sheet1!H68)</f>
        <v>E</v>
      </c>
      <c r="I32" t="str">
        <f>IF([1]Sheet1!I68="","",[1]Sheet1!I68)</f>
        <v>90</v>
      </c>
      <c r="J32" t="str">
        <f>IF([1]Sheet1!J68="","",[1]Sheet1!J68)</f>
        <v>14</v>
      </c>
      <c r="K32" t="str">
        <f>IF([1]Sheet1!K68="","",[1]Sheet1!K68)</f>
        <v/>
      </c>
      <c r="L32" t="str">
        <f>IF([1]Sheet1!L68="","",[1]Sheet1!L68)</f>
        <v>2000</v>
      </c>
      <c r="M32" t="str">
        <f>IF([1]Sheet1!M68="","",[1]Sheet1!M68)</f>
        <v/>
      </c>
      <c r="N32" t="str">
        <f>IF([1]Sheet1!N68="","",[1]Sheet1!N68)</f>
        <v>99,761</v>
      </c>
      <c r="O32" t="str">
        <f>IF([1]Sheet1!O68="","",[1]Sheet1!O68)</f>
        <v>Poste</v>
      </c>
      <c r="P32" t="str">
        <f>IF([1]Sheet1!P68="","",[1]Sheet1!P68)</f>
        <v>63</v>
      </c>
    </row>
    <row r="33" spans="1:16" x14ac:dyDescent="0.25">
      <c r="A33" t="str">
        <f>IF([1]Sheet1!A69="","",[1]Sheet1!A69)</f>
        <v>e5</v>
      </c>
      <c r="B33" t="str">
        <f>IF([1]Sheet1!B69="","",[1]Sheet1!B69)</f>
        <v>6</v>
      </c>
      <c r="C33" t="str">
        <f>IF([1]Sheet1!C69="","",[1]Sheet1!C69)</f>
        <v/>
      </c>
      <c r="D33" t="str">
        <f>IF([1]Sheet1!D69="","",[1]Sheet1!D69)</f>
        <v>200</v>
      </c>
      <c r="E33" t="str">
        <f>IF([1]Sheet1!E69="","",[1]Sheet1!E69)</f>
        <v/>
      </c>
      <c r="F33" t="str">
        <f>IF([1]Sheet1!F69="","",[1]Sheet1!F69)</f>
        <v>0</v>
      </c>
      <c r="G33" t="str">
        <f>IF([1]Sheet1!G69="","",[1]Sheet1!G69)</f>
        <v>9</v>
      </c>
      <c r="H33" t="str">
        <f>IF([1]Sheet1!H69="","",[1]Sheet1!H69)</f>
        <v>E</v>
      </c>
      <c r="I33" t="str">
        <f>IF([1]Sheet1!I69="","",[1]Sheet1!I69)</f>
        <v>90</v>
      </c>
      <c r="J33" t="str">
        <f>IF([1]Sheet1!J69="","",[1]Sheet1!J69)</f>
        <v>24</v>
      </c>
      <c r="K33" t="str">
        <f>IF([1]Sheet1!K69="","",[1]Sheet1!K69)</f>
        <v/>
      </c>
      <c r="L33" t="str">
        <f>IF([1]Sheet1!L69="","",[1]Sheet1!L69)</f>
        <v>2000</v>
      </c>
      <c r="M33" t="str">
        <f>IF([1]Sheet1!M69="","",[1]Sheet1!M69)</f>
        <v/>
      </c>
      <c r="N33" t="str">
        <f>IF([1]Sheet1!N69="","",[1]Sheet1!N69)</f>
        <v>139,557</v>
      </c>
      <c r="O33" t="str">
        <f>IF([1]Sheet1!O69="","",[1]Sheet1!O69)</f>
        <v/>
      </c>
      <c r="P33" t="str">
        <f>IF([1]Sheet1!P69="","",[1]Sheet1!P69)</f>
        <v>64</v>
      </c>
    </row>
    <row r="34" spans="1:16" x14ac:dyDescent="0.25">
      <c r="A34" t="str">
        <f>IF([1]Sheet1!A70="","",[1]Sheet1!A70)</f>
        <v>e5</v>
      </c>
      <c r="B34" t="str">
        <f>IF([1]Sheet1!B70="","",[1]Sheet1!B70)</f>
        <v>7</v>
      </c>
      <c r="C34" t="str">
        <f>IF([1]Sheet1!C70="","",[1]Sheet1!C70)</f>
        <v/>
      </c>
      <c r="D34" t="str">
        <f>IF([1]Sheet1!D70="","",[1]Sheet1!D70)</f>
        <v>200</v>
      </c>
      <c r="E34" t="str">
        <f>IF([1]Sheet1!E70="","",[1]Sheet1!E70)</f>
        <v/>
      </c>
      <c r="F34" t="str">
        <f>IF([1]Sheet1!F70="","",[1]Sheet1!F70)</f>
        <v>0</v>
      </c>
      <c r="G34" t="str">
        <f>IF([1]Sheet1!G70="","",[1]Sheet1!G70)</f>
        <v>9</v>
      </c>
      <c r="H34" t="str">
        <f>IF([1]Sheet1!H70="","",[1]Sheet1!H70)</f>
        <v>E</v>
      </c>
      <c r="I34" t="str">
        <f>IF([1]Sheet1!I70="","",[1]Sheet1!I70)</f>
        <v>90</v>
      </c>
      <c r="J34" t="str">
        <f>IF([1]Sheet1!J70="","",[1]Sheet1!J70)</f>
        <v>24</v>
      </c>
      <c r="K34" t="str">
        <f>IF([1]Sheet1!K70="","",[1]Sheet1!K70)</f>
        <v/>
      </c>
      <c r="L34" t="str">
        <f>IF([1]Sheet1!L70="","",[1]Sheet1!L70)</f>
        <v>2000</v>
      </c>
      <c r="M34" t="str">
        <f>IF([1]Sheet1!M70="","",[1]Sheet1!M70)</f>
        <v/>
      </c>
      <c r="N34" t="str">
        <f>IF([1]Sheet1!N70="","",[1]Sheet1!N70)</f>
        <v>167,236</v>
      </c>
      <c r="O34" t="str">
        <f>IF([1]Sheet1!O70="","",[1]Sheet1!O70)</f>
        <v/>
      </c>
      <c r="P34" t="str">
        <f>IF([1]Sheet1!P70="","",[1]Sheet1!P70)</f>
        <v>65</v>
      </c>
    </row>
    <row r="35" spans="1:16" x14ac:dyDescent="0.25">
      <c r="A35" t="str">
        <f>IF([1]Sheet1!A71="","",[1]Sheet1!A71)</f>
        <v>e5</v>
      </c>
      <c r="B35" t="str">
        <f>IF([1]Sheet1!B71="","",[1]Sheet1!B71)</f>
        <v>8</v>
      </c>
      <c r="C35" t="str">
        <f>IF([1]Sheet1!C71="","",[1]Sheet1!C71)</f>
        <v/>
      </c>
      <c r="D35" t="str">
        <f>IF([1]Sheet1!D71="","",[1]Sheet1!D71)</f>
        <v>200</v>
      </c>
      <c r="E35" t="str">
        <f>IF([1]Sheet1!E71="","",[1]Sheet1!E71)</f>
        <v/>
      </c>
      <c r="F35" t="str">
        <f>IF([1]Sheet1!F71="","",[1]Sheet1!F71)</f>
        <v>0</v>
      </c>
      <c r="G35" t="str">
        <f>IF([1]Sheet1!G71="","",[1]Sheet1!G71)</f>
        <v>9</v>
      </c>
      <c r="H35" t="str">
        <f>IF([1]Sheet1!H71="","",[1]Sheet1!H71)</f>
        <v>E</v>
      </c>
      <c r="I35" t="str">
        <f>IF([1]Sheet1!I71="","",[1]Sheet1!I71)</f>
        <v>90</v>
      </c>
      <c r="J35" t="str">
        <f>IF([1]Sheet1!J71="","",[1]Sheet1!J71)</f>
        <v>20</v>
      </c>
      <c r="K35" t="str">
        <f>IF([1]Sheet1!K71="","",[1]Sheet1!K71)</f>
        <v/>
      </c>
      <c r="L35" t="str">
        <f>IF([1]Sheet1!L71="","",[1]Sheet1!L71)</f>
        <v>2000</v>
      </c>
      <c r="M35" t="str">
        <f>IF([1]Sheet1!M71="","",[1]Sheet1!M71)</f>
        <v/>
      </c>
      <c r="N35" t="str">
        <f>IF([1]Sheet1!N71="","",[1]Sheet1!N71)</f>
        <v>199,862</v>
      </c>
      <c r="O35" t="str">
        <f>IF([1]Sheet1!O71="","",[1]Sheet1!O71)</f>
        <v>Poste</v>
      </c>
      <c r="P35" t="str">
        <f>IF([1]Sheet1!P71="","",[1]Sheet1!P71)</f>
        <v>66</v>
      </c>
    </row>
    <row r="36" spans="1:16" x14ac:dyDescent="0.25">
      <c r="A36" t="str">
        <f>IF([1]Sheet1!A72="","",[1]Sheet1!A72)</f>
        <v>e5</v>
      </c>
      <c r="B36" t="str">
        <f>IF([1]Sheet1!B72="","",[1]Sheet1!B72)</f>
        <v>9</v>
      </c>
      <c r="C36" t="str">
        <f>IF([1]Sheet1!C72="","",[1]Sheet1!C72)</f>
        <v/>
      </c>
      <c r="D36" t="str">
        <f>IF([1]Sheet1!D72="","",[1]Sheet1!D72)</f>
        <v>200</v>
      </c>
      <c r="E36" t="str">
        <f>IF([1]Sheet1!E72="","",[1]Sheet1!E72)</f>
        <v/>
      </c>
      <c r="F36" t="str">
        <f>IF([1]Sheet1!F72="","",[1]Sheet1!F72)</f>
        <v>0</v>
      </c>
      <c r="G36" t="str">
        <f>IF([1]Sheet1!G72="","",[1]Sheet1!G72)</f>
        <v>9</v>
      </c>
      <c r="H36" t="str">
        <f>IF([1]Sheet1!H72="","",[1]Sheet1!H72)</f>
        <v>E</v>
      </c>
      <c r="I36" t="str">
        <f>IF([1]Sheet1!I72="","",[1]Sheet1!I72)</f>
        <v>90</v>
      </c>
      <c r="J36" t="str">
        <f>IF([1]Sheet1!J72="","",[1]Sheet1!J72)</f>
        <v>21</v>
      </c>
      <c r="K36" t="str">
        <f>IF([1]Sheet1!K72="","",[1]Sheet1!K72)</f>
        <v/>
      </c>
      <c r="L36" t="str">
        <f>IF([1]Sheet1!L72="","",[1]Sheet1!L72)</f>
        <v>2000</v>
      </c>
      <c r="M36" t="str">
        <f>IF([1]Sheet1!M72="","",[1]Sheet1!M72)</f>
        <v/>
      </c>
      <c r="N36" t="str">
        <f>IF([1]Sheet1!N72="","",[1]Sheet1!N72)</f>
        <v>243,925</v>
      </c>
      <c r="O36" t="str">
        <f>IF([1]Sheet1!O72="","",[1]Sheet1!O72)</f>
        <v/>
      </c>
      <c r="P36" t="str">
        <f>IF([1]Sheet1!P72="","",[1]Sheet1!P72)</f>
        <v>67</v>
      </c>
    </row>
    <row r="37" spans="1:16" x14ac:dyDescent="0.25">
      <c r="A37" t="str">
        <f>IF([1]Sheet1!A73="","",[1]Sheet1!A73)</f>
        <v>e5</v>
      </c>
      <c r="B37" t="str">
        <f>IF([1]Sheet1!B73="","",[1]Sheet1!B73)</f>
        <v>e6</v>
      </c>
      <c r="C37" t="str">
        <f>IF([1]Sheet1!C73="","",[1]Sheet1!C73)</f>
        <v/>
      </c>
      <c r="D37" t="str">
        <f>IF([1]Sheet1!D73="","",[1]Sheet1!D73)</f>
        <v>200</v>
      </c>
      <c r="E37" t="str">
        <f>IF([1]Sheet1!E73="","",[1]Sheet1!E73)</f>
        <v/>
      </c>
      <c r="F37" t="str">
        <f>IF([1]Sheet1!F73="","",[1]Sheet1!F73)</f>
        <v>0</v>
      </c>
      <c r="G37" t="str">
        <f>IF([1]Sheet1!G73="","",[1]Sheet1!G73)</f>
        <v>9</v>
      </c>
      <c r="H37" t="str">
        <f>IF([1]Sheet1!H73="","",[1]Sheet1!H73)</f>
        <v>E</v>
      </c>
      <c r="I37" t="str">
        <f>IF([1]Sheet1!I73="","",[1]Sheet1!I73)</f>
        <v>90</v>
      </c>
      <c r="J37" t="str">
        <f>IF([1]Sheet1!J73="","",[1]Sheet1!J73)</f>
        <v>21</v>
      </c>
      <c r="K37" t="str">
        <f>IF([1]Sheet1!K73="","",[1]Sheet1!K73)</f>
        <v/>
      </c>
      <c r="L37" t="str">
        <f>IF([1]Sheet1!L73="","",[1]Sheet1!L73)</f>
        <v>2000</v>
      </c>
      <c r="M37" t="str">
        <f>IF([1]Sheet1!M73="","",[1]Sheet1!M73)</f>
        <v/>
      </c>
      <c r="N37" t="str">
        <f>IF([1]Sheet1!N73="","",[1]Sheet1!N73)</f>
        <v>299,367</v>
      </c>
      <c r="O37" t="str">
        <f>IF([1]Sheet1!O73="","",[1]Sheet1!O73)</f>
        <v/>
      </c>
      <c r="P37" t="str">
        <f>IF([1]Sheet1!P73="","",[1]Sheet1!P73)</f>
        <v>68</v>
      </c>
    </row>
    <row r="38" spans="1:16" x14ac:dyDescent="0.25">
      <c r="A38" t="str">
        <f>IF([1]Sheet1!A74="","",[1]Sheet1!A74)</f>
        <v>e6</v>
      </c>
      <c r="B38" t="str">
        <f>IF([1]Sheet1!B74="","",[1]Sheet1!B74)</f>
        <v>e5</v>
      </c>
      <c r="C38" t="str">
        <f>IF([1]Sheet1!C74="","",[1]Sheet1!C74)</f>
        <v/>
      </c>
      <c r="D38" t="str">
        <f>IF([1]Sheet1!D74="","",[1]Sheet1!D74)</f>
        <v>200</v>
      </c>
      <c r="E38" t="str">
        <f>IF([1]Sheet1!E74="","",[1]Sheet1!E74)</f>
        <v>20</v>
      </c>
      <c r="F38" t="str">
        <f>IF([1]Sheet1!F74="","",[1]Sheet1!F74)</f>
        <v>180</v>
      </c>
      <c r="G38" t="str">
        <f>IF([1]Sheet1!G74="","",[1]Sheet1!G74)</f>
        <v>0</v>
      </c>
      <c r="H38" t="str">
        <f>IF([1]Sheet1!H74="","",[1]Sheet1!H74)</f>
        <v>E</v>
      </c>
      <c r="I38" t="str">
        <f>IF([1]Sheet1!I74="","",[1]Sheet1!I74)</f>
        <v/>
      </c>
      <c r="J38" t="str">
        <f>IF([1]Sheet1!J74="","",[1]Sheet1!J74)</f>
        <v/>
      </c>
      <c r="K38" t="str">
        <f>IF([1]Sheet1!K74="","",[1]Sheet1!K74)</f>
        <v/>
      </c>
      <c r="L38" t="str">
        <f>IF([1]Sheet1!L74="","",[1]Sheet1!L74)</f>
        <v/>
      </c>
      <c r="M38" t="str">
        <f>IF([1]Sheet1!M74="","",[1]Sheet1!M74)</f>
        <v/>
      </c>
      <c r="N38" t="str">
        <f>IF([1]Sheet1!N74="","",[1]Sheet1!N74)</f>
        <v/>
      </c>
      <c r="O38" t="str">
        <f>IF([1]Sheet1!O74="","",[1]Sheet1!O74)</f>
        <v>RÉ</v>
      </c>
      <c r="P38" t="str">
        <f>IF([1]Sheet1!P74="","",[1]Sheet1!P74)</f>
        <v>69</v>
      </c>
    </row>
    <row r="39" spans="1:16" x14ac:dyDescent="0.25">
      <c r="A39" t="str">
        <f>IF([1]Sheet1!A75="","",[1]Sheet1!A75)</f>
        <v>e6</v>
      </c>
      <c r="B39" t="str">
        <f>IF([1]Sheet1!B75="","",[1]Sheet1!B75)</f>
        <v>1</v>
      </c>
      <c r="C39" t="str">
        <f>IF([1]Sheet1!C75="","",[1]Sheet1!C75)</f>
        <v/>
      </c>
      <c r="D39" t="str">
        <f>IF([1]Sheet1!D75="","",[1]Sheet1!D75)</f>
        <v>200</v>
      </c>
      <c r="E39" t="str">
        <f>IF([1]Sheet1!E75="","",[1]Sheet1!E75)</f>
        <v/>
      </c>
      <c r="F39" t="str">
        <f>IF([1]Sheet1!F75="","",[1]Sheet1!F75)</f>
        <v>0</v>
      </c>
      <c r="G39" t="str">
        <f>IF([1]Sheet1!G75="","",[1]Sheet1!G75)</f>
        <v>2</v>
      </c>
      <c r="H39" t="str">
        <f>IF([1]Sheet1!H75="","",[1]Sheet1!H75)</f>
        <v>E</v>
      </c>
      <c r="I39" t="str">
        <f>IF([1]Sheet1!I75="","",[1]Sheet1!I75)</f>
        <v>90</v>
      </c>
      <c r="J39" t="str">
        <f>IF([1]Sheet1!J75="","",[1]Sheet1!J75)</f>
        <v>39</v>
      </c>
      <c r="K39" t="str">
        <f>IF([1]Sheet1!K75="","",[1]Sheet1!K75)</f>
        <v/>
      </c>
      <c r="L39" t="str">
        <f>IF([1]Sheet1!L75="","",[1]Sheet1!L75)</f>
        <v>2000</v>
      </c>
      <c r="M39" t="str">
        <f>IF([1]Sheet1!M75="","",[1]Sheet1!M75)</f>
        <v/>
      </c>
      <c r="N39" t="str">
        <f>IF([1]Sheet1!N75="","",[1]Sheet1!N75)</f>
        <v>57,604</v>
      </c>
      <c r="O39" t="str">
        <f>IF([1]Sheet1!O75="","",[1]Sheet1!O75)</f>
        <v/>
      </c>
      <c r="P39" t="str">
        <f>IF([1]Sheet1!P75="","",[1]Sheet1!P75)</f>
        <v>70</v>
      </c>
    </row>
    <row r="40" spans="1:16" x14ac:dyDescent="0.25">
      <c r="A40" t="str">
        <f>IF([1]Sheet1!A76="","",[1]Sheet1!A76)</f>
        <v>e6</v>
      </c>
      <c r="B40" t="str">
        <f>IF([1]Sheet1!B76="","",[1]Sheet1!B76)</f>
        <v>2</v>
      </c>
      <c r="C40" t="str">
        <f>IF([1]Sheet1!C76="","",[1]Sheet1!C76)</f>
        <v/>
      </c>
      <c r="D40" t="str">
        <f>IF([1]Sheet1!D76="","",[1]Sheet1!D76)</f>
        <v>200</v>
      </c>
      <c r="E40" t="str">
        <f>IF([1]Sheet1!E76="","",[1]Sheet1!E76)</f>
        <v/>
      </c>
      <c r="F40" t="str">
        <f>IF([1]Sheet1!F76="","",[1]Sheet1!F76)</f>
        <v>0</v>
      </c>
      <c r="G40" t="str">
        <f>IF([1]Sheet1!G76="","",[1]Sheet1!G76)</f>
        <v>2</v>
      </c>
      <c r="H40" t="str">
        <f>IF([1]Sheet1!H76="","",[1]Sheet1!H76)</f>
        <v>E</v>
      </c>
      <c r="I40" t="str">
        <f>IF([1]Sheet1!I76="","",[1]Sheet1!I76)</f>
        <v>90</v>
      </c>
      <c r="J40" t="str">
        <f>IF([1]Sheet1!J76="","",[1]Sheet1!J76)</f>
        <v>45</v>
      </c>
      <c r="K40" t="str">
        <f>IF([1]Sheet1!K76="","",[1]Sheet1!K76)</f>
        <v/>
      </c>
      <c r="L40" t="str">
        <f>IF([1]Sheet1!L76="","",[1]Sheet1!L76)</f>
        <v>2000</v>
      </c>
      <c r="M40" t="str">
        <f>IF([1]Sheet1!M76="","",[1]Sheet1!M76)</f>
        <v/>
      </c>
      <c r="N40" t="str">
        <f>IF([1]Sheet1!N76="","",[1]Sheet1!N76)</f>
        <v>99,795</v>
      </c>
      <c r="O40" t="str">
        <f>IF([1]Sheet1!O76="","",[1]Sheet1!O76)</f>
        <v>Poste</v>
      </c>
      <c r="P40" t="str">
        <f>IF([1]Sheet1!P76="","",[1]Sheet1!P76)</f>
        <v>71</v>
      </c>
    </row>
    <row r="41" spans="1:16" x14ac:dyDescent="0.25">
      <c r="A41" t="str">
        <f>IF([1]Sheet1!A77="","",[1]Sheet1!A77)</f>
        <v>e6</v>
      </c>
      <c r="B41" t="str">
        <f>IF([1]Sheet1!B77="","",[1]Sheet1!B77)</f>
        <v>3</v>
      </c>
      <c r="C41" t="str">
        <f>IF([1]Sheet1!C77="","",[1]Sheet1!C77)</f>
        <v/>
      </c>
      <c r="D41" t="str">
        <f>IF([1]Sheet1!D77="","",[1]Sheet1!D77)</f>
        <v>200</v>
      </c>
      <c r="E41" t="str">
        <f>IF([1]Sheet1!E77="","",[1]Sheet1!E77)</f>
        <v/>
      </c>
      <c r="F41" t="str">
        <f>IF([1]Sheet1!F77="","",[1]Sheet1!F77)</f>
        <v>0</v>
      </c>
      <c r="G41" t="str">
        <f>IF([1]Sheet1!G77="","",[1]Sheet1!G77)</f>
        <v>2</v>
      </c>
      <c r="H41" t="str">
        <f>IF([1]Sheet1!H77="","",[1]Sheet1!H77)</f>
        <v>E</v>
      </c>
      <c r="I41" t="str">
        <f>IF([1]Sheet1!I77="","",[1]Sheet1!I77)</f>
        <v>90</v>
      </c>
      <c r="J41" t="str">
        <f>IF([1]Sheet1!J77="","",[1]Sheet1!J77)</f>
        <v>36</v>
      </c>
      <c r="K41" t="str">
        <f>IF([1]Sheet1!K77="","",[1]Sheet1!K77)</f>
        <v/>
      </c>
      <c r="L41" t="str">
        <f>IF([1]Sheet1!L77="","",[1]Sheet1!L77)</f>
        <v>2000</v>
      </c>
      <c r="M41" t="str">
        <f>IF([1]Sheet1!M77="","",[1]Sheet1!M77)</f>
        <v/>
      </c>
      <c r="N41" t="str">
        <f>IF([1]Sheet1!N77="","",[1]Sheet1!N77)</f>
        <v>145,505</v>
      </c>
      <c r="O41" t="str">
        <f>IF([1]Sheet1!O77="","",[1]Sheet1!O77)</f>
        <v/>
      </c>
      <c r="P41" t="str">
        <f>IF([1]Sheet1!P77="","",[1]Sheet1!P77)</f>
        <v>72</v>
      </c>
    </row>
    <row r="42" spans="1:16" x14ac:dyDescent="0.25">
      <c r="A42" t="str">
        <f>IF([1]Sheet1!A78="","",[1]Sheet1!A78)</f>
        <v>e6</v>
      </c>
      <c r="B42" t="str">
        <f>IF([1]Sheet1!B78="","",[1]Sheet1!B78)</f>
        <v>4</v>
      </c>
      <c r="C42" t="str">
        <f>IF([1]Sheet1!C78="","",[1]Sheet1!C78)</f>
        <v/>
      </c>
      <c r="D42" t="str">
        <f>IF([1]Sheet1!D78="","",[1]Sheet1!D78)</f>
        <v>200</v>
      </c>
      <c r="E42" t="str">
        <f>IF([1]Sheet1!E78="","",[1]Sheet1!E78)</f>
        <v/>
      </c>
      <c r="F42" t="str">
        <f>IF([1]Sheet1!F78="","",[1]Sheet1!F78)</f>
        <v>0</v>
      </c>
      <c r="G42" t="str">
        <f>IF([1]Sheet1!G78="","",[1]Sheet1!G78)</f>
        <v>2</v>
      </c>
      <c r="H42" t="str">
        <f>IF([1]Sheet1!H78="","",[1]Sheet1!H78)</f>
        <v>E</v>
      </c>
      <c r="I42" t="str">
        <f>IF([1]Sheet1!I78="","",[1]Sheet1!I78)</f>
        <v>90</v>
      </c>
      <c r="J42" t="str">
        <f>IF([1]Sheet1!J78="","",[1]Sheet1!J78)</f>
        <v>31</v>
      </c>
      <c r="K42" t="str">
        <f>IF([1]Sheet1!K78="","",[1]Sheet1!K78)</f>
        <v/>
      </c>
      <c r="L42" t="str">
        <f>IF([1]Sheet1!L78="","",[1]Sheet1!L78)</f>
        <v>2000</v>
      </c>
      <c r="M42" t="str">
        <f>IF([1]Sheet1!M78="","",[1]Sheet1!M78)</f>
        <v/>
      </c>
      <c r="N42" t="str">
        <f>IF([1]Sheet1!N78="","",[1]Sheet1!N78)</f>
        <v>175,315</v>
      </c>
      <c r="O42" t="str">
        <f>IF([1]Sheet1!O78="","",[1]Sheet1!O78)</f>
        <v/>
      </c>
      <c r="P42" t="str">
        <f>IF([1]Sheet1!P78="","",[1]Sheet1!P78)</f>
        <v>73</v>
      </c>
    </row>
    <row r="43" spans="1:16" x14ac:dyDescent="0.25">
      <c r="A43" t="str">
        <f>IF([1]Sheet1!A79="","",[1]Sheet1!A79)</f>
        <v>e6</v>
      </c>
      <c r="B43" t="str">
        <f>IF([1]Sheet1!B79="","",[1]Sheet1!B79)</f>
        <v>5</v>
      </c>
      <c r="C43" t="str">
        <f>IF([1]Sheet1!C79="","",[1]Sheet1!C79)</f>
        <v/>
      </c>
      <c r="D43" t="str">
        <f>IF([1]Sheet1!D79="","",[1]Sheet1!D79)</f>
        <v>200</v>
      </c>
      <c r="E43" t="str">
        <f>IF([1]Sheet1!E79="","",[1]Sheet1!E79)</f>
        <v/>
      </c>
      <c r="F43" t="str">
        <f>IF([1]Sheet1!F79="","",[1]Sheet1!F79)</f>
        <v>0</v>
      </c>
      <c r="G43" t="str">
        <f>IF([1]Sheet1!G79="","",[1]Sheet1!G79)</f>
        <v>2</v>
      </c>
      <c r="H43" t="str">
        <f>IF([1]Sheet1!H79="","",[1]Sheet1!H79)</f>
        <v>E</v>
      </c>
      <c r="I43" t="str">
        <f>IF([1]Sheet1!I79="","",[1]Sheet1!I79)</f>
        <v>90</v>
      </c>
      <c r="J43" t="str">
        <f>IF([1]Sheet1!J79="","",[1]Sheet1!J79)</f>
        <v>30</v>
      </c>
      <c r="K43" t="str">
        <f>IF([1]Sheet1!K79="","",[1]Sheet1!K79)</f>
        <v/>
      </c>
      <c r="L43" t="str">
        <f>IF([1]Sheet1!L79="","",[1]Sheet1!L79)</f>
        <v>2000</v>
      </c>
      <c r="M43" t="str">
        <f>IF([1]Sheet1!M79="","",[1]Sheet1!M79)</f>
        <v/>
      </c>
      <c r="N43" t="str">
        <f>IF([1]Sheet1!N79="","",[1]Sheet1!N79)</f>
        <v>198,039</v>
      </c>
      <c r="O43" t="str">
        <f>IF([1]Sheet1!O79="","",[1]Sheet1!O79)</f>
        <v>Poste</v>
      </c>
      <c r="P43" t="str">
        <f>IF([1]Sheet1!P79="","",[1]Sheet1!P79)</f>
        <v>74</v>
      </c>
    </row>
    <row r="44" spans="1:16" x14ac:dyDescent="0.25">
      <c r="A44" t="str">
        <f>IF([1]Sheet1!A80="","",[1]Sheet1!A80)</f>
        <v>e6</v>
      </c>
      <c r="B44" t="str">
        <f>IF([1]Sheet1!B80="","",[1]Sheet1!B80)</f>
        <v>6</v>
      </c>
      <c r="C44" t="str">
        <f>IF([1]Sheet1!C80="","",[1]Sheet1!C80)</f>
        <v/>
      </c>
      <c r="D44" t="str">
        <f>IF([1]Sheet1!D80="","",[1]Sheet1!D80)</f>
        <v>200</v>
      </c>
      <c r="E44" t="str">
        <f>IF([1]Sheet1!E80="","",[1]Sheet1!E80)</f>
        <v/>
      </c>
      <c r="F44" t="str">
        <f>IF([1]Sheet1!F80="","",[1]Sheet1!F80)</f>
        <v>0</v>
      </c>
      <c r="G44" t="str">
        <f>IF([1]Sheet1!G80="","",[1]Sheet1!G80)</f>
        <v>2</v>
      </c>
      <c r="H44" t="str">
        <f>IF([1]Sheet1!H80="","",[1]Sheet1!H80)</f>
        <v>E</v>
      </c>
      <c r="I44" t="str">
        <f>IF([1]Sheet1!I80="","",[1]Sheet1!I80)</f>
        <v>90</v>
      </c>
      <c r="J44" t="str">
        <f>IF([1]Sheet1!J80="","",[1]Sheet1!J80)</f>
        <v>29</v>
      </c>
      <c r="K44" t="str">
        <f>IF([1]Sheet1!K80="","",[1]Sheet1!K80)</f>
        <v/>
      </c>
      <c r="L44" t="str">
        <f>IF([1]Sheet1!L80="","",[1]Sheet1!L80)</f>
        <v>2000</v>
      </c>
      <c r="M44" t="str">
        <f>IF([1]Sheet1!M80="","",[1]Sheet1!M80)</f>
        <v/>
      </c>
      <c r="N44" t="str">
        <f>IF([1]Sheet1!N80="","",[1]Sheet1!N80)</f>
        <v>244,291</v>
      </c>
      <c r="O44" t="str">
        <f>IF([1]Sheet1!O80="","",[1]Sheet1!O80)</f>
        <v/>
      </c>
      <c r="P44" t="str">
        <f>IF([1]Sheet1!P80="","",[1]Sheet1!P80)</f>
        <v>75</v>
      </c>
    </row>
    <row r="45" spans="1:16" x14ac:dyDescent="0.25">
      <c r="A45" t="str">
        <f>IF([1]Sheet1!A81="","",[1]Sheet1!A81)</f>
        <v>e6</v>
      </c>
      <c r="B45" t="str">
        <f>IF([1]Sheet1!B81="","",[1]Sheet1!B81)</f>
        <v>7</v>
      </c>
      <c r="C45" t="str">
        <f>IF([1]Sheet1!C81="","",[1]Sheet1!C81)</f>
        <v/>
      </c>
      <c r="D45" t="str">
        <f>IF([1]Sheet1!D81="","",[1]Sheet1!D81)</f>
        <v>200</v>
      </c>
      <c r="E45" t="str">
        <f>IF([1]Sheet1!E81="","",[1]Sheet1!E81)</f>
        <v/>
      </c>
      <c r="F45" t="str">
        <f>IF([1]Sheet1!F81="","",[1]Sheet1!F81)</f>
        <v>0</v>
      </c>
      <c r="G45" t="str">
        <f>IF([1]Sheet1!G81="","",[1]Sheet1!G81)</f>
        <v>2</v>
      </c>
      <c r="H45" t="str">
        <f>IF([1]Sheet1!H81="","",[1]Sheet1!H81)</f>
        <v>E</v>
      </c>
      <c r="I45" t="str">
        <f>IF([1]Sheet1!I81="","",[1]Sheet1!I81)</f>
        <v>90</v>
      </c>
      <c r="J45" t="str">
        <f>IF([1]Sheet1!J81="","",[1]Sheet1!J81)</f>
        <v>27</v>
      </c>
      <c r="K45" t="str">
        <f>IF([1]Sheet1!K81="","",[1]Sheet1!K81)</f>
        <v/>
      </c>
      <c r="L45" t="str">
        <f>IF([1]Sheet1!L81="","",[1]Sheet1!L81)</f>
        <v>2000</v>
      </c>
      <c r="M45" t="str">
        <f>IF([1]Sheet1!M81="","",[1]Sheet1!M81)</f>
        <v/>
      </c>
      <c r="N45" t="str">
        <f>IF([1]Sheet1!N81="","",[1]Sheet1!N81)</f>
        <v>284,017</v>
      </c>
      <c r="O45" t="str">
        <f>IF([1]Sheet1!O81="","",[1]Sheet1!O81)</f>
        <v/>
      </c>
      <c r="P45" t="str">
        <f>IF([1]Sheet1!P81="","",[1]Sheet1!P81)</f>
        <v>76</v>
      </c>
    </row>
    <row r="46" spans="1:16" x14ac:dyDescent="0.25">
      <c r="A46" t="str">
        <f>IF([1]Sheet1!A82="","",[1]Sheet1!A82)</f>
        <v>e6</v>
      </c>
      <c r="B46" t="str">
        <f>IF([1]Sheet1!B82="","",[1]Sheet1!B82)</f>
        <v>8</v>
      </c>
      <c r="C46" t="str">
        <f>IF([1]Sheet1!C82="","",[1]Sheet1!C82)</f>
        <v/>
      </c>
      <c r="D46" t="str">
        <f>IF([1]Sheet1!D82="","",[1]Sheet1!D82)</f>
        <v>200</v>
      </c>
      <c r="E46" t="str">
        <f>IF([1]Sheet1!E82="","",[1]Sheet1!E82)</f>
        <v/>
      </c>
      <c r="F46" t="str">
        <f>IF([1]Sheet1!F82="","",[1]Sheet1!F82)</f>
        <v>0</v>
      </c>
      <c r="G46" t="str">
        <f>IF([1]Sheet1!G82="","",[1]Sheet1!G82)</f>
        <v>2</v>
      </c>
      <c r="H46" t="str">
        <f>IF([1]Sheet1!H82="","",[1]Sheet1!H82)</f>
        <v>E</v>
      </c>
      <c r="I46" t="str">
        <f>IF([1]Sheet1!I82="","",[1]Sheet1!I82)</f>
        <v>90</v>
      </c>
      <c r="J46" t="str">
        <f>IF([1]Sheet1!J82="","",[1]Sheet1!J82)</f>
        <v>23</v>
      </c>
      <c r="K46" t="str">
        <f>IF([1]Sheet1!K82="","",[1]Sheet1!K82)</f>
        <v/>
      </c>
      <c r="L46" t="str">
        <f>IF([1]Sheet1!L82="","",[1]Sheet1!L82)</f>
        <v>2000</v>
      </c>
      <c r="M46" t="str">
        <f>IF([1]Sheet1!M82="","",[1]Sheet1!M82)</f>
        <v/>
      </c>
      <c r="N46" t="str">
        <f>IF([1]Sheet1!N82="","",[1]Sheet1!N82)</f>
        <v>319,48</v>
      </c>
      <c r="O46" t="str">
        <f>IF([1]Sheet1!O82="","",[1]Sheet1!O82)</f>
        <v>Poste</v>
      </c>
      <c r="P46" t="str">
        <f>IF([1]Sheet1!P82="","",[1]Sheet1!P82)</f>
        <v>77</v>
      </c>
    </row>
    <row r="47" spans="1:16" x14ac:dyDescent="0.25">
      <c r="A47" t="str">
        <f>IF([1]Sheet1!A83="","",[1]Sheet1!A83)</f>
        <v>e6</v>
      </c>
      <c r="B47" t="str">
        <f>IF([1]Sheet1!B83="","",[1]Sheet1!B83)</f>
        <v>9</v>
      </c>
      <c r="C47" t="str">
        <f>IF([1]Sheet1!C83="","",[1]Sheet1!C83)</f>
        <v/>
      </c>
      <c r="D47" t="str">
        <f>IF([1]Sheet1!D83="","",[1]Sheet1!D83)</f>
        <v>200</v>
      </c>
      <c r="E47" t="str">
        <f>IF([1]Sheet1!E83="","",[1]Sheet1!E83)</f>
        <v/>
      </c>
      <c r="F47" t="str">
        <f>IF([1]Sheet1!F83="","",[1]Sheet1!F83)</f>
        <v>0</v>
      </c>
      <c r="G47" t="str">
        <f>IF([1]Sheet1!G83="","",[1]Sheet1!G83)</f>
        <v>2</v>
      </c>
      <c r="H47" t="str">
        <f>IF([1]Sheet1!H83="","",[1]Sheet1!H83)</f>
        <v>E</v>
      </c>
      <c r="I47" t="str">
        <f>IF([1]Sheet1!I83="","",[1]Sheet1!I83)</f>
        <v>90</v>
      </c>
      <c r="J47" t="str">
        <f>IF([1]Sheet1!J83="","",[1]Sheet1!J83)</f>
        <v>15</v>
      </c>
      <c r="K47" t="str">
        <f>IF([1]Sheet1!K83="","",[1]Sheet1!K83)</f>
        <v/>
      </c>
      <c r="L47" t="str">
        <f>IF([1]Sheet1!L83="","",[1]Sheet1!L83)</f>
        <v>2000</v>
      </c>
      <c r="M47" t="str">
        <f>IF([1]Sheet1!M83="","",[1]Sheet1!M83)</f>
        <v/>
      </c>
      <c r="N47" t="str">
        <f>IF([1]Sheet1!N83="","",[1]Sheet1!N83)</f>
        <v>375,74</v>
      </c>
      <c r="O47" t="str">
        <f>IF([1]Sheet1!O83="","",[1]Sheet1!O83)</f>
        <v/>
      </c>
      <c r="P47" t="str">
        <f>IF([1]Sheet1!P83="","",[1]Sheet1!P83)</f>
        <v>78</v>
      </c>
    </row>
    <row r="48" spans="1:16" x14ac:dyDescent="0.25">
      <c r="A48" t="str">
        <f>IF([1]Sheet1!A84="","",[1]Sheet1!A84)</f>
        <v>e6</v>
      </c>
      <c r="B48" t="str">
        <f>IF([1]Sheet1!B84="","",[1]Sheet1!B84)</f>
        <v>10</v>
      </c>
      <c r="C48" t="str">
        <f>IF([1]Sheet1!C84="","",[1]Sheet1!C84)</f>
        <v/>
      </c>
      <c r="D48" t="str">
        <f>IF([1]Sheet1!D84="","",[1]Sheet1!D84)</f>
        <v>200</v>
      </c>
      <c r="E48" t="str">
        <f>IF([1]Sheet1!E84="","",[1]Sheet1!E84)</f>
        <v/>
      </c>
      <c r="F48" t="str">
        <f>IF([1]Sheet1!F84="","",[1]Sheet1!F84)</f>
        <v>0</v>
      </c>
      <c r="G48" t="str">
        <f>IF([1]Sheet1!G84="","",[1]Sheet1!G84)</f>
        <v>2</v>
      </c>
      <c r="H48" t="str">
        <f>IF([1]Sheet1!H84="","",[1]Sheet1!H84)</f>
        <v>E</v>
      </c>
      <c r="I48" t="str">
        <f>IF([1]Sheet1!I84="","",[1]Sheet1!I84)</f>
        <v>90</v>
      </c>
      <c r="J48" t="str">
        <f>IF([1]Sheet1!J84="","",[1]Sheet1!J84)</f>
        <v>11</v>
      </c>
      <c r="K48" t="str">
        <f>IF([1]Sheet1!K84="","",[1]Sheet1!K84)</f>
        <v/>
      </c>
      <c r="L48" t="str">
        <f>IF([1]Sheet1!L84="","",[1]Sheet1!L84)</f>
        <v>2000</v>
      </c>
      <c r="M48" t="str">
        <f>IF([1]Sheet1!M84="","",[1]Sheet1!M84)</f>
        <v/>
      </c>
      <c r="N48" t="str">
        <f>IF([1]Sheet1!N84="","",[1]Sheet1!N84)</f>
        <v>419,898</v>
      </c>
      <c r="O48" t="str">
        <f>IF([1]Sheet1!O84="","",[1]Sheet1!O84)</f>
        <v>Poste</v>
      </c>
      <c r="P48" t="str">
        <f>IF([1]Sheet1!P84="","",[1]Sheet1!P84)</f>
        <v>79</v>
      </c>
    </row>
    <row r="49" spans="1:16" x14ac:dyDescent="0.25">
      <c r="A49" t="str">
        <f>IF([1]Sheet1!A85="","",[1]Sheet1!A85)</f>
        <v>e6</v>
      </c>
      <c r="B49" t="str">
        <f>IF([1]Sheet1!B85="","",[1]Sheet1!B85)</f>
        <v>11</v>
      </c>
      <c r="C49" t="str">
        <f>IF([1]Sheet1!C85="","",[1]Sheet1!C85)</f>
        <v/>
      </c>
      <c r="D49" t="str">
        <f>IF([1]Sheet1!D85="","",[1]Sheet1!D85)</f>
        <v>200</v>
      </c>
      <c r="E49" t="str">
        <f>IF([1]Sheet1!E85="","",[1]Sheet1!E85)</f>
        <v/>
      </c>
      <c r="F49" t="str">
        <f>IF([1]Sheet1!F85="","",[1]Sheet1!F85)</f>
        <v>0</v>
      </c>
      <c r="G49" t="str">
        <f>IF([1]Sheet1!G85="","",[1]Sheet1!G85)</f>
        <v>2</v>
      </c>
      <c r="H49" t="str">
        <f>IF([1]Sheet1!H85="","",[1]Sheet1!H85)</f>
        <v>E</v>
      </c>
      <c r="I49" t="str">
        <f>IF([1]Sheet1!I85="","",[1]Sheet1!I85)</f>
        <v>90</v>
      </c>
      <c r="J49" t="str">
        <f>IF([1]Sheet1!J85="","",[1]Sheet1!J85)</f>
        <v>8</v>
      </c>
      <c r="K49" t="str">
        <f>IF([1]Sheet1!K85="","",[1]Sheet1!K85)</f>
        <v/>
      </c>
      <c r="L49" t="str">
        <f>IF([1]Sheet1!L85="","",[1]Sheet1!L85)</f>
        <v>2000</v>
      </c>
      <c r="M49" t="str">
        <f>IF([1]Sheet1!M85="","",[1]Sheet1!M85)</f>
        <v/>
      </c>
      <c r="N49" t="str">
        <f>IF([1]Sheet1!N85="","",[1]Sheet1!N85)</f>
        <v>459,98</v>
      </c>
      <c r="O49" t="str">
        <f>IF([1]Sheet1!O85="","",[1]Sheet1!O85)</f>
        <v/>
      </c>
      <c r="P49" t="str">
        <f>IF([1]Sheet1!P85="","",[1]Sheet1!P85)</f>
        <v>80</v>
      </c>
    </row>
    <row r="50" spans="1:16" x14ac:dyDescent="0.25">
      <c r="A50" t="str">
        <f>IF([1]Sheet1!A86="","",[1]Sheet1!A86)</f>
        <v>e6</v>
      </c>
      <c r="B50" t="str">
        <f>IF([1]Sheet1!B86="","",[1]Sheet1!B86)</f>
        <v>12</v>
      </c>
      <c r="C50" t="str">
        <f>IF([1]Sheet1!C86="","",[1]Sheet1!C86)</f>
        <v/>
      </c>
      <c r="D50" t="str">
        <f>IF([1]Sheet1!D86="","",[1]Sheet1!D86)</f>
        <v>200</v>
      </c>
      <c r="E50" t="str">
        <f>IF([1]Sheet1!E86="","",[1]Sheet1!E86)</f>
        <v>5</v>
      </c>
      <c r="F50" t="str">
        <f>IF([1]Sheet1!F86="","",[1]Sheet1!F86)</f>
        <v>0</v>
      </c>
      <c r="G50" t="str">
        <f>IF([1]Sheet1!G86="","",[1]Sheet1!G86)</f>
        <v>2</v>
      </c>
      <c r="H50" t="str">
        <f>IF([1]Sheet1!H86="","",[1]Sheet1!H86)</f>
        <v>E</v>
      </c>
      <c r="I50" t="str">
        <f>IF([1]Sheet1!I86="","",[1]Sheet1!I86)</f>
        <v>90</v>
      </c>
      <c r="J50" t="str">
        <f>IF([1]Sheet1!J86="","",[1]Sheet1!J86)</f>
        <v>8</v>
      </c>
      <c r="K50" t="str">
        <f>IF([1]Sheet1!K86="","",[1]Sheet1!K86)</f>
        <v/>
      </c>
      <c r="L50" t="str">
        <f>IF([1]Sheet1!L86="","",[1]Sheet1!L86)</f>
        <v>2000</v>
      </c>
      <c r="M50" t="str">
        <f>IF([1]Sheet1!M86="","",[1]Sheet1!M86)</f>
        <v/>
      </c>
      <c r="N50" t="str">
        <f>IF([1]Sheet1!N86="","",[1]Sheet1!N86)</f>
        <v>503,354</v>
      </c>
      <c r="O50" t="str">
        <f>IF([1]Sheet1!O86="","",[1]Sheet1!O86)</f>
        <v>5fl</v>
      </c>
      <c r="P50" t="str">
        <f>IF([1]Sheet1!P86="","",[1]Sheet1!P86)</f>
        <v>81</v>
      </c>
    </row>
    <row r="51" spans="1:16" x14ac:dyDescent="0.25">
      <c r="A51" t="str">
        <f>IF([1]Sheet1!A87="","",[1]Sheet1!A87)</f>
        <v>e6</v>
      </c>
      <c r="B51" t="str">
        <f>IF([1]Sheet1!B87="","",[1]Sheet1!B87)</f>
        <v>e7</v>
      </c>
      <c r="C51" t="str">
        <f>IF([1]Sheet1!C87="","",[1]Sheet1!C87)</f>
        <v/>
      </c>
      <c r="D51" t="str">
        <f>IF([1]Sheet1!D87="","",[1]Sheet1!D87)</f>
        <v>200</v>
      </c>
      <c r="E51" t="str">
        <f>IF([1]Sheet1!E87="","",[1]Sheet1!E87)</f>
        <v/>
      </c>
      <c r="F51" t="str">
        <f>IF([1]Sheet1!F87="","",[1]Sheet1!F87)</f>
        <v>0</v>
      </c>
      <c r="G51" t="str">
        <f>IF([1]Sheet1!G87="","",[1]Sheet1!G87)</f>
        <v>2</v>
      </c>
      <c r="H51" t="str">
        <f>IF([1]Sheet1!H87="","",[1]Sheet1!H87)</f>
        <v>E</v>
      </c>
      <c r="I51" t="str">
        <f>IF([1]Sheet1!I87="","",[1]Sheet1!I87)</f>
        <v>90</v>
      </c>
      <c r="J51" t="str">
        <f>IF([1]Sheet1!J87="","",[1]Sheet1!J87)</f>
        <v>11</v>
      </c>
      <c r="K51" t="str">
        <f>IF([1]Sheet1!K87="","",[1]Sheet1!K87)</f>
        <v/>
      </c>
      <c r="L51" t="str">
        <f>IF([1]Sheet1!L87="","",[1]Sheet1!L87)</f>
        <v>2000</v>
      </c>
      <c r="M51" t="str">
        <f>IF([1]Sheet1!M87="","",[1]Sheet1!M87)</f>
        <v/>
      </c>
      <c r="N51" t="str">
        <f>IF([1]Sheet1!N87="","",[1]Sheet1!N87)</f>
        <v>521,024</v>
      </c>
      <c r="O51" t="str">
        <f>IF([1]Sheet1!O87="","",[1]Sheet1!O87)</f>
        <v xml:space="preserve">poste </v>
      </c>
      <c r="P51" t="str">
        <f>IF([1]Sheet1!P87="","",[1]Sheet1!P87)</f>
        <v>82</v>
      </c>
    </row>
    <row r="52" spans="1:16" x14ac:dyDescent="0.25">
      <c r="A52" t="str">
        <f>IF([1]Sheet1!A88="","",[1]Sheet1!A88)</f>
        <v>e7</v>
      </c>
      <c r="B52" t="str">
        <f>IF([1]Sheet1!B88="","",[1]Sheet1!B88)</f>
        <v>e6</v>
      </c>
      <c r="C52" t="str">
        <f>IF([1]Sheet1!C88="","",[1]Sheet1!C88)</f>
        <v/>
      </c>
      <c r="D52" t="str">
        <f>IF([1]Sheet1!D88="","",[1]Sheet1!D88)</f>
        <v>200</v>
      </c>
      <c r="E52" t="str">
        <f>IF([1]Sheet1!E88="","",[1]Sheet1!E88)</f>
        <v>20</v>
      </c>
      <c r="F52" t="str">
        <f>IF([1]Sheet1!F88="","",[1]Sheet1!F88)</f>
        <v>180</v>
      </c>
      <c r="G52" t="str">
        <f>IF([1]Sheet1!G88="","",[1]Sheet1!G88)</f>
        <v>0</v>
      </c>
      <c r="H52" t="str">
        <f>IF([1]Sheet1!H88="","",[1]Sheet1!H88)</f>
        <v>E</v>
      </c>
      <c r="I52" t="str">
        <f>IF([1]Sheet1!I88="","",[1]Sheet1!I88)</f>
        <v/>
      </c>
      <c r="J52" t="str">
        <f>IF([1]Sheet1!J88="","",[1]Sheet1!J88)</f>
        <v/>
      </c>
      <c r="K52" t="str">
        <f>IF([1]Sheet1!K88="","",[1]Sheet1!K88)</f>
        <v/>
      </c>
      <c r="L52" t="str">
        <f>IF([1]Sheet1!L88="","",[1]Sheet1!L88)</f>
        <v/>
      </c>
      <c r="M52" t="str">
        <f>IF([1]Sheet1!M88="","",[1]Sheet1!M88)</f>
        <v/>
      </c>
      <c r="N52" t="str">
        <f>IF([1]Sheet1!N88="","",[1]Sheet1!N88)</f>
        <v/>
      </c>
      <c r="O52" t="str">
        <f>IF([1]Sheet1!O88="","",[1]Sheet1!O88)</f>
        <v>RÉ</v>
      </c>
      <c r="P52" t="str">
        <f>IF([1]Sheet1!P88="","",[1]Sheet1!P88)</f>
        <v>83</v>
      </c>
    </row>
    <row r="53" spans="1:16" x14ac:dyDescent="0.25">
      <c r="A53" t="str">
        <f>IF([1]Sheet1!A89="","",[1]Sheet1!A89)</f>
        <v>e7</v>
      </c>
      <c r="B53" t="str">
        <f>IF([1]Sheet1!B89="","",[1]Sheet1!B89)</f>
        <v>1</v>
      </c>
      <c r="C53" t="str">
        <f>IF([1]Sheet1!C89="","",[1]Sheet1!C89)</f>
        <v/>
      </c>
      <c r="D53" t="str">
        <f>IF([1]Sheet1!D89="","",[1]Sheet1!D89)</f>
        <v>200</v>
      </c>
      <c r="E53" t="str">
        <f>IF([1]Sheet1!E89="","",[1]Sheet1!E89)</f>
        <v/>
      </c>
      <c r="F53" t="str">
        <f>IF([1]Sheet1!F89="","",[1]Sheet1!F89)</f>
        <v>0</v>
      </c>
      <c r="G53" t="str">
        <f>IF([1]Sheet1!G89="","",[1]Sheet1!G89)</f>
        <v>2</v>
      </c>
      <c r="H53" t="str">
        <f>IF([1]Sheet1!H89="","",[1]Sheet1!H89)</f>
        <v>E</v>
      </c>
      <c r="I53" t="str">
        <f>IF([1]Sheet1!I89="","",[1]Sheet1!I89)</f>
        <v>90</v>
      </c>
      <c r="J53" t="str">
        <f>IF([1]Sheet1!J89="","",[1]Sheet1!J89)</f>
        <v>36</v>
      </c>
      <c r="K53" t="str">
        <f>IF([1]Sheet1!K89="","",[1]Sheet1!K89)</f>
        <v/>
      </c>
      <c r="L53" t="str">
        <f>IF([1]Sheet1!L89="","",[1]Sheet1!L89)</f>
        <v>2000</v>
      </c>
      <c r="M53" t="str">
        <f>IF([1]Sheet1!M89="","",[1]Sheet1!M89)</f>
        <v/>
      </c>
      <c r="N53" t="str">
        <f>IF([1]Sheet1!N89="","",[1]Sheet1!N89)</f>
        <v>35,616</v>
      </c>
      <c r="O53" t="str">
        <f>IF([1]Sheet1!O89="","",[1]Sheet1!O89)</f>
        <v/>
      </c>
      <c r="P53" t="str">
        <f>IF([1]Sheet1!P89="","",[1]Sheet1!P89)</f>
        <v>84</v>
      </c>
    </row>
    <row r="54" spans="1:16" x14ac:dyDescent="0.25">
      <c r="A54" t="str">
        <f>IF([1]Sheet1!A90="","",[1]Sheet1!A90)</f>
        <v>e7</v>
      </c>
      <c r="B54" t="str">
        <f>IF([1]Sheet1!B90="","",[1]Sheet1!B90)</f>
        <v>2</v>
      </c>
      <c r="C54" t="str">
        <f>IF([1]Sheet1!C90="","",[1]Sheet1!C90)</f>
        <v/>
      </c>
      <c r="D54" t="str">
        <f>IF([1]Sheet1!D90="","",[1]Sheet1!D90)</f>
        <v>200</v>
      </c>
      <c r="E54" t="str">
        <f>IF([1]Sheet1!E90="","",[1]Sheet1!E90)</f>
        <v/>
      </c>
      <c r="F54" t="str">
        <f>IF([1]Sheet1!F90="","",[1]Sheet1!F90)</f>
        <v>0</v>
      </c>
      <c r="G54" t="str">
        <f>IF([1]Sheet1!G90="","",[1]Sheet1!G90)</f>
        <v>2</v>
      </c>
      <c r="H54" t="str">
        <f>IF([1]Sheet1!H90="","",[1]Sheet1!H90)</f>
        <v>E</v>
      </c>
      <c r="I54" t="str">
        <f>IF([1]Sheet1!I90="","",[1]Sheet1!I90)</f>
        <v>90</v>
      </c>
      <c r="J54" t="str">
        <f>IF([1]Sheet1!J90="","",[1]Sheet1!J90)</f>
        <v>22</v>
      </c>
      <c r="K54" t="str">
        <f>IF([1]Sheet1!K90="","",[1]Sheet1!K90)</f>
        <v/>
      </c>
      <c r="L54" t="str">
        <f>IF([1]Sheet1!L90="","",[1]Sheet1!L90)</f>
        <v>2000</v>
      </c>
      <c r="M54" t="str">
        <f>IF([1]Sheet1!M90="","",[1]Sheet1!M90)</f>
        <v/>
      </c>
      <c r="N54" t="str">
        <f>IF([1]Sheet1!N90="","",[1]Sheet1!N90)</f>
        <v>60,746</v>
      </c>
      <c r="O54" t="str">
        <f>IF([1]Sheet1!O90="","",[1]Sheet1!O90)</f>
        <v/>
      </c>
      <c r="P54" t="str">
        <f>IF([1]Sheet1!P90="","",[1]Sheet1!P90)</f>
        <v>85</v>
      </c>
    </row>
    <row r="55" spans="1:16" x14ac:dyDescent="0.25">
      <c r="A55" t="str">
        <f>IF([1]Sheet1!A91="","",[1]Sheet1!A91)</f>
        <v>e7</v>
      </c>
      <c r="B55" t="str">
        <f>IF([1]Sheet1!B91="","",[1]Sheet1!B91)</f>
        <v>3</v>
      </c>
      <c r="C55" t="str">
        <f>IF([1]Sheet1!C91="","",[1]Sheet1!C91)</f>
        <v/>
      </c>
      <c r="D55" t="str">
        <f>IF([1]Sheet1!D91="","",[1]Sheet1!D91)</f>
        <v>200</v>
      </c>
      <c r="E55" t="str">
        <f>IF([1]Sheet1!E91="","",[1]Sheet1!E91)</f>
        <v/>
      </c>
      <c r="F55" t="str">
        <f>IF([1]Sheet1!F91="","",[1]Sheet1!F91)</f>
        <v>0</v>
      </c>
      <c r="G55" t="str">
        <f>IF([1]Sheet1!G91="","",[1]Sheet1!G91)</f>
        <v>2</v>
      </c>
      <c r="H55" t="str">
        <f>IF([1]Sheet1!H91="","",[1]Sheet1!H91)</f>
        <v>E</v>
      </c>
      <c r="I55" t="str">
        <f>IF([1]Sheet1!I91="","",[1]Sheet1!I91)</f>
        <v>90</v>
      </c>
      <c r="J55" t="str">
        <f>IF([1]Sheet1!J91="","",[1]Sheet1!J91)</f>
        <v>21</v>
      </c>
      <c r="K55" t="str">
        <f>IF([1]Sheet1!K91="","",[1]Sheet1!K91)</f>
        <v/>
      </c>
      <c r="L55" t="str">
        <f>IF([1]Sheet1!L91="","",[1]Sheet1!L91)</f>
        <v>2000</v>
      </c>
      <c r="M55" t="str">
        <f>IF([1]Sheet1!M91="","",[1]Sheet1!M91)</f>
        <v/>
      </c>
      <c r="N55" t="str">
        <f>IF([1]Sheet1!N91="","",[1]Sheet1!N91)</f>
        <v>99,938</v>
      </c>
      <c r="O55" t="str">
        <f>IF([1]Sheet1!O91="","",[1]Sheet1!O91)</f>
        <v>Poste</v>
      </c>
      <c r="P55" t="str">
        <f>IF([1]Sheet1!P91="","",[1]Sheet1!P91)</f>
        <v>86</v>
      </c>
    </row>
    <row r="56" spans="1:16" x14ac:dyDescent="0.25">
      <c r="A56" t="str">
        <f>IF([1]Sheet1!A92="","",[1]Sheet1!A92)</f>
        <v>e7</v>
      </c>
      <c r="B56" t="str">
        <f>IF([1]Sheet1!B92="","",[1]Sheet1!B92)</f>
        <v>4</v>
      </c>
      <c r="C56" t="str">
        <f>IF([1]Sheet1!C92="","",[1]Sheet1!C92)</f>
        <v/>
      </c>
      <c r="D56" t="str">
        <f>IF([1]Sheet1!D92="","",[1]Sheet1!D92)</f>
        <v>200</v>
      </c>
      <c r="E56" t="str">
        <f>IF([1]Sheet1!E92="","",[1]Sheet1!E92)</f>
        <v/>
      </c>
      <c r="F56" t="str">
        <f>IF([1]Sheet1!F92="","",[1]Sheet1!F92)</f>
        <v>0</v>
      </c>
      <c r="G56" t="str">
        <f>IF([1]Sheet1!G92="","",[1]Sheet1!G92)</f>
        <v>2</v>
      </c>
      <c r="H56" t="str">
        <f>IF([1]Sheet1!H92="","",[1]Sheet1!H92)</f>
        <v>E</v>
      </c>
      <c r="I56" t="str">
        <f>IF([1]Sheet1!I92="","",[1]Sheet1!I92)</f>
        <v>90</v>
      </c>
      <c r="J56" t="str">
        <f>IF([1]Sheet1!J92="","",[1]Sheet1!J92)</f>
        <v>15</v>
      </c>
      <c r="K56" t="str">
        <f>IF([1]Sheet1!K92="","",[1]Sheet1!K92)</f>
        <v/>
      </c>
      <c r="L56" t="str">
        <f>IF([1]Sheet1!L92="","",[1]Sheet1!L92)</f>
        <v>2000</v>
      </c>
      <c r="M56" t="str">
        <f>IF([1]Sheet1!M92="","",[1]Sheet1!M92)</f>
        <v/>
      </c>
      <c r="N56" t="str">
        <f>IF([1]Sheet1!N92="","",[1]Sheet1!N92)</f>
        <v>153,173</v>
      </c>
      <c r="O56" t="str">
        <f>IF([1]Sheet1!O92="","",[1]Sheet1!O92)</f>
        <v/>
      </c>
      <c r="P56" t="str">
        <f>IF([1]Sheet1!P92="","",[1]Sheet1!P92)</f>
        <v>87</v>
      </c>
    </row>
    <row r="57" spans="1:16" x14ac:dyDescent="0.25">
      <c r="A57" t="str">
        <f>IF([1]Sheet1!A93="","",[1]Sheet1!A93)</f>
        <v>e7</v>
      </c>
      <c r="B57" t="str">
        <f>IF([1]Sheet1!B93="","",[1]Sheet1!B93)</f>
        <v>5</v>
      </c>
      <c r="C57" t="str">
        <f>IF([1]Sheet1!C93="","",[1]Sheet1!C93)</f>
        <v/>
      </c>
      <c r="D57" t="str">
        <f>IF([1]Sheet1!D93="","",[1]Sheet1!D93)</f>
        <v>200</v>
      </c>
      <c r="E57" t="str">
        <f>IF([1]Sheet1!E93="","",[1]Sheet1!E93)</f>
        <v/>
      </c>
      <c r="F57" t="str">
        <f>IF([1]Sheet1!F93="","",[1]Sheet1!F93)</f>
        <v>0</v>
      </c>
      <c r="G57" t="str">
        <f>IF([1]Sheet1!G93="","",[1]Sheet1!G93)</f>
        <v>2</v>
      </c>
      <c r="H57" t="str">
        <f>IF([1]Sheet1!H93="","",[1]Sheet1!H93)</f>
        <v>E</v>
      </c>
      <c r="I57" t="str">
        <f>IF([1]Sheet1!I93="","",[1]Sheet1!I93)</f>
        <v>90</v>
      </c>
      <c r="J57" t="str">
        <f>IF([1]Sheet1!J93="","",[1]Sheet1!J93)</f>
        <v>19</v>
      </c>
      <c r="K57" t="str">
        <f>IF([1]Sheet1!K93="","",[1]Sheet1!K93)</f>
        <v/>
      </c>
      <c r="L57" t="str">
        <f>IF([1]Sheet1!L93="","",[1]Sheet1!L93)</f>
        <v>2000</v>
      </c>
      <c r="M57" t="str">
        <f>IF([1]Sheet1!M93="","",[1]Sheet1!M93)</f>
        <v/>
      </c>
      <c r="N57" t="str">
        <f>IF([1]Sheet1!N93="","",[1]Sheet1!N93)</f>
        <v>205,331</v>
      </c>
      <c r="O57" t="str">
        <f>IF([1]Sheet1!O93="","",[1]Sheet1!O93)</f>
        <v>Poste</v>
      </c>
      <c r="P57" t="str">
        <f>IF([1]Sheet1!P93="","",[1]Sheet1!P93)</f>
        <v>88</v>
      </c>
    </row>
    <row r="58" spans="1:16" x14ac:dyDescent="0.25">
      <c r="A58" t="str">
        <f>IF([1]Sheet1!A94="","",[1]Sheet1!A94)</f>
        <v>e7</v>
      </c>
      <c r="B58" t="str">
        <f>IF([1]Sheet1!B94="","",[1]Sheet1!B94)</f>
        <v>6</v>
      </c>
      <c r="C58" t="str">
        <f>IF([1]Sheet1!C94="","",[1]Sheet1!C94)</f>
        <v/>
      </c>
      <c r="D58" t="str">
        <f>IF([1]Sheet1!D94="","",[1]Sheet1!D94)</f>
        <v>200</v>
      </c>
      <c r="E58" t="str">
        <f>IF([1]Sheet1!E94="","",[1]Sheet1!E94)</f>
        <v/>
      </c>
      <c r="F58" t="str">
        <f>IF([1]Sheet1!F94="","",[1]Sheet1!F94)</f>
        <v>0</v>
      </c>
      <c r="G58" t="str">
        <f>IF([1]Sheet1!G94="","",[1]Sheet1!G94)</f>
        <v>2</v>
      </c>
      <c r="H58" t="str">
        <f>IF([1]Sheet1!H94="","",[1]Sheet1!H94)</f>
        <v>E</v>
      </c>
      <c r="I58" t="str">
        <f>IF([1]Sheet1!I94="","",[1]Sheet1!I94)</f>
        <v>90</v>
      </c>
      <c r="J58" t="str">
        <f>IF([1]Sheet1!J94="","",[1]Sheet1!J94)</f>
        <v>22</v>
      </c>
      <c r="K58" t="str">
        <f>IF([1]Sheet1!K94="","",[1]Sheet1!K94)</f>
        <v/>
      </c>
      <c r="L58" t="str">
        <f>IF([1]Sheet1!L94="","",[1]Sheet1!L94)</f>
        <v>2000</v>
      </c>
      <c r="M58" t="str">
        <f>IF([1]Sheet1!M94="","",[1]Sheet1!M94)</f>
        <v/>
      </c>
      <c r="N58" t="str">
        <f>IF([1]Sheet1!N94="","",[1]Sheet1!N94)</f>
        <v>257,171</v>
      </c>
      <c r="O58" t="str">
        <f>IF([1]Sheet1!O94="","",[1]Sheet1!O94)</f>
        <v/>
      </c>
      <c r="P58" t="str">
        <f>IF([1]Sheet1!P94="","",[1]Sheet1!P94)</f>
        <v>89</v>
      </c>
    </row>
    <row r="59" spans="1:16" x14ac:dyDescent="0.25">
      <c r="A59" t="str">
        <f>IF([1]Sheet1!A95="","",[1]Sheet1!A95)</f>
        <v>e7</v>
      </c>
      <c r="B59" t="str">
        <f>IF([1]Sheet1!B95="","",[1]Sheet1!B95)</f>
        <v>e8</v>
      </c>
      <c r="C59" t="str">
        <f>IF([1]Sheet1!C95="","",[1]Sheet1!C95)</f>
        <v/>
      </c>
      <c r="D59" t="str">
        <f>IF([1]Sheet1!D95="","",[1]Sheet1!D95)</f>
        <v>200</v>
      </c>
      <c r="E59" t="str">
        <f>IF([1]Sheet1!E95="","",[1]Sheet1!E95)</f>
        <v/>
      </c>
      <c r="F59" t="str">
        <f>IF([1]Sheet1!F95="","",[1]Sheet1!F95)</f>
        <v>0</v>
      </c>
      <c r="G59" t="str">
        <f>IF([1]Sheet1!G95="","",[1]Sheet1!G95)</f>
        <v>2</v>
      </c>
      <c r="H59" t="str">
        <f>IF([1]Sheet1!H95="","",[1]Sheet1!H95)</f>
        <v>E</v>
      </c>
      <c r="I59" t="str">
        <f>IF([1]Sheet1!I95="","",[1]Sheet1!I95)</f>
        <v>90</v>
      </c>
      <c r="J59" t="str">
        <f>IF([1]Sheet1!J95="","",[1]Sheet1!J95)</f>
        <v>21</v>
      </c>
      <c r="K59" t="str">
        <f>IF([1]Sheet1!K95="","",[1]Sheet1!K95)</f>
        <v/>
      </c>
      <c r="L59" t="str">
        <f>IF([1]Sheet1!L95="","",[1]Sheet1!L95)</f>
        <v>2000</v>
      </c>
      <c r="M59" t="str">
        <f>IF([1]Sheet1!M95="","",[1]Sheet1!M95)</f>
        <v/>
      </c>
      <c r="N59" t="str">
        <f>IF([1]Sheet1!N95="","",[1]Sheet1!N95)</f>
        <v>309,554</v>
      </c>
      <c r="O59" t="str">
        <f>IF([1]Sheet1!O95="","",[1]Sheet1!O95)</f>
        <v xml:space="preserve">poste </v>
      </c>
      <c r="P59" t="str">
        <f>IF([1]Sheet1!P95="","",[1]Sheet1!P95)</f>
        <v>90</v>
      </c>
    </row>
    <row r="60" spans="1:16" x14ac:dyDescent="0.25">
      <c r="A60" t="str">
        <f>IF([1]Sheet1!A96="","",[1]Sheet1!A96)</f>
        <v>e8</v>
      </c>
      <c r="B60" t="str">
        <f>IF([1]Sheet1!B96="","",[1]Sheet1!B96)</f>
        <v>e7</v>
      </c>
      <c r="C60" t="str">
        <f>IF([1]Sheet1!C96="","",[1]Sheet1!C96)</f>
        <v/>
      </c>
      <c r="D60" t="str">
        <f>IF([1]Sheet1!D96="","",[1]Sheet1!D96)</f>
        <v>200</v>
      </c>
      <c r="E60" t="str">
        <f>IF([1]Sheet1!E96="","",[1]Sheet1!E96)</f>
        <v>20</v>
      </c>
      <c r="F60" t="str">
        <f>IF([1]Sheet1!F96="","",[1]Sheet1!F96)</f>
        <v>180</v>
      </c>
      <c r="G60" t="str">
        <f>IF([1]Sheet1!G96="","",[1]Sheet1!G96)</f>
        <v>0</v>
      </c>
      <c r="H60" t="str">
        <f>IF([1]Sheet1!H96="","",[1]Sheet1!H96)</f>
        <v>E</v>
      </c>
      <c r="I60" t="str">
        <f>IF([1]Sheet1!I96="","",[1]Sheet1!I96)</f>
        <v/>
      </c>
      <c r="J60" t="str">
        <f>IF([1]Sheet1!J96="","",[1]Sheet1!J96)</f>
        <v/>
      </c>
      <c r="K60" t="str">
        <f>IF([1]Sheet1!K96="","",[1]Sheet1!K96)</f>
        <v/>
      </c>
      <c r="L60" t="str">
        <f>IF([1]Sheet1!L96="","",[1]Sheet1!L96)</f>
        <v/>
      </c>
      <c r="M60" t="str">
        <f>IF([1]Sheet1!M96="","",[1]Sheet1!M96)</f>
        <v/>
      </c>
      <c r="N60" t="str">
        <f>IF([1]Sheet1!N96="","",[1]Sheet1!N96)</f>
        <v/>
      </c>
      <c r="O60" t="str">
        <f>IF([1]Sheet1!O96="","",[1]Sheet1!O96)</f>
        <v>RÉ</v>
      </c>
      <c r="P60" t="str">
        <f>IF([1]Sheet1!P96="","",[1]Sheet1!P96)</f>
        <v>91</v>
      </c>
    </row>
    <row r="61" spans="1:16" x14ac:dyDescent="0.25">
      <c r="A61" t="str">
        <f>IF([1]Sheet1!A97="","",[1]Sheet1!A97)</f>
        <v>e8</v>
      </c>
      <c r="B61" t="str">
        <f>IF([1]Sheet1!B97="","",[1]Sheet1!B97)</f>
        <v>1</v>
      </c>
      <c r="C61" t="str">
        <f>IF([1]Sheet1!C97="","",[1]Sheet1!C97)</f>
        <v/>
      </c>
      <c r="D61" t="str">
        <f>IF([1]Sheet1!D97="","",[1]Sheet1!D97)</f>
        <v>200</v>
      </c>
      <c r="E61" t="str">
        <f>IF([1]Sheet1!E97="","",[1]Sheet1!E97)</f>
        <v/>
      </c>
      <c r="F61" t="str">
        <f>IF([1]Sheet1!F97="","",[1]Sheet1!F97)</f>
        <v>0</v>
      </c>
      <c r="G61" t="str">
        <f>IF([1]Sheet1!G97="","",[1]Sheet1!G97)</f>
        <v>4</v>
      </c>
      <c r="H61" t="str">
        <f>IF([1]Sheet1!H97="","",[1]Sheet1!H97)</f>
        <v>E</v>
      </c>
      <c r="I61" t="str">
        <f>IF([1]Sheet1!I97="","",[1]Sheet1!I97)</f>
        <v>89</v>
      </c>
      <c r="J61" t="str">
        <f>IF([1]Sheet1!J97="","",[1]Sheet1!J97)</f>
        <v>22</v>
      </c>
      <c r="K61" t="str">
        <f>IF([1]Sheet1!K97="","",[1]Sheet1!K97)</f>
        <v/>
      </c>
      <c r="L61" t="str">
        <f>IF([1]Sheet1!L97="","",[1]Sheet1!L97)</f>
        <v>2000</v>
      </c>
      <c r="M61" t="str">
        <f>IF([1]Sheet1!M97="","",[1]Sheet1!M97)</f>
        <v/>
      </c>
      <c r="N61" t="str">
        <f>IF([1]Sheet1!N97="","",[1]Sheet1!N97)</f>
        <v>40,791</v>
      </c>
      <c r="O61" t="str">
        <f>IF([1]Sheet1!O97="","",[1]Sheet1!O97)</f>
        <v/>
      </c>
      <c r="P61" t="str">
        <f>IF([1]Sheet1!P97="","",[1]Sheet1!P97)</f>
        <v>92</v>
      </c>
    </row>
    <row r="62" spans="1:16" x14ac:dyDescent="0.25">
      <c r="A62" t="str">
        <f>IF([1]Sheet1!A98="","",[1]Sheet1!A98)</f>
        <v>e8</v>
      </c>
      <c r="B62" t="str">
        <f>IF([1]Sheet1!B98="","",[1]Sheet1!B98)</f>
        <v>2</v>
      </c>
      <c r="C62" t="str">
        <f>IF([1]Sheet1!C98="","",[1]Sheet1!C98)</f>
        <v/>
      </c>
      <c r="D62" t="str">
        <f>IF([1]Sheet1!D98="","",[1]Sheet1!D98)</f>
        <v>200</v>
      </c>
      <c r="E62" t="str">
        <f>IF([1]Sheet1!E98="","",[1]Sheet1!E98)</f>
        <v/>
      </c>
      <c r="F62" t="str">
        <f>IF([1]Sheet1!F98="","",[1]Sheet1!F98)</f>
        <v>0</v>
      </c>
      <c r="G62" t="str">
        <f>IF([1]Sheet1!G98="","",[1]Sheet1!G98)</f>
        <v>4</v>
      </c>
      <c r="H62" t="str">
        <f>IF([1]Sheet1!H98="","",[1]Sheet1!H98)</f>
        <v>E</v>
      </c>
      <c r="I62" t="str">
        <f>IF([1]Sheet1!I98="","",[1]Sheet1!I98)</f>
        <v>89</v>
      </c>
      <c r="J62" t="str">
        <f>IF([1]Sheet1!J98="","",[1]Sheet1!J98)</f>
        <v>6</v>
      </c>
      <c r="K62" t="str">
        <f>IF([1]Sheet1!K98="","",[1]Sheet1!K98)</f>
        <v/>
      </c>
      <c r="L62" t="str">
        <f>IF([1]Sheet1!L98="","",[1]Sheet1!L98)</f>
        <v>2000</v>
      </c>
      <c r="M62" t="str">
        <f>IF([1]Sheet1!M98="","",[1]Sheet1!M98)</f>
        <v/>
      </c>
      <c r="N62" t="str">
        <f>IF([1]Sheet1!N98="","",[1]Sheet1!N98)</f>
        <v>102,576</v>
      </c>
      <c r="O62" t="str">
        <f>IF([1]Sheet1!O98="","",[1]Sheet1!O98)</f>
        <v>Poste</v>
      </c>
      <c r="P62" t="str">
        <f>IF([1]Sheet1!P98="","",[1]Sheet1!P98)</f>
        <v>93</v>
      </c>
    </row>
    <row r="63" spans="1:16" x14ac:dyDescent="0.25">
      <c r="A63" t="str">
        <f>IF([1]Sheet1!A99="","",[1]Sheet1!A99)</f>
        <v>e8</v>
      </c>
      <c r="B63" t="str">
        <f>IF([1]Sheet1!B99="","",[1]Sheet1!B99)</f>
        <v>3</v>
      </c>
      <c r="C63" t="str">
        <f>IF([1]Sheet1!C99="","",[1]Sheet1!C99)</f>
        <v/>
      </c>
      <c r="D63" t="str">
        <f>IF([1]Sheet1!D99="","",[1]Sheet1!D99)</f>
        <v>200</v>
      </c>
      <c r="E63" t="str">
        <f>IF([1]Sheet1!E99="","",[1]Sheet1!E99)</f>
        <v/>
      </c>
      <c r="F63" t="str">
        <f>IF([1]Sheet1!F99="","",[1]Sheet1!F99)</f>
        <v>0</v>
      </c>
      <c r="G63" t="str">
        <f>IF([1]Sheet1!G99="","",[1]Sheet1!G99)</f>
        <v>4</v>
      </c>
      <c r="H63" t="str">
        <f>IF([1]Sheet1!H99="","",[1]Sheet1!H99)</f>
        <v>E</v>
      </c>
      <c r="I63" t="str">
        <f>IF([1]Sheet1!I99="","",[1]Sheet1!I99)</f>
        <v>89</v>
      </c>
      <c r="J63" t="str">
        <f>IF([1]Sheet1!J99="","",[1]Sheet1!J99)</f>
        <v>7</v>
      </c>
      <c r="K63" t="str">
        <f>IF([1]Sheet1!K99="","",[1]Sheet1!K99)</f>
        <v/>
      </c>
      <c r="L63" t="str">
        <f>IF([1]Sheet1!L99="","",[1]Sheet1!L99)</f>
        <v>2000</v>
      </c>
      <c r="M63" t="str">
        <f>IF([1]Sheet1!M99="","",[1]Sheet1!M99)</f>
        <v/>
      </c>
      <c r="N63" t="str">
        <f>IF([1]Sheet1!N99="","",[1]Sheet1!N99)</f>
        <v>145,53</v>
      </c>
      <c r="O63" t="str">
        <f>IF([1]Sheet1!O99="","",[1]Sheet1!O99)</f>
        <v/>
      </c>
      <c r="P63" t="str">
        <f>IF([1]Sheet1!P99="","",[1]Sheet1!P99)</f>
        <v>94</v>
      </c>
    </row>
    <row r="64" spans="1:16" x14ac:dyDescent="0.25">
      <c r="A64" t="str">
        <f>IF([1]Sheet1!A100="","",[1]Sheet1!A100)</f>
        <v>e8</v>
      </c>
      <c r="B64" t="str">
        <f>IF([1]Sheet1!B100="","",[1]Sheet1!B100)</f>
        <v>4</v>
      </c>
      <c r="C64" t="str">
        <f>IF([1]Sheet1!C100="","",[1]Sheet1!C100)</f>
        <v/>
      </c>
      <c r="D64" t="str">
        <f>IF([1]Sheet1!D100="","",[1]Sheet1!D100)</f>
        <v>200</v>
      </c>
      <c r="E64" t="str">
        <f>IF([1]Sheet1!E100="","",[1]Sheet1!E100)</f>
        <v/>
      </c>
      <c r="F64" t="str">
        <f>IF([1]Sheet1!F100="","",[1]Sheet1!F100)</f>
        <v>0</v>
      </c>
      <c r="G64" t="str">
        <f>IF([1]Sheet1!G100="","",[1]Sheet1!G100)</f>
        <v>4</v>
      </c>
      <c r="H64" t="str">
        <f>IF([1]Sheet1!H100="","",[1]Sheet1!H100)</f>
        <v>E</v>
      </c>
      <c r="I64" t="str">
        <f>IF([1]Sheet1!I100="","",[1]Sheet1!I100)</f>
        <v>89</v>
      </c>
      <c r="J64" t="str">
        <f>IF([1]Sheet1!J100="","",[1]Sheet1!J100)</f>
        <v>9</v>
      </c>
      <c r="K64" t="str">
        <f>IF([1]Sheet1!K100="","",[1]Sheet1!K100)</f>
        <v/>
      </c>
      <c r="L64" t="str">
        <f>IF([1]Sheet1!L100="","",[1]Sheet1!L100)</f>
        <v>2000</v>
      </c>
      <c r="M64" t="str">
        <f>IF([1]Sheet1!M100="","",[1]Sheet1!M100)</f>
        <v/>
      </c>
      <c r="N64" t="str">
        <f>IF([1]Sheet1!N100="","",[1]Sheet1!N100)</f>
        <v>202,604</v>
      </c>
      <c r="O64" t="str">
        <f>IF([1]Sheet1!O100="","",[1]Sheet1!O100)</f>
        <v>Poste</v>
      </c>
      <c r="P64" t="str">
        <f>IF([1]Sheet1!P100="","",[1]Sheet1!P100)</f>
        <v>95</v>
      </c>
    </row>
    <row r="65" spans="1:16" x14ac:dyDescent="0.25">
      <c r="A65" t="str">
        <f>IF([1]Sheet1!A101="","",[1]Sheet1!A101)</f>
        <v>e8</v>
      </c>
      <c r="B65" t="str">
        <f>IF([1]Sheet1!B101="","",[1]Sheet1!B101)</f>
        <v>5</v>
      </c>
      <c r="C65" t="str">
        <f>IF([1]Sheet1!C101="","",[1]Sheet1!C101)</f>
        <v/>
      </c>
      <c r="D65" t="str">
        <f>IF([1]Sheet1!D101="","",[1]Sheet1!D101)</f>
        <v>200</v>
      </c>
      <c r="E65" t="str">
        <f>IF([1]Sheet1!E101="","",[1]Sheet1!E101)</f>
        <v/>
      </c>
      <c r="F65" t="str">
        <f>IF([1]Sheet1!F101="","",[1]Sheet1!F101)</f>
        <v>0</v>
      </c>
      <c r="G65" t="str">
        <f>IF([1]Sheet1!G101="","",[1]Sheet1!G101)</f>
        <v>4</v>
      </c>
      <c r="H65" t="str">
        <f>IF([1]Sheet1!H101="","",[1]Sheet1!H101)</f>
        <v>E</v>
      </c>
      <c r="I65" t="str">
        <f>IF([1]Sheet1!I101="","",[1]Sheet1!I101)</f>
        <v>89</v>
      </c>
      <c r="J65" t="str">
        <f>IF([1]Sheet1!J101="","",[1]Sheet1!J101)</f>
        <v>11</v>
      </c>
      <c r="K65" t="str">
        <f>IF([1]Sheet1!K101="","",[1]Sheet1!K101)</f>
        <v/>
      </c>
      <c r="L65" t="str">
        <f>IF([1]Sheet1!L101="","",[1]Sheet1!L101)</f>
        <v>2000</v>
      </c>
      <c r="M65" t="str">
        <f>IF([1]Sheet1!M101="","",[1]Sheet1!M101)</f>
        <v/>
      </c>
      <c r="N65" t="str">
        <f>IF([1]Sheet1!N101="","",[1]Sheet1!N101)</f>
        <v>250,158</v>
      </c>
      <c r="O65" t="str">
        <f>IF([1]Sheet1!O101="","",[1]Sheet1!O101)</f>
        <v/>
      </c>
      <c r="P65" t="str">
        <f>IF([1]Sheet1!P101="","",[1]Sheet1!P101)</f>
        <v>96</v>
      </c>
    </row>
    <row r="66" spans="1:16" x14ac:dyDescent="0.25">
      <c r="A66" t="str">
        <f>IF([1]Sheet1!A102="","",[1]Sheet1!A102)</f>
        <v>e8</v>
      </c>
      <c r="B66" t="str">
        <f>IF([1]Sheet1!B102="","",[1]Sheet1!B102)</f>
        <v>6</v>
      </c>
      <c r="C66" t="str">
        <f>IF([1]Sheet1!C102="","",[1]Sheet1!C102)</f>
        <v/>
      </c>
      <c r="D66" t="str">
        <f>IF([1]Sheet1!D102="","",[1]Sheet1!D102)</f>
        <v>200</v>
      </c>
      <c r="E66" t="str">
        <f>IF([1]Sheet1!E102="","",[1]Sheet1!E102)</f>
        <v/>
      </c>
      <c r="F66" t="str">
        <f>IF([1]Sheet1!F102="","",[1]Sheet1!F102)</f>
        <v>0</v>
      </c>
      <c r="G66" t="str">
        <f>IF([1]Sheet1!G102="","",[1]Sheet1!G102)</f>
        <v>4</v>
      </c>
      <c r="H66" t="str">
        <f>IF([1]Sheet1!H102="","",[1]Sheet1!H102)</f>
        <v>E</v>
      </c>
      <c r="I66" t="str">
        <f>IF([1]Sheet1!I102="","",[1]Sheet1!I102)</f>
        <v>89</v>
      </c>
      <c r="J66" t="str">
        <f>IF([1]Sheet1!J102="","",[1]Sheet1!J102)</f>
        <v>11</v>
      </c>
      <c r="K66" t="str">
        <f>IF([1]Sheet1!K102="","",[1]Sheet1!K102)</f>
        <v/>
      </c>
      <c r="L66" t="str">
        <f>IF([1]Sheet1!L102="","",[1]Sheet1!L102)</f>
        <v>2000</v>
      </c>
      <c r="M66" t="str">
        <f>IF([1]Sheet1!M102="","",[1]Sheet1!M102)</f>
        <v/>
      </c>
      <c r="N66" t="str">
        <f>IF([1]Sheet1!N102="","",[1]Sheet1!N102)</f>
        <v>303,014</v>
      </c>
      <c r="O66" t="str">
        <f>IF([1]Sheet1!O102="","",[1]Sheet1!O102)</f>
        <v>Poste</v>
      </c>
      <c r="P66" t="str">
        <f>IF([1]Sheet1!P102="","",[1]Sheet1!P102)</f>
        <v>97</v>
      </c>
    </row>
    <row r="67" spans="1:16" x14ac:dyDescent="0.25">
      <c r="A67" t="str">
        <f>IF([1]Sheet1!A103="","",[1]Sheet1!A103)</f>
        <v>e8</v>
      </c>
      <c r="B67" t="str">
        <f>IF([1]Sheet1!B103="","",[1]Sheet1!B103)</f>
        <v>7</v>
      </c>
      <c r="C67" t="str">
        <f>IF([1]Sheet1!C103="","",[1]Sheet1!C103)</f>
        <v/>
      </c>
      <c r="D67" t="str">
        <f>IF([1]Sheet1!D103="","",[1]Sheet1!D103)</f>
        <v>200</v>
      </c>
      <c r="E67" t="str">
        <f>IF([1]Sheet1!E103="","",[1]Sheet1!E103)</f>
        <v/>
      </c>
      <c r="F67" t="str">
        <f>IF([1]Sheet1!F103="","",[1]Sheet1!F103)</f>
        <v>0</v>
      </c>
      <c r="G67" t="str">
        <f>IF([1]Sheet1!G103="","",[1]Sheet1!G103)</f>
        <v>4</v>
      </c>
      <c r="H67" t="str">
        <f>IF([1]Sheet1!H103="","",[1]Sheet1!H103)</f>
        <v>E</v>
      </c>
      <c r="I67" t="str">
        <f>IF([1]Sheet1!I103="","",[1]Sheet1!I103)</f>
        <v>89</v>
      </c>
      <c r="J67" t="str">
        <f>IF([1]Sheet1!J103="","",[1]Sheet1!J103)</f>
        <v>15</v>
      </c>
      <c r="K67" t="str">
        <f>IF([1]Sheet1!K103="","",[1]Sheet1!K103)</f>
        <v/>
      </c>
      <c r="L67" t="str">
        <f>IF([1]Sheet1!L103="","",[1]Sheet1!L103)</f>
        <v>2000</v>
      </c>
      <c r="M67" t="str">
        <f>IF([1]Sheet1!M103="","",[1]Sheet1!M103)</f>
        <v/>
      </c>
      <c r="N67" t="str">
        <f>IF([1]Sheet1!N103="","",[1]Sheet1!N103)</f>
        <v>357,075</v>
      </c>
      <c r="O67" t="str">
        <f>IF([1]Sheet1!O103="","",[1]Sheet1!O103)</f>
        <v/>
      </c>
      <c r="P67" t="str">
        <f>IF([1]Sheet1!P103="","",[1]Sheet1!P103)</f>
        <v>98</v>
      </c>
    </row>
    <row r="68" spans="1:16" x14ac:dyDescent="0.25">
      <c r="A68" t="str">
        <f>IF([1]Sheet1!A104="","",[1]Sheet1!A104)</f>
        <v>e8</v>
      </c>
      <c r="B68" t="str">
        <f>IF([1]Sheet1!B104="","",[1]Sheet1!B104)</f>
        <v>e9</v>
      </c>
      <c r="C68" t="str">
        <f>IF([1]Sheet1!C104="","",[1]Sheet1!C104)</f>
        <v/>
      </c>
      <c r="D68" t="str">
        <f>IF([1]Sheet1!D104="","",[1]Sheet1!D104)</f>
        <v>200</v>
      </c>
      <c r="E68" t="str">
        <f>IF([1]Sheet1!E104="","",[1]Sheet1!E104)</f>
        <v/>
      </c>
      <c r="F68" t="str">
        <f>IF([1]Sheet1!F104="","",[1]Sheet1!F104)</f>
        <v>0</v>
      </c>
      <c r="G68" t="str">
        <f>IF([1]Sheet1!G104="","",[1]Sheet1!G104)</f>
        <v>4</v>
      </c>
      <c r="H68" t="str">
        <f>IF([1]Sheet1!H104="","",[1]Sheet1!H104)</f>
        <v>E</v>
      </c>
      <c r="I68" t="str">
        <f>IF([1]Sheet1!I104="","",[1]Sheet1!I104)</f>
        <v>89</v>
      </c>
      <c r="J68" t="str">
        <f>IF([1]Sheet1!J104="","",[1]Sheet1!J104)</f>
        <v>16</v>
      </c>
      <c r="K68" t="str">
        <f>IF([1]Sheet1!K104="","",[1]Sheet1!K104)</f>
        <v/>
      </c>
      <c r="L68" t="str">
        <f>IF([1]Sheet1!L104="","",[1]Sheet1!L104)</f>
        <v>2000</v>
      </c>
      <c r="M68" t="str">
        <f>IF([1]Sheet1!M104="","",[1]Sheet1!M104)</f>
        <v/>
      </c>
      <c r="N68" t="str">
        <f>IF([1]Sheet1!N104="","",[1]Sheet1!N104)</f>
        <v>401,48</v>
      </c>
      <c r="O68" t="str">
        <f>IF([1]Sheet1!O104="","",[1]Sheet1!O104)</f>
        <v xml:space="preserve">poste </v>
      </c>
      <c r="P68" t="str">
        <f>IF([1]Sheet1!P104="","",[1]Sheet1!P104)</f>
        <v>99</v>
      </c>
    </row>
    <row r="69" spans="1:16" x14ac:dyDescent="0.25">
      <c r="A69" t="str">
        <f>IF([1]Sheet1!A105="","",[1]Sheet1!A105)</f>
        <v>e9</v>
      </c>
      <c r="B69" t="str">
        <f>IF([1]Sheet1!B105="","",[1]Sheet1!B105)</f>
        <v>e8</v>
      </c>
      <c r="C69" t="str">
        <f>IF([1]Sheet1!C105="","",[1]Sheet1!C105)</f>
        <v/>
      </c>
      <c r="D69" t="str">
        <f>IF([1]Sheet1!D105="","",[1]Sheet1!D105)</f>
        <v>200</v>
      </c>
      <c r="E69" t="str">
        <f>IF([1]Sheet1!E105="","",[1]Sheet1!E105)</f>
        <v>20</v>
      </c>
      <c r="F69" t="str">
        <f>IF([1]Sheet1!F105="","",[1]Sheet1!F105)</f>
        <v>180</v>
      </c>
      <c r="G69" t="str">
        <f>IF([1]Sheet1!G105="","",[1]Sheet1!G105)</f>
        <v>0</v>
      </c>
      <c r="H69" t="str">
        <f>IF([1]Sheet1!H105="","",[1]Sheet1!H105)</f>
        <v>E</v>
      </c>
      <c r="I69" t="str">
        <f>IF([1]Sheet1!I105="","",[1]Sheet1!I105)</f>
        <v/>
      </c>
      <c r="J69" t="str">
        <f>IF([1]Sheet1!J105="","",[1]Sheet1!J105)</f>
        <v/>
      </c>
      <c r="K69" t="str">
        <f>IF([1]Sheet1!K105="","",[1]Sheet1!K105)</f>
        <v/>
      </c>
      <c r="L69" t="str">
        <f>IF([1]Sheet1!L105="","",[1]Sheet1!L105)</f>
        <v/>
      </c>
      <c r="M69" t="str">
        <f>IF([1]Sheet1!M105="","",[1]Sheet1!M105)</f>
        <v/>
      </c>
      <c r="N69" t="str">
        <f>IF([1]Sheet1!N105="","",[1]Sheet1!N105)</f>
        <v/>
      </c>
      <c r="O69" t="str">
        <f>IF([1]Sheet1!O105="","",[1]Sheet1!O105)</f>
        <v>RÉ</v>
      </c>
      <c r="P69" t="str">
        <f>IF([1]Sheet1!P105="","",[1]Sheet1!P105)</f>
        <v>100</v>
      </c>
    </row>
    <row r="70" spans="1:16" x14ac:dyDescent="0.25">
      <c r="A70" t="str">
        <f>IF([1]Sheet1!A106="","",[1]Sheet1!A106)</f>
        <v>e9</v>
      </c>
      <c r="B70" t="str">
        <f>IF([1]Sheet1!B106="","",[1]Sheet1!B106)</f>
        <v>1</v>
      </c>
      <c r="C70" t="str">
        <f>IF([1]Sheet1!C106="","",[1]Sheet1!C106)</f>
        <v/>
      </c>
      <c r="D70" t="str">
        <f>IF([1]Sheet1!D106="","",[1]Sheet1!D106)</f>
        <v>200</v>
      </c>
      <c r="E70" t="str">
        <f>IF([1]Sheet1!E106="","",[1]Sheet1!E106)</f>
        <v/>
      </c>
      <c r="F70" t="str">
        <f>IF([1]Sheet1!F106="","",[1]Sheet1!F106)</f>
        <v>0</v>
      </c>
      <c r="G70" t="str">
        <f>IF([1]Sheet1!G106="","",[1]Sheet1!G106)</f>
        <v>9</v>
      </c>
      <c r="H70" t="str">
        <f>IF([1]Sheet1!H106="","",[1]Sheet1!H106)</f>
        <v>E</v>
      </c>
      <c r="I70" t="str">
        <f>IF([1]Sheet1!I106="","",[1]Sheet1!I106)</f>
        <v>90</v>
      </c>
      <c r="J70" t="str">
        <f>IF([1]Sheet1!J106="","",[1]Sheet1!J106)</f>
        <v>5</v>
      </c>
      <c r="K70" t="str">
        <f>IF([1]Sheet1!K106="","",[1]Sheet1!K106)</f>
        <v/>
      </c>
      <c r="L70" t="str">
        <f>IF([1]Sheet1!L106="","",[1]Sheet1!L106)</f>
        <v>2000</v>
      </c>
      <c r="M70" t="str">
        <f>IF([1]Sheet1!M106="","",[1]Sheet1!M106)</f>
        <v/>
      </c>
      <c r="N70" t="str">
        <f>IF([1]Sheet1!N106="","",[1]Sheet1!N106)</f>
        <v>58,64</v>
      </c>
      <c r="O70" t="str">
        <f>IF([1]Sheet1!O106="","",[1]Sheet1!O106)</f>
        <v/>
      </c>
      <c r="P70" t="str">
        <f>IF([1]Sheet1!P106="","",[1]Sheet1!P106)</f>
        <v>101</v>
      </c>
    </row>
    <row r="71" spans="1:16" x14ac:dyDescent="0.25">
      <c r="A71" t="str">
        <f>IF([1]Sheet1!A107="","",[1]Sheet1!A107)</f>
        <v>e9</v>
      </c>
      <c r="B71" t="str">
        <f>IF([1]Sheet1!B107="","",[1]Sheet1!B107)</f>
        <v>2</v>
      </c>
      <c r="C71" t="str">
        <f>IF([1]Sheet1!C107="","",[1]Sheet1!C107)</f>
        <v/>
      </c>
      <c r="D71" t="str">
        <f>IF([1]Sheet1!D107="","",[1]Sheet1!D107)</f>
        <v>200</v>
      </c>
      <c r="E71" t="str">
        <f>IF([1]Sheet1!E107="","",[1]Sheet1!E107)</f>
        <v>5</v>
      </c>
      <c r="F71" t="str">
        <f>IF([1]Sheet1!F107="","",[1]Sheet1!F107)</f>
        <v>0</v>
      </c>
      <c r="G71" t="str">
        <f>IF([1]Sheet1!G107="","",[1]Sheet1!G107)</f>
        <v>9</v>
      </c>
      <c r="H71" t="str">
        <f>IF([1]Sheet1!H107="","",[1]Sheet1!H107)</f>
        <v>E</v>
      </c>
      <c r="I71" t="str">
        <f>IF([1]Sheet1!I107="","",[1]Sheet1!I107)</f>
        <v>89</v>
      </c>
      <c r="J71" t="str">
        <f>IF([1]Sheet1!J107="","",[1]Sheet1!J107)</f>
        <v>56</v>
      </c>
      <c r="K71" t="str">
        <f>IF([1]Sheet1!K107="","",[1]Sheet1!K107)</f>
        <v/>
      </c>
      <c r="L71" t="str">
        <f>IF([1]Sheet1!L107="","",[1]Sheet1!L107)</f>
        <v>2000</v>
      </c>
      <c r="M71" t="str">
        <f>IF([1]Sheet1!M107="","",[1]Sheet1!M107)</f>
        <v/>
      </c>
      <c r="N71" t="str">
        <f>IF([1]Sheet1!N107="","",[1]Sheet1!N107)</f>
        <v>97,545</v>
      </c>
      <c r="O71" t="str">
        <f>IF([1]Sheet1!O107="","",[1]Sheet1!O107)</f>
        <v>5fl</v>
      </c>
      <c r="P71" t="str">
        <f>IF([1]Sheet1!P107="","",[1]Sheet1!P107)</f>
        <v>102</v>
      </c>
    </row>
    <row r="72" spans="1:16" x14ac:dyDescent="0.25">
      <c r="A72" t="str">
        <f>IF([1]Sheet1!A108="","",[1]Sheet1!A108)</f>
        <v>e9</v>
      </c>
      <c r="B72" t="str">
        <f>IF([1]Sheet1!B108="","",[1]Sheet1!B108)</f>
        <v>3</v>
      </c>
      <c r="C72" t="str">
        <f>IF([1]Sheet1!C108="","",[1]Sheet1!C108)</f>
        <v/>
      </c>
      <c r="D72" t="str">
        <f>IF([1]Sheet1!D108="","",[1]Sheet1!D108)</f>
        <v>200</v>
      </c>
      <c r="E72" t="str">
        <f>IF([1]Sheet1!E108="","",[1]Sheet1!E108)</f>
        <v/>
      </c>
      <c r="F72" t="str">
        <f>IF([1]Sheet1!F108="","",[1]Sheet1!F108)</f>
        <v>0</v>
      </c>
      <c r="G72" t="str">
        <f>IF([1]Sheet1!G108="","",[1]Sheet1!G108)</f>
        <v>9</v>
      </c>
      <c r="H72" t="str">
        <f>IF([1]Sheet1!H108="","",[1]Sheet1!H108)</f>
        <v>E</v>
      </c>
      <c r="I72" t="str">
        <f>IF([1]Sheet1!I108="","",[1]Sheet1!I108)</f>
        <v>89</v>
      </c>
      <c r="J72" t="str">
        <f>IF([1]Sheet1!J108="","",[1]Sheet1!J108)</f>
        <v>44</v>
      </c>
      <c r="K72" t="str">
        <f>IF([1]Sheet1!K108="","",[1]Sheet1!K108)</f>
        <v/>
      </c>
      <c r="L72" t="str">
        <f>IF([1]Sheet1!L108="","",[1]Sheet1!L108)</f>
        <v>2000</v>
      </c>
      <c r="M72" t="str">
        <f>IF([1]Sheet1!M108="","",[1]Sheet1!M108)</f>
        <v/>
      </c>
      <c r="N72" t="str">
        <f>IF([1]Sheet1!N108="","",[1]Sheet1!N108)</f>
        <v>101,116</v>
      </c>
      <c r="O72" t="str">
        <f>IF([1]Sheet1!O108="","",[1]Sheet1!O108)</f>
        <v>Poste</v>
      </c>
      <c r="P72" t="str">
        <f>IF([1]Sheet1!P108="","",[1]Sheet1!P108)</f>
        <v>103</v>
      </c>
    </row>
    <row r="73" spans="1:16" x14ac:dyDescent="0.25">
      <c r="A73" t="str">
        <f>IF([1]Sheet1!A109="","",[1]Sheet1!A109)</f>
        <v>e9</v>
      </c>
      <c r="B73" t="str">
        <f>IF([1]Sheet1!B109="","",[1]Sheet1!B109)</f>
        <v>4</v>
      </c>
      <c r="C73" t="str">
        <f>IF([1]Sheet1!C109="","",[1]Sheet1!C109)</f>
        <v/>
      </c>
      <c r="D73" t="str">
        <f>IF([1]Sheet1!D109="","",[1]Sheet1!D109)</f>
        <v>200</v>
      </c>
      <c r="E73" t="str">
        <f>IF([1]Sheet1!E109="","",[1]Sheet1!E109)</f>
        <v>3</v>
      </c>
      <c r="F73" t="str">
        <f>IF([1]Sheet1!F109="","",[1]Sheet1!F109)</f>
        <v>0</v>
      </c>
      <c r="G73" t="str">
        <f>IF([1]Sheet1!G109="","",[1]Sheet1!G109)</f>
        <v>9</v>
      </c>
      <c r="H73" t="str">
        <f>IF([1]Sheet1!H109="","",[1]Sheet1!H109)</f>
        <v>E</v>
      </c>
      <c r="I73" t="str">
        <f>IF([1]Sheet1!I109="","",[1]Sheet1!I109)</f>
        <v>89</v>
      </c>
      <c r="J73" t="str">
        <f>IF([1]Sheet1!J109="","",[1]Sheet1!J109)</f>
        <v>54</v>
      </c>
      <c r="K73" t="str">
        <f>IF([1]Sheet1!K109="","",[1]Sheet1!K109)</f>
        <v/>
      </c>
      <c r="L73" t="str">
        <f>IF([1]Sheet1!L109="","",[1]Sheet1!L109)</f>
        <v>2000</v>
      </c>
      <c r="M73" t="str">
        <f>IF([1]Sheet1!M109="","",[1]Sheet1!M109)</f>
        <v/>
      </c>
      <c r="N73" t="str">
        <f>IF([1]Sheet1!N109="","",[1]Sheet1!N109)</f>
        <v>114,357</v>
      </c>
      <c r="O73" t="str">
        <f>IF([1]Sheet1!O109="","",[1]Sheet1!O109)</f>
        <v xml:space="preserve">estrada </v>
      </c>
      <c r="P73" t="str">
        <f>IF([1]Sheet1!P109="","",[1]Sheet1!P109)</f>
        <v>104</v>
      </c>
    </row>
    <row r="74" spans="1:16" x14ac:dyDescent="0.25">
      <c r="A74" t="str">
        <f>IF([1]Sheet1!A110="","",[1]Sheet1!A110)</f>
        <v>e9</v>
      </c>
      <c r="B74" t="str">
        <f>IF([1]Sheet1!B110="","",[1]Sheet1!B110)</f>
        <v>5</v>
      </c>
      <c r="C74" t="str">
        <f>IF([1]Sheet1!C110="","",[1]Sheet1!C110)</f>
        <v/>
      </c>
      <c r="D74" t="str">
        <f>IF([1]Sheet1!D110="","",[1]Sheet1!D110)</f>
        <v>200</v>
      </c>
      <c r="E74" t="str">
        <f>IF([1]Sheet1!E110="","",[1]Sheet1!E110)</f>
        <v>3</v>
      </c>
      <c r="F74" t="str">
        <f>IF([1]Sheet1!F110="","",[1]Sheet1!F110)</f>
        <v>0</v>
      </c>
      <c r="G74" t="str">
        <f>IF([1]Sheet1!G110="","",[1]Sheet1!G110)</f>
        <v>9</v>
      </c>
      <c r="H74" t="str">
        <f>IF([1]Sheet1!H110="","",[1]Sheet1!H110)</f>
        <v>E</v>
      </c>
      <c r="I74" t="str">
        <f>IF([1]Sheet1!I110="","",[1]Sheet1!I110)</f>
        <v>90</v>
      </c>
      <c r="J74" t="str">
        <f>IF([1]Sheet1!J110="","",[1]Sheet1!J110)</f>
        <v>0</v>
      </c>
      <c r="K74" t="str">
        <f>IF([1]Sheet1!K110="","",[1]Sheet1!K110)</f>
        <v/>
      </c>
      <c r="L74" t="str">
        <f>IF([1]Sheet1!L110="","",[1]Sheet1!L110)</f>
        <v>2000</v>
      </c>
      <c r="M74" t="str">
        <f>IF([1]Sheet1!M110="","",[1]Sheet1!M110)</f>
        <v/>
      </c>
      <c r="N74" t="str">
        <f>IF([1]Sheet1!N110="","",[1]Sheet1!N110)</f>
        <v>139,823</v>
      </c>
      <c r="O74" t="str">
        <f>IF([1]Sheet1!O110="","",[1]Sheet1!O110)</f>
        <v xml:space="preserve">estrada </v>
      </c>
      <c r="P74" t="str">
        <f>IF([1]Sheet1!P110="","",[1]Sheet1!P110)</f>
        <v>105</v>
      </c>
    </row>
    <row r="75" spans="1:16" x14ac:dyDescent="0.25">
      <c r="A75" t="str">
        <f>IF([1]Sheet1!A111="","",[1]Sheet1!A111)</f>
        <v>e9</v>
      </c>
      <c r="B75" t="str">
        <f>IF([1]Sheet1!B111="","",[1]Sheet1!B111)</f>
        <v>6</v>
      </c>
      <c r="C75" t="str">
        <f>IF([1]Sheet1!C111="","",[1]Sheet1!C111)</f>
        <v/>
      </c>
      <c r="D75" t="str">
        <f>IF([1]Sheet1!D111="","",[1]Sheet1!D111)</f>
        <v>200</v>
      </c>
      <c r="E75" t="str">
        <f>IF([1]Sheet1!E111="","",[1]Sheet1!E111)</f>
        <v>5</v>
      </c>
      <c r="F75" t="str">
        <f>IF([1]Sheet1!F111="","",[1]Sheet1!F111)</f>
        <v>0</v>
      </c>
      <c r="G75" t="str">
        <f>IF([1]Sheet1!G111="","",[1]Sheet1!G111)</f>
        <v>9</v>
      </c>
      <c r="H75" t="str">
        <f>IF([1]Sheet1!H111="","",[1]Sheet1!H111)</f>
        <v>E</v>
      </c>
      <c r="I75" t="str">
        <f>IF([1]Sheet1!I111="","",[1]Sheet1!I111)</f>
        <v>89</v>
      </c>
      <c r="J75" t="str">
        <f>IF([1]Sheet1!J111="","",[1]Sheet1!J111)</f>
        <v>54</v>
      </c>
      <c r="K75" t="str">
        <f>IF([1]Sheet1!K111="","",[1]Sheet1!K111)</f>
        <v/>
      </c>
      <c r="L75" t="str">
        <f>IF([1]Sheet1!L111="","",[1]Sheet1!L111)</f>
        <v>2000</v>
      </c>
      <c r="M75" t="str">
        <f>IF([1]Sheet1!M111="","",[1]Sheet1!M111)</f>
        <v/>
      </c>
      <c r="N75" t="str">
        <f>IF([1]Sheet1!N111="","",[1]Sheet1!N111)</f>
        <v>158,559</v>
      </c>
      <c r="O75" t="str">
        <f>IF([1]Sheet1!O111="","",[1]Sheet1!O111)</f>
        <v>5fl</v>
      </c>
      <c r="P75" t="str">
        <f>IF([1]Sheet1!P111="","",[1]Sheet1!P111)</f>
        <v>106</v>
      </c>
    </row>
    <row r="76" spans="1:16" x14ac:dyDescent="0.25">
      <c r="A76" t="str">
        <f>IF([1]Sheet1!A112="","",[1]Sheet1!A112)</f>
        <v>e9</v>
      </c>
      <c r="B76" t="str">
        <f>IF([1]Sheet1!B112="","",[1]Sheet1!B112)</f>
        <v>7</v>
      </c>
      <c r="C76" t="str">
        <f>IF([1]Sheet1!C112="","",[1]Sheet1!C112)</f>
        <v/>
      </c>
      <c r="D76" t="str">
        <f>IF([1]Sheet1!D112="","",[1]Sheet1!D112)</f>
        <v>200</v>
      </c>
      <c r="E76" t="str">
        <f>IF([1]Sheet1!E112="","",[1]Sheet1!E112)</f>
        <v/>
      </c>
      <c r="F76" t="str">
        <f>IF([1]Sheet1!F112="","",[1]Sheet1!F112)</f>
        <v>0</v>
      </c>
      <c r="G76" t="str">
        <f>IF([1]Sheet1!G112="","",[1]Sheet1!G112)</f>
        <v>9</v>
      </c>
      <c r="H76" t="str">
        <f>IF([1]Sheet1!H112="","",[1]Sheet1!H112)</f>
        <v>E</v>
      </c>
      <c r="I76" t="str">
        <f>IF([1]Sheet1!I112="","",[1]Sheet1!I112)</f>
        <v>90</v>
      </c>
      <c r="J76" t="str">
        <f>IF([1]Sheet1!J112="","",[1]Sheet1!J112)</f>
        <v>1</v>
      </c>
      <c r="K76" t="str">
        <f>IF([1]Sheet1!K112="","",[1]Sheet1!K112)</f>
        <v/>
      </c>
      <c r="L76" t="str">
        <f>IF([1]Sheet1!L112="","",[1]Sheet1!L112)</f>
        <v>2000</v>
      </c>
      <c r="M76" t="str">
        <f>IF([1]Sheet1!M112="","",[1]Sheet1!M112)</f>
        <v/>
      </c>
      <c r="N76" t="str">
        <f>IF([1]Sheet1!N112="","",[1]Sheet1!N112)</f>
        <v>200,432</v>
      </c>
      <c r="O76" t="str">
        <f>IF([1]Sheet1!O112="","",[1]Sheet1!O112)</f>
        <v>Poste</v>
      </c>
      <c r="P76" t="str">
        <f>IF([1]Sheet1!P112="","",[1]Sheet1!P112)</f>
        <v>107</v>
      </c>
    </row>
    <row r="77" spans="1:16" x14ac:dyDescent="0.25">
      <c r="A77" t="str">
        <f>IF([1]Sheet1!A113="","",[1]Sheet1!A113)</f>
        <v>e9</v>
      </c>
      <c r="B77" t="str">
        <f>IF([1]Sheet1!B113="","",[1]Sheet1!B113)</f>
        <v>8</v>
      </c>
      <c r="C77" t="str">
        <f>IF([1]Sheet1!C113="","",[1]Sheet1!C113)</f>
        <v/>
      </c>
      <c r="D77" t="str">
        <f>IF([1]Sheet1!D113="","",[1]Sheet1!D113)</f>
        <v>200</v>
      </c>
      <c r="E77" t="str">
        <f>IF([1]Sheet1!E113="","",[1]Sheet1!E113)</f>
        <v/>
      </c>
      <c r="F77" t="str">
        <f>IF([1]Sheet1!F113="","",[1]Sheet1!F113)</f>
        <v>0</v>
      </c>
      <c r="G77" t="str">
        <f>IF([1]Sheet1!G113="","",[1]Sheet1!G113)</f>
        <v>9</v>
      </c>
      <c r="H77" t="str">
        <f>IF([1]Sheet1!H113="","",[1]Sheet1!H113)</f>
        <v>E</v>
      </c>
      <c r="I77" t="str">
        <f>IF([1]Sheet1!I113="","",[1]Sheet1!I113)</f>
        <v>90</v>
      </c>
      <c r="J77" t="str">
        <f>IF([1]Sheet1!J113="","",[1]Sheet1!J113)</f>
        <v>2</v>
      </c>
      <c r="K77" t="str">
        <f>IF([1]Sheet1!K113="","",[1]Sheet1!K113)</f>
        <v/>
      </c>
      <c r="L77" t="str">
        <f>IF([1]Sheet1!L113="","",[1]Sheet1!L113)</f>
        <v>2000</v>
      </c>
      <c r="M77" t="str">
        <f>IF([1]Sheet1!M113="","",[1]Sheet1!M113)</f>
        <v/>
      </c>
      <c r="N77" t="str">
        <f>IF([1]Sheet1!N113="","",[1]Sheet1!N113)</f>
        <v>246,5</v>
      </c>
      <c r="O77" t="str">
        <f>IF([1]Sheet1!O113="","",[1]Sheet1!O113)</f>
        <v/>
      </c>
      <c r="P77" t="str">
        <f>IF([1]Sheet1!P113="","",[1]Sheet1!P113)</f>
        <v>108</v>
      </c>
    </row>
    <row r="78" spans="1:16" x14ac:dyDescent="0.25">
      <c r="A78" t="str">
        <f>IF([1]Sheet1!A114="","",[1]Sheet1!A114)</f>
        <v>e9</v>
      </c>
      <c r="B78" t="str">
        <f>IF([1]Sheet1!B114="","",[1]Sheet1!B114)</f>
        <v>9</v>
      </c>
      <c r="C78" t="str">
        <f>IF([1]Sheet1!C114="","",[1]Sheet1!C114)</f>
        <v/>
      </c>
      <c r="D78" t="str">
        <f>IF([1]Sheet1!D114="","",[1]Sheet1!D114)</f>
        <v>200</v>
      </c>
      <c r="E78" t="str">
        <f>IF([1]Sheet1!E114="","",[1]Sheet1!E114)</f>
        <v/>
      </c>
      <c r="F78" t="str">
        <f>IF([1]Sheet1!F114="","",[1]Sheet1!F114)</f>
        <v>0</v>
      </c>
      <c r="G78" t="str">
        <f>IF([1]Sheet1!G114="","",[1]Sheet1!G114)</f>
        <v>9</v>
      </c>
      <c r="H78" t="str">
        <f>IF([1]Sheet1!H114="","",[1]Sheet1!H114)</f>
        <v>E</v>
      </c>
      <c r="I78" t="str">
        <f>IF([1]Sheet1!I114="","",[1]Sheet1!I114)</f>
        <v>90</v>
      </c>
      <c r="J78" t="str">
        <f>IF([1]Sheet1!J114="","",[1]Sheet1!J114)</f>
        <v>7</v>
      </c>
      <c r="K78" t="str">
        <f>IF([1]Sheet1!K114="","",[1]Sheet1!K114)</f>
        <v/>
      </c>
      <c r="L78" t="str">
        <f>IF([1]Sheet1!L114="","",[1]Sheet1!L114)</f>
        <v>2000</v>
      </c>
      <c r="M78" t="str">
        <f>IF([1]Sheet1!M114="","",[1]Sheet1!M114)</f>
        <v/>
      </c>
      <c r="N78" t="str">
        <f>IF([1]Sheet1!N114="","",[1]Sheet1!N114)</f>
        <v>302,005</v>
      </c>
      <c r="O78" t="str">
        <f>IF([1]Sheet1!O114="","",[1]Sheet1!O114)</f>
        <v>Poste</v>
      </c>
      <c r="P78" t="str">
        <f>IF([1]Sheet1!P114="","",[1]Sheet1!P114)</f>
        <v>109</v>
      </c>
    </row>
    <row r="79" spans="1:16" x14ac:dyDescent="0.25">
      <c r="A79" t="str">
        <f>IF([1]Sheet1!A115="","",[1]Sheet1!A115)</f>
        <v>e9</v>
      </c>
      <c r="B79" t="str">
        <f>IF([1]Sheet1!B115="","",[1]Sheet1!B115)</f>
        <v>10</v>
      </c>
      <c r="C79" t="str">
        <f>IF([1]Sheet1!C115="","",[1]Sheet1!C115)</f>
        <v/>
      </c>
      <c r="D79" t="str">
        <f>IF([1]Sheet1!D115="","",[1]Sheet1!D115)</f>
        <v>200</v>
      </c>
      <c r="E79" t="str">
        <f>IF([1]Sheet1!E115="","",[1]Sheet1!E115)</f>
        <v/>
      </c>
      <c r="F79" t="str">
        <f>IF([1]Sheet1!F115="","",[1]Sheet1!F115)</f>
        <v>0</v>
      </c>
      <c r="G79" t="str">
        <f>IF([1]Sheet1!G115="","",[1]Sheet1!G115)</f>
        <v>9</v>
      </c>
      <c r="H79" t="str">
        <f>IF([1]Sheet1!H115="","",[1]Sheet1!H115)</f>
        <v>E</v>
      </c>
      <c r="I79" t="str">
        <f>IF([1]Sheet1!I115="","",[1]Sheet1!I115)</f>
        <v>90</v>
      </c>
      <c r="J79" t="str">
        <f>IF([1]Sheet1!J115="","",[1]Sheet1!J115)</f>
        <v>9</v>
      </c>
      <c r="K79" t="str">
        <f>IF([1]Sheet1!K115="","",[1]Sheet1!K115)</f>
        <v/>
      </c>
      <c r="L79" t="str">
        <f>IF([1]Sheet1!L115="","",[1]Sheet1!L115)</f>
        <v>2000</v>
      </c>
      <c r="M79" t="str">
        <f>IF([1]Sheet1!M115="","",[1]Sheet1!M115)</f>
        <v/>
      </c>
      <c r="N79" t="str">
        <f>IF([1]Sheet1!N115="","",[1]Sheet1!N115)</f>
        <v>351,23</v>
      </c>
      <c r="O79" t="str">
        <f>IF([1]Sheet1!O115="","",[1]Sheet1!O115)</f>
        <v/>
      </c>
      <c r="P79" t="str">
        <f>IF([1]Sheet1!P115="","",[1]Sheet1!P115)</f>
        <v>110</v>
      </c>
    </row>
    <row r="80" spans="1:16" x14ac:dyDescent="0.25">
      <c r="A80" t="str">
        <f>IF([1]Sheet1!A116="","",[1]Sheet1!A116)</f>
        <v>e9</v>
      </c>
      <c r="B80" t="str">
        <f>IF([1]Sheet1!B116="","",[1]Sheet1!B116)</f>
        <v>e10</v>
      </c>
      <c r="C80" t="str">
        <f>IF([1]Sheet1!C116="","",[1]Sheet1!C116)</f>
        <v/>
      </c>
      <c r="D80" t="str">
        <f>IF([1]Sheet1!D116="","",[1]Sheet1!D116)</f>
        <v>200</v>
      </c>
      <c r="E80" t="str">
        <f>IF([1]Sheet1!E116="","",[1]Sheet1!E116)</f>
        <v/>
      </c>
      <c r="F80" t="str">
        <f>IF([1]Sheet1!F116="","",[1]Sheet1!F116)</f>
        <v>0</v>
      </c>
      <c r="G80" t="str">
        <f>IF([1]Sheet1!G116="","",[1]Sheet1!G116)</f>
        <v>9</v>
      </c>
      <c r="H80" t="str">
        <f>IF([1]Sheet1!H116="","",[1]Sheet1!H116)</f>
        <v>E</v>
      </c>
      <c r="I80" t="str">
        <f>IF([1]Sheet1!I116="","",[1]Sheet1!I116)</f>
        <v>90</v>
      </c>
      <c r="J80" t="str">
        <f>IF([1]Sheet1!J116="","",[1]Sheet1!J116)</f>
        <v>9</v>
      </c>
      <c r="K80" t="str">
        <f>IF([1]Sheet1!K116="","",[1]Sheet1!K116)</f>
        <v/>
      </c>
      <c r="L80" t="str">
        <f>IF([1]Sheet1!L116="","",[1]Sheet1!L116)</f>
        <v>2000</v>
      </c>
      <c r="M80" t="str">
        <f>IF([1]Sheet1!M116="","",[1]Sheet1!M116)</f>
        <v/>
      </c>
      <c r="N80" t="str">
        <f>IF([1]Sheet1!N116="","",[1]Sheet1!N116)</f>
        <v>400,673</v>
      </c>
      <c r="O80" t="str">
        <f>IF([1]Sheet1!O116="","",[1]Sheet1!O116)</f>
        <v xml:space="preserve">poste </v>
      </c>
      <c r="P80" t="str">
        <f>IF([1]Sheet1!P116="","",[1]Sheet1!P116)</f>
        <v>111</v>
      </c>
    </row>
    <row r="81" spans="1:16" x14ac:dyDescent="0.25">
      <c r="A81" t="str">
        <f>IF([1]Sheet1!A117="","",[1]Sheet1!A117)</f>
        <v>e10</v>
      </c>
      <c r="B81" t="str">
        <f>IF([1]Sheet1!B117="","",[1]Sheet1!B117)</f>
        <v>e9</v>
      </c>
      <c r="C81" t="str">
        <f>IF([1]Sheet1!C117="","",[1]Sheet1!C117)</f>
        <v/>
      </c>
      <c r="D81" t="str">
        <f>IF([1]Sheet1!D117="","",[1]Sheet1!D117)</f>
        <v>200</v>
      </c>
      <c r="E81" t="str">
        <f>IF([1]Sheet1!E117="","",[1]Sheet1!E117)</f>
        <v>20</v>
      </c>
      <c r="F81" t="str">
        <f>IF([1]Sheet1!F117="","",[1]Sheet1!F117)</f>
        <v>180</v>
      </c>
      <c r="G81" t="str">
        <f>IF([1]Sheet1!G117="","",[1]Sheet1!G117)</f>
        <v>0</v>
      </c>
      <c r="H81" t="str">
        <f>IF([1]Sheet1!H117="","",[1]Sheet1!H117)</f>
        <v>E</v>
      </c>
      <c r="I81" t="str">
        <f>IF([1]Sheet1!I117="","",[1]Sheet1!I117)</f>
        <v/>
      </c>
      <c r="J81" t="str">
        <f>IF([1]Sheet1!J117="","",[1]Sheet1!J117)</f>
        <v/>
      </c>
      <c r="K81" t="str">
        <f>IF([1]Sheet1!K117="","",[1]Sheet1!K117)</f>
        <v/>
      </c>
      <c r="L81" t="str">
        <f>IF([1]Sheet1!L117="","",[1]Sheet1!L117)</f>
        <v/>
      </c>
      <c r="M81" t="str">
        <f>IF([1]Sheet1!M117="","",[1]Sheet1!M117)</f>
        <v/>
      </c>
      <c r="N81" t="str">
        <f>IF([1]Sheet1!N117="","",[1]Sheet1!N117)</f>
        <v/>
      </c>
      <c r="O81" t="str">
        <f>IF([1]Sheet1!O117="","",[1]Sheet1!O117)</f>
        <v>RÉ</v>
      </c>
      <c r="P81" t="str">
        <f>IF([1]Sheet1!P117="","",[1]Sheet1!P117)</f>
        <v>112</v>
      </c>
    </row>
    <row r="82" spans="1:16" x14ac:dyDescent="0.25">
      <c r="A82" t="str">
        <f>IF([1]Sheet1!A118="","",[1]Sheet1!A118)</f>
        <v>e10</v>
      </c>
      <c r="B82" t="str">
        <f>IF([1]Sheet1!B118="","",[1]Sheet1!B118)</f>
        <v>1</v>
      </c>
      <c r="C82" t="str">
        <f>IF([1]Sheet1!C118="","",[1]Sheet1!C118)</f>
        <v/>
      </c>
      <c r="D82" t="str">
        <f>IF([1]Sheet1!D118="","",[1]Sheet1!D118)</f>
        <v>200</v>
      </c>
      <c r="E82" t="str">
        <f>IF([1]Sheet1!E118="","",[1]Sheet1!E118)</f>
        <v>5</v>
      </c>
      <c r="F82" t="str">
        <f>IF([1]Sheet1!F118="","",[1]Sheet1!F118)</f>
        <v>0</v>
      </c>
      <c r="G82" t="str">
        <f>IF([1]Sheet1!G118="","",[1]Sheet1!G118)</f>
        <v>4</v>
      </c>
      <c r="H82" t="str">
        <f>IF([1]Sheet1!H118="","",[1]Sheet1!H118)</f>
        <v>E</v>
      </c>
      <c r="I82" t="str">
        <f>IF([1]Sheet1!I118="","",[1]Sheet1!I118)</f>
        <v>90</v>
      </c>
      <c r="J82" t="str">
        <f>IF([1]Sheet1!J118="","",[1]Sheet1!J118)</f>
        <v>20</v>
      </c>
      <c r="K82" t="str">
        <f>IF([1]Sheet1!K118="","",[1]Sheet1!K118)</f>
        <v/>
      </c>
      <c r="L82" t="str">
        <f>IF([1]Sheet1!L118="","",[1]Sheet1!L118)</f>
        <v>2000</v>
      </c>
      <c r="M82" t="str">
        <f>IF([1]Sheet1!M118="","",[1]Sheet1!M118)</f>
        <v/>
      </c>
      <c r="N82" t="str">
        <f>IF([1]Sheet1!N118="","",[1]Sheet1!N118)</f>
        <v>38,921</v>
      </c>
      <c r="O82" t="str">
        <f>IF([1]Sheet1!O118="","",[1]Sheet1!O118)</f>
        <v xml:space="preserve">5fl divisa </v>
      </c>
      <c r="P82" t="str">
        <f>IF([1]Sheet1!P118="","",[1]Sheet1!P118)</f>
        <v>113</v>
      </c>
    </row>
    <row r="83" spans="1:16" x14ac:dyDescent="0.25">
      <c r="A83" t="str">
        <f>IF([1]Sheet1!A119="","",[1]Sheet1!A119)</f>
        <v>e10</v>
      </c>
      <c r="B83" t="str">
        <f>IF([1]Sheet1!B119="","",[1]Sheet1!B119)</f>
        <v>2</v>
      </c>
      <c r="C83" t="str">
        <f>IF([1]Sheet1!C119="","",[1]Sheet1!C119)</f>
        <v/>
      </c>
      <c r="D83" t="str">
        <f>IF([1]Sheet1!D119="","",[1]Sheet1!D119)</f>
        <v>200</v>
      </c>
      <c r="E83" t="str">
        <f>IF([1]Sheet1!E119="","",[1]Sheet1!E119)</f>
        <v>3</v>
      </c>
      <c r="F83" t="str">
        <f>IF([1]Sheet1!F119="","",[1]Sheet1!F119)</f>
        <v>0</v>
      </c>
      <c r="G83" t="str">
        <f>IF([1]Sheet1!G119="","",[1]Sheet1!G119)</f>
        <v>4</v>
      </c>
      <c r="H83" t="str">
        <f>IF([1]Sheet1!H119="","",[1]Sheet1!H119)</f>
        <v>E</v>
      </c>
      <c r="I83" t="str">
        <f>IF([1]Sheet1!I119="","",[1]Sheet1!I119)</f>
        <v>90</v>
      </c>
      <c r="J83" t="str">
        <f>IF([1]Sheet1!J119="","",[1]Sheet1!J119)</f>
        <v>10</v>
      </c>
      <c r="K83" t="str">
        <f>IF([1]Sheet1!K119="","",[1]Sheet1!K119)</f>
        <v/>
      </c>
      <c r="L83" t="str">
        <f>IF([1]Sheet1!L119="","",[1]Sheet1!L119)</f>
        <v>2000</v>
      </c>
      <c r="M83" t="str">
        <f>IF([1]Sheet1!M119="","",[1]Sheet1!M119)</f>
        <v/>
      </c>
      <c r="N83" t="str">
        <f>IF([1]Sheet1!N119="","",[1]Sheet1!N119)</f>
        <v>40,433</v>
      </c>
      <c r="O83" t="str">
        <f>IF([1]Sheet1!O119="","",[1]Sheet1!O119)</f>
        <v xml:space="preserve">estrada </v>
      </c>
      <c r="P83" t="str">
        <f>IF([1]Sheet1!P119="","",[1]Sheet1!P119)</f>
        <v>114</v>
      </c>
    </row>
    <row r="84" spans="1:16" x14ac:dyDescent="0.25">
      <c r="A84" t="str">
        <f>IF([1]Sheet1!A120="","",[1]Sheet1!A120)</f>
        <v>e10</v>
      </c>
      <c r="B84" t="str">
        <f>IF([1]Sheet1!B120="","",[1]Sheet1!B120)</f>
        <v>3</v>
      </c>
      <c r="C84" t="str">
        <f>IF([1]Sheet1!C120="","",[1]Sheet1!C120)</f>
        <v/>
      </c>
      <c r="D84" t="str">
        <f>IF([1]Sheet1!D120="","",[1]Sheet1!D120)</f>
        <v>200</v>
      </c>
      <c r="E84" t="str">
        <f>IF([1]Sheet1!E120="","",[1]Sheet1!E120)</f>
        <v>3</v>
      </c>
      <c r="F84" t="str">
        <f>IF([1]Sheet1!F120="","",[1]Sheet1!F120)</f>
        <v>0</v>
      </c>
      <c r="G84" t="str">
        <f>IF([1]Sheet1!G120="","",[1]Sheet1!G120)</f>
        <v>4</v>
      </c>
      <c r="H84" t="str">
        <f>IF([1]Sheet1!H120="","",[1]Sheet1!H120)</f>
        <v>E</v>
      </c>
      <c r="I84" t="str">
        <f>IF([1]Sheet1!I120="","",[1]Sheet1!I120)</f>
        <v>90</v>
      </c>
      <c r="J84" t="str">
        <f>IF([1]Sheet1!J120="","",[1]Sheet1!J120)</f>
        <v>36</v>
      </c>
      <c r="K84" t="str">
        <f>IF([1]Sheet1!K120="","",[1]Sheet1!K120)</f>
        <v/>
      </c>
      <c r="L84" t="str">
        <f>IF([1]Sheet1!L120="","",[1]Sheet1!L120)</f>
        <v>2000</v>
      </c>
      <c r="M84" t="str">
        <f>IF([1]Sheet1!M120="","",[1]Sheet1!M120)</f>
        <v/>
      </c>
      <c r="N84" t="str">
        <f>IF([1]Sheet1!N120="","",[1]Sheet1!N120)</f>
        <v>44,531</v>
      </c>
      <c r="O84" t="str">
        <f>IF([1]Sheet1!O120="","",[1]Sheet1!O120)</f>
        <v xml:space="preserve">estrada </v>
      </c>
      <c r="P84" t="str">
        <f>IF([1]Sheet1!P120="","",[1]Sheet1!P120)</f>
        <v>115</v>
      </c>
    </row>
    <row r="85" spans="1:16" x14ac:dyDescent="0.25">
      <c r="A85" t="str">
        <f>IF([1]Sheet1!A121="","",[1]Sheet1!A121)</f>
        <v>e10</v>
      </c>
      <c r="B85" t="str">
        <f>IF([1]Sheet1!B121="","",[1]Sheet1!B121)</f>
        <v>4</v>
      </c>
      <c r="C85" t="str">
        <f>IF([1]Sheet1!C121="","",[1]Sheet1!C121)</f>
        <v/>
      </c>
      <c r="D85" t="str">
        <f>IF([1]Sheet1!D121="","",[1]Sheet1!D121)</f>
        <v>200</v>
      </c>
      <c r="E85" t="str">
        <f>IF([1]Sheet1!E121="","",[1]Sheet1!E121)</f>
        <v>5</v>
      </c>
      <c r="F85" t="str">
        <f>IF([1]Sheet1!F121="","",[1]Sheet1!F121)</f>
        <v>0</v>
      </c>
      <c r="G85" t="str">
        <f>IF([1]Sheet1!G121="","",[1]Sheet1!G121)</f>
        <v>4</v>
      </c>
      <c r="H85" t="str">
        <f>IF([1]Sheet1!H121="","",[1]Sheet1!H121)</f>
        <v>E</v>
      </c>
      <c r="I85" t="str">
        <f>IF([1]Sheet1!I121="","",[1]Sheet1!I121)</f>
        <v>90</v>
      </c>
      <c r="J85" t="str">
        <f>IF([1]Sheet1!J121="","",[1]Sheet1!J121)</f>
        <v>40</v>
      </c>
      <c r="K85" t="str">
        <f>IF([1]Sheet1!K121="","",[1]Sheet1!K121)</f>
        <v/>
      </c>
      <c r="L85" t="str">
        <f>IF([1]Sheet1!L121="","",[1]Sheet1!L121)</f>
        <v>2000</v>
      </c>
      <c r="M85" t="str">
        <f>IF([1]Sheet1!M121="","",[1]Sheet1!M121)</f>
        <v/>
      </c>
      <c r="N85" t="str">
        <f>IF([1]Sheet1!N121="","",[1]Sheet1!N121)</f>
        <v>46,15</v>
      </c>
      <c r="O85" t="str">
        <f>IF([1]Sheet1!O121="","",[1]Sheet1!O121)</f>
        <v>7fl</v>
      </c>
      <c r="P85" t="str">
        <f>IF([1]Sheet1!P121="","",[1]Sheet1!P121)</f>
        <v>116</v>
      </c>
    </row>
    <row r="86" spans="1:16" x14ac:dyDescent="0.25">
      <c r="A86" t="str">
        <f>IF([1]Sheet1!A122="","",[1]Sheet1!A122)</f>
        <v>e10</v>
      </c>
      <c r="B86" t="str">
        <f>IF([1]Sheet1!B122="","",[1]Sheet1!B122)</f>
        <v>5</v>
      </c>
      <c r="C86" t="str">
        <f>IF([1]Sheet1!C122="","",[1]Sheet1!C122)</f>
        <v/>
      </c>
      <c r="D86" t="str">
        <f>IF([1]Sheet1!D122="","",[1]Sheet1!D122)</f>
        <v>200</v>
      </c>
      <c r="E86" t="str">
        <f>IF([1]Sheet1!E122="","",[1]Sheet1!E122)</f>
        <v/>
      </c>
      <c r="F86" t="str">
        <f>IF([1]Sheet1!F122="","",[1]Sheet1!F122)</f>
        <v>0</v>
      </c>
      <c r="G86" t="str">
        <f>IF([1]Sheet1!G122="","",[1]Sheet1!G122)</f>
        <v>4</v>
      </c>
      <c r="H86" t="str">
        <f>IF([1]Sheet1!H122="","",[1]Sheet1!H122)</f>
        <v>E</v>
      </c>
      <c r="I86" t="str">
        <f>IF([1]Sheet1!I122="","",[1]Sheet1!I122)</f>
        <v>90</v>
      </c>
      <c r="J86" t="str">
        <f>IF([1]Sheet1!J122="","",[1]Sheet1!J122)</f>
        <v>4</v>
      </c>
      <c r="K86" t="str">
        <f>IF([1]Sheet1!K122="","",[1]Sheet1!K122)</f>
        <v/>
      </c>
      <c r="L86" t="str">
        <f>IF([1]Sheet1!L122="","",[1]Sheet1!L122)</f>
        <v>2000</v>
      </c>
      <c r="M86" t="str">
        <f>IF([1]Sheet1!M122="","",[1]Sheet1!M122)</f>
        <v/>
      </c>
      <c r="N86" t="str">
        <f>IF([1]Sheet1!N122="","",[1]Sheet1!N122)</f>
        <v>77,013</v>
      </c>
      <c r="O86" t="str">
        <f>IF([1]Sheet1!O122="","",[1]Sheet1!O122)</f>
        <v/>
      </c>
      <c r="P86" t="str">
        <f>IF([1]Sheet1!P122="","",[1]Sheet1!P122)</f>
        <v>117</v>
      </c>
    </row>
    <row r="87" spans="1:16" x14ac:dyDescent="0.25">
      <c r="A87" t="str">
        <f>IF([1]Sheet1!A123="","",[1]Sheet1!A123)</f>
        <v>e10</v>
      </c>
      <c r="B87" t="str">
        <f>IF([1]Sheet1!B123="","",[1]Sheet1!B123)</f>
        <v>6</v>
      </c>
      <c r="C87" t="str">
        <f>IF([1]Sheet1!C123="","",[1]Sheet1!C123)</f>
        <v/>
      </c>
      <c r="D87" t="str">
        <f>IF([1]Sheet1!D123="","",[1]Sheet1!D123)</f>
        <v>200</v>
      </c>
      <c r="E87" t="str">
        <f>IF([1]Sheet1!E123="","",[1]Sheet1!E123)</f>
        <v/>
      </c>
      <c r="F87" t="str">
        <f>IF([1]Sheet1!F123="","",[1]Sheet1!F123)</f>
        <v>0</v>
      </c>
      <c r="G87" t="str">
        <f>IF([1]Sheet1!G123="","",[1]Sheet1!G123)</f>
        <v>4</v>
      </c>
      <c r="H87" t="str">
        <f>IF([1]Sheet1!H123="","",[1]Sheet1!H123)</f>
        <v>E</v>
      </c>
      <c r="I87" t="str">
        <f>IF([1]Sheet1!I123="","",[1]Sheet1!I123)</f>
        <v>90</v>
      </c>
      <c r="J87" t="str">
        <f>IF([1]Sheet1!J123="","",[1]Sheet1!J123)</f>
        <v>9</v>
      </c>
      <c r="K87" t="str">
        <f>IF([1]Sheet1!K123="","",[1]Sheet1!K123)</f>
        <v/>
      </c>
      <c r="L87" t="str">
        <f>IF([1]Sheet1!L123="","",[1]Sheet1!L123)</f>
        <v>2000</v>
      </c>
      <c r="M87" t="str">
        <f>IF([1]Sheet1!M123="","",[1]Sheet1!M123)</f>
        <v/>
      </c>
      <c r="N87" t="str">
        <f>IF([1]Sheet1!N123="","",[1]Sheet1!N123)</f>
        <v>105,651</v>
      </c>
      <c r="O87" t="str">
        <f>IF([1]Sheet1!O123="","",[1]Sheet1!O123)</f>
        <v>Poste</v>
      </c>
      <c r="P87" t="str">
        <f>IF([1]Sheet1!P123="","",[1]Sheet1!P123)</f>
        <v>118</v>
      </c>
    </row>
    <row r="88" spans="1:16" x14ac:dyDescent="0.25">
      <c r="A88" t="str">
        <f>IF([1]Sheet1!A124="","",[1]Sheet1!A124)</f>
        <v>e10</v>
      </c>
      <c r="B88" t="str">
        <f>IF([1]Sheet1!B124="","",[1]Sheet1!B124)</f>
        <v>7</v>
      </c>
      <c r="C88" t="str">
        <f>IF([1]Sheet1!C124="","",[1]Sheet1!C124)</f>
        <v/>
      </c>
      <c r="D88" t="str">
        <f>IF([1]Sheet1!D124="","",[1]Sheet1!D124)</f>
        <v>200</v>
      </c>
      <c r="E88" t="str">
        <f>IF([1]Sheet1!E124="","",[1]Sheet1!E124)</f>
        <v/>
      </c>
      <c r="F88" t="str">
        <f>IF([1]Sheet1!F124="","",[1]Sheet1!F124)</f>
        <v>0</v>
      </c>
      <c r="G88" t="str">
        <f>IF([1]Sheet1!G124="","",[1]Sheet1!G124)</f>
        <v>4</v>
      </c>
      <c r="H88" t="str">
        <f>IF([1]Sheet1!H124="","",[1]Sheet1!H124)</f>
        <v>E</v>
      </c>
      <c r="I88" t="str">
        <f>IF([1]Sheet1!I124="","",[1]Sheet1!I124)</f>
        <v>90</v>
      </c>
      <c r="J88" t="str">
        <f>IF([1]Sheet1!J124="","",[1]Sheet1!J124)</f>
        <v>25</v>
      </c>
      <c r="K88" t="str">
        <f>IF([1]Sheet1!K124="","",[1]Sheet1!K124)</f>
        <v/>
      </c>
      <c r="L88" t="str">
        <f>IF([1]Sheet1!L124="","",[1]Sheet1!L124)</f>
        <v>2000</v>
      </c>
      <c r="M88" t="str">
        <f>IF([1]Sheet1!M124="","",[1]Sheet1!M124)</f>
        <v/>
      </c>
      <c r="N88" t="str">
        <f>IF([1]Sheet1!N124="","",[1]Sheet1!N124)</f>
        <v>150,998</v>
      </c>
      <c r="O88" t="str">
        <f>IF([1]Sheet1!O124="","",[1]Sheet1!O124)</f>
        <v/>
      </c>
      <c r="P88" t="str">
        <f>IF([1]Sheet1!P124="","",[1]Sheet1!P124)</f>
        <v>119</v>
      </c>
    </row>
    <row r="89" spans="1:16" x14ac:dyDescent="0.25">
      <c r="A89" t="str">
        <f>IF([1]Sheet1!A125="","",[1]Sheet1!A125)</f>
        <v>e10</v>
      </c>
      <c r="B89" t="str">
        <f>IF([1]Sheet1!B125="","",[1]Sheet1!B125)</f>
        <v>8</v>
      </c>
      <c r="C89" t="str">
        <f>IF([1]Sheet1!C125="","",[1]Sheet1!C125)</f>
        <v/>
      </c>
      <c r="D89" t="str">
        <f>IF([1]Sheet1!D125="","",[1]Sheet1!D125)</f>
        <v>200</v>
      </c>
      <c r="E89" t="str">
        <f>IF([1]Sheet1!E125="","",[1]Sheet1!E125)</f>
        <v/>
      </c>
      <c r="F89" t="str">
        <f>IF([1]Sheet1!F125="","",[1]Sheet1!F125)</f>
        <v>0</v>
      </c>
      <c r="G89" t="str">
        <f>IF([1]Sheet1!G125="","",[1]Sheet1!G125)</f>
        <v>4</v>
      </c>
      <c r="H89" t="str">
        <f>IF([1]Sheet1!H125="","",[1]Sheet1!H125)</f>
        <v>E</v>
      </c>
      <c r="I89" t="str">
        <f>IF([1]Sheet1!I125="","",[1]Sheet1!I125)</f>
        <v>90</v>
      </c>
      <c r="J89" t="str">
        <f>IF([1]Sheet1!J125="","",[1]Sheet1!J125)</f>
        <v>34</v>
      </c>
      <c r="K89" t="str">
        <f>IF([1]Sheet1!K125="","",[1]Sheet1!K125)</f>
        <v/>
      </c>
      <c r="L89" t="str">
        <f>IF([1]Sheet1!L125="","",[1]Sheet1!L125)</f>
        <v>2000</v>
      </c>
      <c r="M89" t="str">
        <f>IF([1]Sheet1!M125="","",[1]Sheet1!M125)</f>
        <v/>
      </c>
      <c r="N89" t="str">
        <f>IF([1]Sheet1!N125="","",[1]Sheet1!N125)</f>
        <v>186,756</v>
      </c>
      <c r="O89" t="str">
        <f>IF([1]Sheet1!O125="","",[1]Sheet1!O125)</f>
        <v>Poste</v>
      </c>
      <c r="P89" t="str">
        <f>IF([1]Sheet1!P125="","",[1]Sheet1!P125)</f>
        <v>120</v>
      </c>
    </row>
    <row r="90" spans="1:16" x14ac:dyDescent="0.25">
      <c r="A90" t="str">
        <f>IF([1]Sheet1!A126="","",[1]Sheet1!A126)</f>
        <v>e10</v>
      </c>
      <c r="B90" t="str">
        <f>IF([1]Sheet1!B126="","",[1]Sheet1!B126)</f>
        <v>9</v>
      </c>
      <c r="C90" t="str">
        <f>IF([1]Sheet1!C126="","",[1]Sheet1!C126)</f>
        <v/>
      </c>
      <c r="D90" t="str">
        <f>IF([1]Sheet1!D126="","",[1]Sheet1!D126)</f>
        <v>200</v>
      </c>
      <c r="E90" t="str">
        <f>IF([1]Sheet1!E126="","",[1]Sheet1!E126)</f>
        <v/>
      </c>
      <c r="F90" t="str">
        <f>IF([1]Sheet1!F126="","",[1]Sheet1!F126)</f>
        <v>0</v>
      </c>
      <c r="G90" t="str">
        <f>IF([1]Sheet1!G126="","",[1]Sheet1!G126)</f>
        <v>4</v>
      </c>
      <c r="H90" t="str">
        <f>IF([1]Sheet1!H126="","",[1]Sheet1!H126)</f>
        <v>E</v>
      </c>
      <c r="I90" t="str">
        <f>IF([1]Sheet1!I126="","",[1]Sheet1!I126)</f>
        <v>90</v>
      </c>
      <c r="J90" t="str">
        <f>IF([1]Sheet1!J126="","",[1]Sheet1!J126)</f>
        <v>40</v>
      </c>
      <c r="K90" t="str">
        <f>IF([1]Sheet1!K126="","",[1]Sheet1!K126)</f>
        <v/>
      </c>
      <c r="L90" t="str">
        <f>IF([1]Sheet1!L126="","",[1]Sheet1!L126)</f>
        <v>2000</v>
      </c>
      <c r="M90" t="str">
        <f>IF([1]Sheet1!M126="","",[1]Sheet1!M126)</f>
        <v/>
      </c>
      <c r="N90" t="str">
        <f>IF([1]Sheet1!N126="","",[1]Sheet1!N126)</f>
        <v>216,465</v>
      </c>
      <c r="O90" t="str">
        <f>IF([1]Sheet1!O126="","",[1]Sheet1!O126)</f>
        <v/>
      </c>
      <c r="P90" t="str">
        <f>IF([1]Sheet1!P126="","",[1]Sheet1!P126)</f>
        <v>121</v>
      </c>
    </row>
    <row r="91" spans="1:16" x14ac:dyDescent="0.25">
      <c r="A91" t="str">
        <f>IF([1]Sheet1!A127="","",[1]Sheet1!A127)</f>
        <v>e10</v>
      </c>
      <c r="B91" t="str">
        <f>IF([1]Sheet1!B127="","",[1]Sheet1!B127)</f>
        <v>10</v>
      </c>
      <c r="C91" t="str">
        <f>IF([1]Sheet1!C127="","",[1]Sheet1!C127)</f>
        <v/>
      </c>
      <c r="D91" t="str">
        <f>IF([1]Sheet1!D127="","",[1]Sheet1!D127)</f>
        <v>200</v>
      </c>
      <c r="E91" t="str">
        <f>IF([1]Sheet1!E127="","",[1]Sheet1!E127)</f>
        <v/>
      </c>
      <c r="F91" t="str">
        <f>IF([1]Sheet1!F127="","",[1]Sheet1!F127)</f>
        <v>0</v>
      </c>
      <c r="G91" t="str">
        <f>IF([1]Sheet1!G127="","",[1]Sheet1!G127)</f>
        <v>4</v>
      </c>
      <c r="H91" t="str">
        <f>IF([1]Sheet1!H127="","",[1]Sheet1!H127)</f>
        <v>E</v>
      </c>
      <c r="I91" t="str">
        <f>IF([1]Sheet1!I127="","",[1]Sheet1!I127)</f>
        <v>90</v>
      </c>
      <c r="J91" t="str">
        <f>IF([1]Sheet1!J127="","",[1]Sheet1!J127)</f>
        <v>36</v>
      </c>
      <c r="K91" t="str">
        <f>IF([1]Sheet1!K127="","",[1]Sheet1!K127)</f>
        <v/>
      </c>
      <c r="L91" t="str">
        <f>IF([1]Sheet1!L127="","",[1]Sheet1!L127)</f>
        <v>2000</v>
      </c>
      <c r="M91" t="str">
        <f>IF([1]Sheet1!M127="","",[1]Sheet1!M127)</f>
        <v/>
      </c>
      <c r="N91" t="str">
        <f>IF([1]Sheet1!N127="","",[1]Sheet1!N127)</f>
        <v>252,743</v>
      </c>
      <c r="O91" t="str">
        <f>IF([1]Sheet1!O127="","",[1]Sheet1!O127)</f>
        <v/>
      </c>
      <c r="P91" t="str">
        <f>IF([1]Sheet1!P127="","",[1]Sheet1!P127)</f>
        <v>122</v>
      </c>
    </row>
    <row r="92" spans="1:16" x14ac:dyDescent="0.25">
      <c r="A92" t="str">
        <f>IF([1]Sheet1!A128="","",[1]Sheet1!A128)</f>
        <v>e10</v>
      </c>
      <c r="B92" t="str">
        <f>IF([1]Sheet1!B128="","",[1]Sheet1!B128)</f>
        <v>11</v>
      </c>
      <c r="C92" t="str">
        <f>IF([1]Sheet1!C128="","",[1]Sheet1!C128)</f>
        <v/>
      </c>
      <c r="D92" t="str">
        <f>IF([1]Sheet1!D128="","",[1]Sheet1!D128)</f>
        <v>200</v>
      </c>
      <c r="E92" t="str">
        <f>IF([1]Sheet1!E128="","",[1]Sheet1!E128)</f>
        <v/>
      </c>
      <c r="F92" t="str">
        <f>IF([1]Sheet1!F128="","",[1]Sheet1!F128)</f>
        <v>0</v>
      </c>
      <c r="G92" t="str">
        <f>IF([1]Sheet1!G128="","",[1]Sheet1!G128)</f>
        <v>4</v>
      </c>
      <c r="H92" t="str">
        <f>IF([1]Sheet1!H128="","",[1]Sheet1!H128)</f>
        <v>E</v>
      </c>
      <c r="I92" t="str">
        <f>IF([1]Sheet1!I128="","",[1]Sheet1!I128)</f>
        <v>90</v>
      </c>
      <c r="J92" t="str">
        <f>IF([1]Sheet1!J128="","",[1]Sheet1!J128)</f>
        <v>20</v>
      </c>
      <c r="K92" t="str">
        <f>IF([1]Sheet1!K128="","",[1]Sheet1!K128)</f>
        <v/>
      </c>
      <c r="L92" t="str">
        <f>IF([1]Sheet1!L128="","",[1]Sheet1!L128)</f>
        <v>2000</v>
      </c>
      <c r="M92" t="str">
        <f>IF([1]Sheet1!M128="","",[1]Sheet1!M128)</f>
        <v/>
      </c>
      <c r="N92" t="str">
        <f>IF([1]Sheet1!N128="","",[1]Sheet1!N128)</f>
        <v>283,337</v>
      </c>
      <c r="O92" t="str">
        <f>IF([1]Sheet1!O128="","",[1]Sheet1!O128)</f>
        <v>Poste</v>
      </c>
      <c r="P92" t="str">
        <f>IF([1]Sheet1!P128="","",[1]Sheet1!P128)</f>
        <v>123</v>
      </c>
    </row>
    <row r="93" spans="1:16" x14ac:dyDescent="0.25">
      <c r="A93" t="str">
        <f>IF([1]Sheet1!A129="","",[1]Sheet1!A129)</f>
        <v>e10</v>
      </c>
      <c r="B93" t="str">
        <f>IF([1]Sheet1!B129="","",[1]Sheet1!B129)</f>
        <v>12</v>
      </c>
      <c r="C93" t="str">
        <f>IF([1]Sheet1!C129="","",[1]Sheet1!C129)</f>
        <v/>
      </c>
      <c r="D93" t="str">
        <f>IF([1]Sheet1!D129="","",[1]Sheet1!D129)</f>
        <v>200</v>
      </c>
      <c r="E93" t="str">
        <f>IF([1]Sheet1!E129="","",[1]Sheet1!E129)</f>
        <v>5</v>
      </c>
      <c r="F93" t="str">
        <f>IF([1]Sheet1!F129="","",[1]Sheet1!F129)</f>
        <v>0</v>
      </c>
      <c r="G93" t="str">
        <f>IF([1]Sheet1!G129="","",[1]Sheet1!G129)</f>
        <v>4</v>
      </c>
      <c r="H93" t="str">
        <f>IF([1]Sheet1!H129="","",[1]Sheet1!H129)</f>
        <v>E</v>
      </c>
      <c r="I93" t="str">
        <f>IF([1]Sheet1!I129="","",[1]Sheet1!I129)</f>
        <v>90</v>
      </c>
      <c r="J93" t="str">
        <f>IF([1]Sheet1!J129="","",[1]Sheet1!J129)</f>
        <v>24</v>
      </c>
      <c r="K93" t="str">
        <f>IF([1]Sheet1!K129="","",[1]Sheet1!K129)</f>
        <v/>
      </c>
      <c r="L93" t="str">
        <f>IF([1]Sheet1!L129="","",[1]Sheet1!L129)</f>
        <v>2000</v>
      </c>
      <c r="M93" t="str">
        <f>IF([1]Sheet1!M129="","",[1]Sheet1!M129)</f>
        <v/>
      </c>
      <c r="N93" t="str">
        <f>IF([1]Sheet1!N129="","",[1]Sheet1!N129)</f>
        <v>288,127</v>
      </c>
      <c r="O93" t="str">
        <f>IF([1]Sheet1!O129="","",[1]Sheet1!O129)</f>
        <v>6fl</v>
      </c>
      <c r="P93" t="str">
        <f>IF([1]Sheet1!P129="","",[1]Sheet1!P129)</f>
        <v>124</v>
      </c>
    </row>
    <row r="94" spans="1:16" x14ac:dyDescent="0.25">
      <c r="A94" t="str">
        <f>IF([1]Sheet1!A130="","",[1]Sheet1!A130)</f>
        <v>e10</v>
      </c>
      <c r="B94" t="str">
        <f>IF([1]Sheet1!B130="","",[1]Sheet1!B130)</f>
        <v>13</v>
      </c>
      <c r="C94" t="str">
        <f>IF([1]Sheet1!C130="","",[1]Sheet1!C130)</f>
        <v/>
      </c>
      <c r="D94" t="str">
        <f>IF([1]Sheet1!D130="","",[1]Sheet1!D130)</f>
        <v>200</v>
      </c>
      <c r="E94" t="str">
        <f>IF([1]Sheet1!E130="","",[1]Sheet1!E130)</f>
        <v>25</v>
      </c>
      <c r="F94" t="str">
        <f>IF([1]Sheet1!F130="","",[1]Sheet1!F130)</f>
        <v>0</v>
      </c>
      <c r="G94" t="str">
        <f>IF([1]Sheet1!G130="","",[1]Sheet1!G130)</f>
        <v>4</v>
      </c>
      <c r="H94" t="str">
        <f>IF([1]Sheet1!H130="","",[1]Sheet1!H130)</f>
        <v>E</v>
      </c>
      <c r="I94" t="str">
        <f>IF([1]Sheet1!I130="","",[1]Sheet1!I130)</f>
        <v>90</v>
      </c>
      <c r="J94" t="str">
        <f>IF([1]Sheet1!J130="","",[1]Sheet1!J130)</f>
        <v>25</v>
      </c>
      <c r="K94" t="str">
        <f>IF([1]Sheet1!K130="","",[1]Sheet1!K130)</f>
        <v/>
      </c>
      <c r="L94" t="str">
        <f>IF([1]Sheet1!L130="","",[1]Sheet1!L130)</f>
        <v>2000</v>
      </c>
      <c r="M94" t="str">
        <f>IF([1]Sheet1!M130="","",[1]Sheet1!M130)</f>
        <v/>
      </c>
      <c r="N94" t="str">
        <f>IF([1]Sheet1!N130="","",[1]Sheet1!N130)</f>
        <v>288,796</v>
      </c>
      <c r="O94" t="str">
        <f>IF([1]Sheet1!O130="","",[1]Sheet1!O130)</f>
        <v xml:space="preserve">grota </v>
      </c>
      <c r="P94" t="str">
        <f>IF([1]Sheet1!P130="","",[1]Sheet1!P130)</f>
        <v>125</v>
      </c>
    </row>
    <row r="95" spans="1:16" x14ac:dyDescent="0.25">
      <c r="A95" t="str">
        <f>IF([1]Sheet1!A131="","",[1]Sheet1!A131)</f>
        <v>e10</v>
      </c>
      <c r="B95" t="str">
        <f>IF([1]Sheet1!B131="","",[1]Sheet1!B131)</f>
        <v>14</v>
      </c>
      <c r="C95" t="str">
        <f>IF([1]Sheet1!C131="","",[1]Sheet1!C131)</f>
        <v/>
      </c>
      <c r="D95" t="str">
        <f>IF([1]Sheet1!D131="","",[1]Sheet1!D131)</f>
        <v>200</v>
      </c>
      <c r="E95" t="str">
        <f>IF([1]Sheet1!E131="","",[1]Sheet1!E131)</f>
        <v>25</v>
      </c>
      <c r="F95" t="str">
        <f>IF([1]Sheet1!F131="","",[1]Sheet1!F131)</f>
        <v>0</v>
      </c>
      <c r="G95" t="str">
        <f>IF([1]Sheet1!G131="","",[1]Sheet1!G131)</f>
        <v>4</v>
      </c>
      <c r="H95" t="str">
        <f>IF([1]Sheet1!H131="","",[1]Sheet1!H131)</f>
        <v>E</v>
      </c>
      <c r="I95" t="str">
        <f>IF([1]Sheet1!I131="","",[1]Sheet1!I131)</f>
        <v>90</v>
      </c>
      <c r="J95" t="str">
        <f>IF([1]Sheet1!J131="","",[1]Sheet1!J131)</f>
        <v>18</v>
      </c>
      <c r="K95" t="str">
        <f>IF([1]Sheet1!K131="","",[1]Sheet1!K131)</f>
        <v/>
      </c>
      <c r="L95" t="str">
        <f>IF([1]Sheet1!L131="","",[1]Sheet1!L131)</f>
        <v>2000</v>
      </c>
      <c r="M95" t="str">
        <f>IF([1]Sheet1!M131="","",[1]Sheet1!M131)</f>
        <v/>
      </c>
      <c r="N95" t="str">
        <f>IF([1]Sheet1!N131="","",[1]Sheet1!N131)</f>
        <v>312,602</v>
      </c>
      <c r="O95" t="str">
        <f>IF([1]Sheet1!O131="","",[1]Sheet1!O131)</f>
        <v xml:space="preserve">grota </v>
      </c>
      <c r="P95" t="str">
        <f>IF([1]Sheet1!P131="","",[1]Sheet1!P131)</f>
        <v>126</v>
      </c>
    </row>
    <row r="96" spans="1:16" x14ac:dyDescent="0.25">
      <c r="A96" t="str">
        <f>IF([1]Sheet1!A132="","",[1]Sheet1!A132)</f>
        <v>e10</v>
      </c>
      <c r="B96" t="str">
        <f>IF([1]Sheet1!B132="","",[1]Sheet1!B132)</f>
        <v>15</v>
      </c>
      <c r="C96" t="str">
        <f>IF([1]Sheet1!C132="","",[1]Sheet1!C132)</f>
        <v/>
      </c>
      <c r="D96" t="str">
        <f>IF([1]Sheet1!D132="","",[1]Sheet1!D132)</f>
        <v>200</v>
      </c>
      <c r="E96" t="str">
        <f>IF([1]Sheet1!E132="","",[1]Sheet1!E132)</f>
        <v>5</v>
      </c>
      <c r="F96" t="str">
        <f>IF([1]Sheet1!F132="","",[1]Sheet1!F132)</f>
        <v>0</v>
      </c>
      <c r="G96" t="str">
        <f>IF([1]Sheet1!G132="","",[1]Sheet1!G132)</f>
        <v>4</v>
      </c>
      <c r="H96" t="str">
        <f>IF([1]Sheet1!H132="","",[1]Sheet1!H132)</f>
        <v>E</v>
      </c>
      <c r="I96" t="str">
        <f>IF([1]Sheet1!I132="","",[1]Sheet1!I132)</f>
        <v>90</v>
      </c>
      <c r="J96" t="str">
        <f>IF([1]Sheet1!J132="","",[1]Sheet1!J132)</f>
        <v>17</v>
      </c>
      <c r="K96" t="str">
        <f>IF([1]Sheet1!K132="","",[1]Sheet1!K132)</f>
        <v/>
      </c>
      <c r="L96" t="str">
        <f>IF([1]Sheet1!L132="","",[1]Sheet1!L132)</f>
        <v>2000</v>
      </c>
      <c r="M96" t="str">
        <f>IF([1]Sheet1!M132="","",[1]Sheet1!M132)</f>
        <v/>
      </c>
      <c r="N96" t="str">
        <f>IF([1]Sheet1!N132="","",[1]Sheet1!N132)</f>
        <v>315,531</v>
      </c>
      <c r="O96" t="str">
        <f>IF([1]Sheet1!O132="","",[1]Sheet1!O132)</f>
        <v>3fl</v>
      </c>
      <c r="P96" t="str">
        <f>IF([1]Sheet1!P132="","",[1]Sheet1!P132)</f>
        <v>127</v>
      </c>
    </row>
    <row r="97" spans="1:16" x14ac:dyDescent="0.25">
      <c r="A97" t="str">
        <f>IF([1]Sheet1!A133="","",[1]Sheet1!A133)</f>
        <v>e10</v>
      </c>
      <c r="B97" t="str">
        <f>IF([1]Sheet1!B133="","",[1]Sheet1!B133)</f>
        <v>16</v>
      </c>
      <c r="C97" t="str">
        <f>IF([1]Sheet1!C133="","",[1]Sheet1!C133)</f>
        <v/>
      </c>
      <c r="D97" t="str">
        <f>IF([1]Sheet1!D133="","",[1]Sheet1!D133)</f>
        <v>200</v>
      </c>
      <c r="E97" t="str">
        <f>IF([1]Sheet1!E133="","",[1]Sheet1!E133)</f>
        <v/>
      </c>
      <c r="F97" t="str">
        <f>IF([1]Sheet1!F133="","",[1]Sheet1!F133)</f>
        <v>0</v>
      </c>
      <c r="G97" t="str">
        <f>IF([1]Sheet1!G133="","",[1]Sheet1!G133)</f>
        <v>4</v>
      </c>
      <c r="H97" t="str">
        <f>IF([1]Sheet1!H133="","",[1]Sheet1!H133)</f>
        <v>E</v>
      </c>
      <c r="I97" t="str">
        <f>IF([1]Sheet1!I133="","",[1]Sheet1!I133)</f>
        <v>90</v>
      </c>
      <c r="J97" t="str">
        <f>IF([1]Sheet1!J133="","",[1]Sheet1!J133)</f>
        <v>8</v>
      </c>
      <c r="K97" t="str">
        <f>IF([1]Sheet1!K133="","",[1]Sheet1!K133)</f>
        <v/>
      </c>
      <c r="L97" t="str">
        <f>IF([1]Sheet1!L133="","",[1]Sheet1!L133)</f>
        <v>2000</v>
      </c>
      <c r="M97" t="str">
        <f>IF([1]Sheet1!M133="","",[1]Sheet1!M133)</f>
        <v/>
      </c>
      <c r="N97" t="str">
        <f>IF([1]Sheet1!N133="","",[1]Sheet1!N133)</f>
        <v>352,219</v>
      </c>
      <c r="O97" t="str">
        <f>IF([1]Sheet1!O133="","",[1]Sheet1!O133)</f>
        <v/>
      </c>
      <c r="P97" t="str">
        <f>IF([1]Sheet1!P133="","",[1]Sheet1!P133)</f>
        <v>128</v>
      </c>
    </row>
    <row r="98" spans="1:16" x14ac:dyDescent="0.25">
      <c r="A98" t="str">
        <f>IF([1]Sheet1!A134="","",[1]Sheet1!A134)</f>
        <v>e10</v>
      </c>
      <c r="B98" t="str">
        <f>IF([1]Sheet1!B134="","",[1]Sheet1!B134)</f>
        <v>17</v>
      </c>
      <c r="C98" t="str">
        <f>IF([1]Sheet1!C134="","",[1]Sheet1!C134)</f>
        <v/>
      </c>
      <c r="D98" t="str">
        <f>IF([1]Sheet1!D134="","",[1]Sheet1!D134)</f>
        <v>200</v>
      </c>
      <c r="E98" t="str">
        <f>IF([1]Sheet1!E134="","",[1]Sheet1!E134)</f>
        <v/>
      </c>
      <c r="F98" t="str">
        <f>IF([1]Sheet1!F134="","",[1]Sheet1!F134)</f>
        <v>0</v>
      </c>
      <c r="G98" t="str">
        <f>IF([1]Sheet1!G134="","",[1]Sheet1!G134)</f>
        <v>4</v>
      </c>
      <c r="H98" t="str">
        <f>IF([1]Sheet1!H134="","",[1]Sheet1!H134)</f>
        <v>E</v>
      </c>
      <c r="I98" t="str">
        <f>IF([1]Sheet1!I134="","",[1]Sheet1!I134)</f>
        <v>90</v>
      </c>
      <c r="J98" t="str">
        <f>IF([1]Sheet1!J134="","",[1]Sheet1!J134)</f>
        <v>3</v>
      </c>
      <c r="K98" t="str">
        <f>IF([1]Sheet1!K134="","",[1]Sheet1!K134)</f>
        <v/>
      </c>
      <c r="L98" t="str">
        <f>IF([1]Sheet1!L134="","",[1]Sheet1!L134)</f>
        <v>2000</v>
      </c>
      <c r="M98" t="str">
        <f>IF([1]Sheet1!M134="","",[1]Sheet1!M134)</f>
        <v/>
      </c>
      <c r="N98" t="str">
        <f>IF([1]Sheet1!N134="","",[1]Sheet1!N134)</f>
        <v>389,036</v>
      </c>
      <c r="O98" t="str">
        <f>IF([1]Sheet1!O134="","",[1]Sheet1!O134)</f>
        <v>Poste</v>
      </c>
      <c r="P98" t="str">
        <f>IF([1]Sheet1!P134="","",[1]Sheet1!P134)</f>
        <v>129</v>
      </c>
    </row>
    <row r="99" spans="1:16" x14ac:dyDescent="0.25">
      <c r="A99" t="str">
        <f>IF([1]Sheet1!A135="","",[1]Sheet1!A135)</f>
        <v>e10</v>
      </c>
      <c r="B99" t="str">
        <f>IF([1]Sheet1!B135="","",[1]Sheet1!B135)</f>
        <v>18</v>
      </c>
      <c r="C99" t="str">
        <f>IF([1]Sheet1!C135="","",[1]Sheet1!C135)</f>
        <v/>
      </c>
      <c r="D99" t="str">
        <f>IF([1]Sheet1!D135="","",[1]Sheet1!D135)</f>
        <v>200</v>
      </c>
      <c r="E99" t="str">
        <f>IF([1]Sheet1!E135="","",[1]Sheet1!E135)</f>
        <v/>
      </c>
      <c r="F99" t="str">
        <f>IF([1]Sheet1!F135="","",[1]Sheet1!F135)</f>
        <v>0</v>
      </c>
      <c r="G99" t="str">
        <f>IF([1]Sheet1!G135="","",[1]Sheet1!G135)</f>
        <v>4</v>
      </c>
      <c r="H99" t="str">
        <f>IF([1]Sheet1!H135="","",[1]Sheet1!H135)</f>
        <v>E</v>
      </c>
      <c r="I99" t="str">
        <f>IF([1]Sheet1!I135="","",[1]Sheet1!I135)</f>
        <v>89</v>
      </c>
      <c r="J99" t="str">
        <f>IF([1]Sheet1!J135="","",[1]Sheet1!J135)</f>
        <v>58</v>
      </c>
      <c r="K99" t="str">
        <f>IF([1]Sheet1!K135="","",[1]Sheet1!K135)</f>
        <v/>
      </c>
      <c r="L99" t="str">
        <f>IF([1]Sheet1!L135="","",[1]Sheet1!L135)</f>
        <v>2000</v>
      </c>
      <c r="M99" t="str">
        <f>IF([1]Sheet1!M135="","",[1]Sheet1!M135)</f>
        <v/>
      </c>
      <c r="N99" t="str">
        <f>IF([1]Sheet1!N135="","",[1]Sheet1!N135)</f>
        <v>426,38</v>
      </c>
      <c r="O99" t="str">
        <f>IF([1]Sheet1!O135="","",[1]Sheet1!O135)</f>
        <v/>
      </c>
      <c r="P99" t="str">
        <f>IF([1]Sheet1!P135="","",[1]Sheet1!P135)</f>
        <v>130</v>
      </c>
    </row>
    <row r="100" spans="1:16" x14ac:dyDescent="0.25">
      <c r="A100" t="str">
        <f>IF([1]Sheet1!A136="","",[1]Sheet1!A136)</f>
        <v>e10</v>
      </c>
      <c r="B100" t="str">
        <f>IF([1]Sheet1!B136="","",[1]Sheet1!B136)</f>
        <v>19</v>
      </c>
      <c r="C100" t="str">
        <f>IF([1]Sheet1!C136="","",[1]Sheet1!C136)</f>
        <v/>
      </c>
      <c r="D100" t="str">
        <f>IF([1]Sheet1!D136="","",[1]Sheet1!D136)</f>
        <v>200</v>
      </c>
      <c r="E100" t="str">
        <f>IF([1]Sheet1!E136="","",[1]Sheet1!E136)</f>
        <v/>
      </c>
      <c r="F100" t="str">
        <f>IF([1]Sheet1!F136="","",[1]Sheet1!F136)</f>
        <v>0</v>
      </c>
      <c r="G100" t="str">
        <f>IF([1]Sheet1!G136="","",[1]Sheet1!G136)</f>
        <v>4</v>
      </c>
      <c r="H100" t="str">
        <f>IF([1]Sheet1!H136="","",[1]Sheet1!H136)</f>
        <v>E</v>
      </c>
      <c r="I100" t="str">
        <f>IF([1]Sheet1!I136="","",[1]Sheet1!I136)</f>
        <v>89</v>
      </c>
      <c r="J100" t="str">
        <f>IF([1]Sheet1!J136="","",[1]Sheet1!J136)</f>
        <v>54</v>
      </c>
      <c r="K100" t="str">
        <f>IF([1]Sheet1!K136="","",[1]Sheet1!K136)</f>
        <v/>
      </c>
      <c r="L100" t="str">
        <f>IF([1]Sheet1!L136="","",[1]Sheet1!L136)</f>
        <v>2000</v>
      </c>
      <c r="M100" t="str">
        <f>IF([1]Sheet1!M136="","",[1]Sheet1!M136)</f>
        <v/>
      </c>
      <c r="N100" t="str">
        <f>IF([1]Sheet1!N136="","",[1]Sheet1!N136)</f>
        <v>451,018</v>
      </c>
      <c r="O100" t="str">
        <f>IF([1]Sheet1!O136="","",[1]Sheet1!O136)</f>
        <v/>
      </c>
      <c r="P100" t="str">
        <f>IF([1]Sheet1!P136="","",[1]Sheet1!P136)</f>
        <v>131</v>
      </c>
    </row>
    <row r="101" spans="1:16" x14ac:dyDescent="0.25">
      <c r="A101" t="str">
        <f>IF([1]Sheet1!A137="","",[1]Sheet1!A137)</f>
        <v>e10</v>
      </c>
      <c r="B101" t="str">
        <f>IF([1]Sheet1!B137="","",[1]Sheet1!B137)</f>
        <v>e11</v>
      </c>
      <c r="C101" t="str">
        <f>IF([1]Sheet1!C137="","",[1]Sheet1!C137)</f>
        <v/>
      </c>
      <c r="D101" t="str">
        <f>IF([1]Sheet1!D137="","",[1]Sheet1!D137)</f>
        <v>200</v>
      </c>
      <c r="E101" t="str">
        <f>IF([1]Sheet1!E137="","",[1]Sheet1!E137)</f>
        <v/>
      </c>
      <c r="F101" t="str">
        <f>IF([1]Sheet1!F137="","",[1]Sheet1!F137)</f>
        <v>0</v>
      </c>
      <c r="G101" t="str">
        <f>IF([1]Sheet1!G137="","",[1]Sheet1!G137)</f>
        <v>4</v>
      </c>
      <c r="H101" t="str">
        <f>IF([1]Sheet1!H137="","",[1]Sheet1!H137)</f>
        <v>E</v>
      </c>
      <c r="I101" t="str">
        <f>IF([1]Sheet1!I137="","",[1]Sheet1!I137)</f>
        <v>89</v>
      </c>
      <c r="J101" t="str">
        <f>IF([1]Sheet1!J137="","",[1]Sheet1!J137)</f>
        <v>53</v>
      </c>
      <c r="K101" t="str">
        <f>IF([1]Sheet1!K137="","",[1]Sheet1!K137)</f>
        <v/>
      </c>
      <c r="L101" t="str">
        <f>IF([1]Sheet1!L137="","",[1]Sheet1!L137)</f>
        <v>2000</v>
      </c>
      <c r="M101" t="str">
        <f>IF([1]Sheet1!M137="","",[1]Sheet1!M137)</f>
        <v/>
      </c>
      <c r="N101" t="str">
        <f>IF([1]Sheet1!N137="","",[1]Sheet1!N137)</f>
        <v>492,092</v>
      </c>
      <c r="O101" t="str">
        <f>IF([1]Sheet1!O137="","",[1]Sheet1!O137)</f>
        <v>Poste</v>
      </c>
      <c r="P101" t="str">
        <f>IF([1]Sheet1!P137="","",[1]Sheet1!P137)</f>
        <v>132</v>
      </c>
    </row>
    <row r="102" spans="1:16" x14ac:dyDescent="0.25">
      <c r="A102" t="str">
        <f>IF([1]Sheet1!A138="","",[1]Sheet1!A138)</f>
        <v>e11</v>
      </c>
      <c r="B102" t="str">
        <f>IF([1]Sheet1!B138="","",[1]Sheet1!B138)</f>
        <v>e10</v>
      </c>
      <c r="C102" t="str">
        <f>IF([1]Sheet1!C138="","",[1]Sheet1!C138)</f>
        <v/>
      </c>
      <c r="D102" t="str">
        <f>IF([1]Sheet1!D138="","",[1]Sheet1!D138)</f>
        <v>200</v>
      </c>
      <c r="E102" t="str">
        <f>IF([1]Sheet1!E138="","",[1]Sheet1!E138)</f>
        <v>20</v>
      </c>
      <c r="F102" t="str">
        <f>IF([1]Sheet1!F138="","",[1]Sheet1!F138)</f>
        <v>180</v>
      </c>
      <c r="G102" t="str">
        <f>IF([1]Sheet1!G138="","",[1]Sheet1!G138)</f>
        <v>0</v>
      </c>
      <c r="H102" t="str">
        <f>IF([1]Sheet1!H138="","",[1]Sheet1!H138)</f>
        <v>E</v>
      </c>
      <c r="I102" t="str">
        <f>IF([1]Sheet1!I138="","",[1]Sheet1!I138)</f>
        <v/>
      </c>
      <c r="J102" t="str">
        <f>IF([1]Sheet1!J138="","",[1]Sheet1!J138)</f>
        <v/>
      </c>
      <c r="K102" t="str">
        <f>IF([1]Sheet1!K138="","",[1]Sheet1!K138)</f>
        <v/>
      </c>
      <c r="L102" t="str">
        <f>IF([1]Sheet1!L138="","",[1]Sheet1!L138)</f>
        <v/>
      </c>
      <c r="M102" t="str">
        <f>IF([1]Sheet1!M138="","",[1]Sheet1!M138)</f>
        <v/>
      </c>
      <c r="N102" t="str">
        <f>IF([1]Sheet1!N138="","",[1]Sheet1!N138)</f>
        <v/>
      </c>
      <c r="O102" t="str">
        <f>IF([1]Sheet1!O138="","",[1]Sheet1!O138)</f>
        <v>RÉ</v>
      </c>
      <c r="P102" t="str">
        <f>IF([1]Sheet1!P138="","",[1]Sheet1!P138)</f>
        <v>133</v>
      </c>
    </row>
    <row r="103" spans="1:16" x14ac:dyDescent="0.25">
      <c r="A103" t="str">
        <f>IF([1]Sheet1!A139="","",[1]Sheet1!A139)</f>
        <v>e11</v>
      </c>
      <c r="B103" t="str">
        <f>IF([1]Sheet1!B139="","",[1]Sheet1!B139)</f>
        <v>1</v>
      </c>
      <c r="C103" t="str">
        <f>IF([1]Sheet1!C139="","",[1]Sheet1!C139)</f>
        <v/>
      </c>
      <c r="D103" t="str">
        <f>IF([1]Sheet1!D139="","",[1]Sheet1!D139)</f>
        <v>200</v>
      </c>
      <c r="E103" t="str">
        <f>IF([1]Sheet1!E139="","",[1]Sheet1!E139)</f>
        <v>5</v>
      </c>
      <c r="F103" t="str">
        <f>IF([1]Sheet1!F139="","",[1]Sheet1!F139)</f>
        <v>0</v>
      </c>
      <c r="G103" t="str">
        <f>IF([1]Sheet1!G139="","",[1]Sheet1!G139)</f>
        <v>9</v>
      </c>
      <c r="H103" t="str">
        <f>IF([1]Sheet1!H139="","",[1]Sheet1!H139)</f>
        <v>E</v>
      </c>
      <c r="I103" t="str">
        <f>IF([1]Sheet1!I139="","",[1]Sheet1!I139)</f>
        <v>85</v>
      </c>
      <c r="J103" t="str">
        <f>IF([1]Sheet1!J139="","",[1]Sheet1!J139)</f>
        <v>9</v>
      </c>
      <c r="K103" t="str">
        <f>IF([1]Sheet1!K139="","",[1]Sheet1!K139)</f>
        <v/>
      </c>
      <c r="L103" t="str">
        <f>IF([1]Sheet1!L139="","",[1]Sheet1!L139)</f>
        <v>2000</v>
      </c>
      <c r="M103" t="str">
        <f>IF([1]Sheet1!M139="","",[1]Sheet1!M139)</f>
        <v/>
      </c>
      <c r="N103" t="str">
        <f>IF([1]Sheet1!N139="","",[1]Sheet1!N139)</f>
        <v>6,404</v>
      </c>
      <c r="O103" t="str">
        <f>IF([1]Sheet1!O139="","",[1]Sheet1!O139)</f>
        <v>7fl</v>
      </c>
      <c r="P103" t="str">
        <f>IF([1]Sheet1!P139="","",[1]Sheet1!P139)</f>
        <v>134</v>
      </c>
    </row>
    <row r="104" spans="1:16" x14ac:dyDescent="0.25">
      <c r="A104" t="str">
        <f>IF([1]Sheet1!A140="","",[1]Sheet1!A140)</f>
        <v>e11</v>
      </c>
      <c r="B104" t="str">
        <f>IF([1]Sheet1!B140="","",[1]Sheet1!B140)</f>
        <v>2</v>
      </c>
      <c r="C104" t="str">
        <f>IF([1]Sheet1!C140="","",[1]Sheet1!C140)</f>
        <v/>
      </c>
      <c r="D104" t="str">
        <f>IF([1]Sheet1!D140="","",[1]Sheet1!D140)</f>
        <v>200</v>
      </c>
      <c r="E104" t="str">
        <f>IF([1]Sheet1!E140="","",[1]Sheet1!E140)</f>
        <v>3</v>
      </c>
      <c r="F104" t="str">
        <f>IF([1]Sheet1!F140="","",[1]Sheet1!F140)</f>
        <v>0</v>
      </c>
      <c r="G104" t="str">
        <f>IF([1]Sheet1!G140="","",[1]Sheet1!G140)</f>
        <v>9</v>
      </c>
      <c r="H104" t="str">
        <f>IF([1]Sheet1!H140="","",[1]Sheet1!H140)</f>
        <v>E</v>
      </c>
      <c r="I104" t="str">
        <f>IF([1]Sheet1!I140="","",[1]Sheet1!I140)</f>
        <v>86</v>
      </c>
      <c r="J104" t="str">
        <f>IF([1]Sheet1!J140="","",[1]Sheet1!J140)</f>
        <v>59</v>
      </c>
      <c r="K104" t="str">
        <f>IF([1]Sheet1!K140="","",[1]Sheet1!K140)</f>
        <v/>
      </c>
      <c r="L104" t="str">
        <f>IF([1]Sheet1!L140="","",[1]Sheet1!L140)</f>
        <v>2000</v>
      </c>
      <c r="M104" t="str">
        <f>IF([1]Sheet1!M140="","",[1]Sheet1!M140)</f>
        <v/>
      </c>
      <c r="N104" t="str">
        <f>IF([1]Sheet1!N140="","",[1]Sheet1!N140)</f>
        <v>11,401</v>
      </c>
      <c r="O104" t="str">
        <f>IF([1]Sheet1!O140="","",[1]Sheet1!O140)</f>
        <v xml:space="preserve">estrada </v>
      </c>
      <c r="P104" t="str">
        <f>IF([1]Sheet1!P140="","",[1]Sheet1!P140)</f>
        <v>135</v>
      </c>
    </row>
    <row r="105" spans="1:16" x14ac:dyDescent="0.25">
      <c r="A105" t="str">
        <f>IF([1]Sheet1!A141="","",[1]Sheet1!A141)</f>
        <v>e11</v>
      </c>
      <c r="B105" t="str">
        <f>IF([1]Sheet1!B141="","",[1]Sheet1!B141)</f>
        <v>3</v>
      </c>
      <c r="C105" t="str">
        <f>IF([1]Sheet1!C141="","",[1]Sheet1!C141)</f>
        <v/>
      </c>
      <c r="D105" t="str">
        <f>IF([1]Sheet1!D141="","",[1]Sheet1!D141)</f>
        <v>200</v>
      </c>
      <c r="E105" t="str">
        <f>IF([1]Sheet1!E141="","",[1]Sheet1!E141)</f>
        <v>3</v>
      </c>
      <c r="F105" t="str">
        <f>IF([1]Sheet1!F141="","",[1]Sheet1!F141)</f>
        <v>0</v>
      </c>
      <c r="G105" t="str">
        <f>IF([1]Sheet1!G141="","",[1]Sheet1!G141)</f>
        <v>9</v>
      </c>
      <c r="H105" t="str">
        <f>IF([1]Sheet1!H141="","",[1]Sheet1!H141)</f>
        <v>E</v>
      </c>
      <c r="I105" t="str">
        <f>IF([1]Sheet1!I141="","",[1]Sheet1!I141)</f>
        <v>88</v>
      </c>
      <c r="J105" t="str">
        <f>IF([1]Sheet1!J141="","",[1]Sheet1!J141)</f>
        <v>55</v>
      </c>
      <c r="K105" t="str">
        <f>IF([1]Sheet1!K141="","",[1]Sheet1!K141)</f>
        <v/>
      </c>
      <c r="L105" t="str">
        <f>IF([1]Sheet1!L141="","",[1]Sheet1!L141)</f>
        <v>2000</v>
      </c>
      <c r="M105" t="str">
        <f>IF([1]Sheet1!M141="","",[1]Sheet1!M141)</f>
        <v/>
      </c>
      <c r="N105" t="str">
        <f>IF([1]Sheet1!N141="","",[1]Sheet1!N141)</f>
        <v>19,749</v>
      </c>
      <c r="O105" t="str">
        <f>IF([1]Sheet1!O141="","",[1]Sheet1!O141)</f>
        <v xml:space="preserve">estrada </v>
      </c>
      <c r="P105" t="str">
        <f>IF([1]Sheet1!P141="","",[1]Sheet1!P141)</f>
        <v>136</v>
      </c>
    </row>
    <row r="106" spans="1:16" x14ac:dyDescent="0.25">
      <c r="A106" t="str">
        <f>IF([1]Sheet1!A142="","",[1]Sheet1!A142)</f>
        <v>e11</v>
      </c>
      <c r="B106" t="str">
        <f>IF([1]Sheet1!B142="","",[1]Sheet1!B142)</f>
        <v>4</v>
      </c>
      <c r="C106" t="str">
        <f>IF([1]Sheet1!C142="","",[1]Sheet1!C142)</f>
        <v/>
      </c>
      <c r="D106" t="str">
        <f>IF([1]Sheet1!D142="","",[1]Sheet1!D142)</f>
        <v>200</v>
      </c>
      <c r="E106" t="str">
        <f>IF([1]Sheet1!E142="","",[1]Sheet1!E142)</f>
        <v>5</v>
      </c>
      <c r="F106" t="str">
        <f>IF([1]Sheet1!F142="","",[1]Sheet1!F142)</f>
        <v>0</v>
      </c>
      <c r="G106" t="str">
        <f>IF([1]Sheet1!G142="","",[1]Sheet1!G142)</f>
        <v>9</v>
      </c>
      <c r="H106" t="str">
        <f>IF([1]Sheet1!H142="","",[1]Sheet1!H142)</f>
        <v>E</v>
      </c>
      <c r="I106" t="str">
        <f>IF([1]Sheet1!I142="","",[1]Sheet1!I142)</f>
        <v>87</v>
      </c>
      <c r="J106" t="str">
        <f>IF([1]Sheet1!J142="","",[1]Sheet1!J142)</f>
        <v>27</v>
      </c>
      <c r="K106" t="str">
        <f>IF([1]Sheet1!K142="","",[1]Sheet1!K142)</f>
        <v/>
      </c>
      <c r="L106" t="str">
        <f>IF([1]Sheet1!L142="","",[1]Sheet1!L142)</f>
        <v>2000</v>
      </c>
      <c r="M106" t="str">
        <f>IF([1]Sheet1!M142="","",[1]Sheet1!M142)</f>
        <v/>
      </c>
      <c r="N106" t="str">
        <f>IF([1]Sheet1!N142="","",[1]Sheet1!N142)</f>
        <v>25,278</v>
      </c>
      <c r="O106" t="str">
        <f>IF([1]Sheet1!O142="","",[1]Sheet1!O142)</f>
        <v>8fl</v>
      </c>
      <c r="P106" t="str">
        <f>IF([1]Sheet1!P142="","",[1]Sheet1!P142)</f>
        <v>137</v>
      </c>
    </row>
    <row r="107" spans="1:16" x14ac:dyDescent="0.25">
      <c r="A107" t="str">
        <f>IF([1]Sheet1!A143="","",[1]Sheet1!A143)</f>
        <v>e11</v>
      </c>
      <c r="B107" t="str">
        <f>IF([1]Sheet1!B143="","",[1]Sheet1!B143)</f>
        <v>5</v>
      </c>
      <c r="C107" t="str">
        <f>IF([1]Sheet1!C143="","",[1]Sheet1!C143)</f>
        <v/>
      </c>
      <c r="D107" t="str">
        <f>IF([1]Sheet1!D143="","",[1]Sheet1!D143)</f>
        <v>200</v>
      </c>
      <c r="E107" t="str">
        <f>IF([1]Sheet1!E143="","",[1]Sheet1!E143)</f>
        <v/>
      </c>
      <c r="F107" t="str">
        <f>IF([1]Sheet1!F143="","",[1]Sheet1!F143)</f>
        <v>0</v>
      </c>
      <c r="G107" t="str">
        <f>IF([1]Sheet1!G143="","",[1]Sheet1!G143)</f>
        <v>9</v>
      </c>
      <c r="H107" t="str">
        <f>IF([1]Sheet1!H143="","",[1]Sheet1!H143)</f>
        <v>E</v>
      </c>
      <c r="I107" t="str">
        <f>IF([1]Sheet1!I143="","",[1]Sheet1!I143)</f>
        <v>88</v>
      </c>
      <c r="J107" t="str">
        <f>IF([1]Sheet1!J143="","",[1]Sheet1!J143)</f>
        <v>25</v>
      </c>
      <c r="K107" t="str">
        <f>IF([1]Sheet1!K143="","",[1]Sheet1!K143)</f>
        <v/>
      </c>
      <c r="L107" t="str">
        <f>IF([1]Sheet1!L143="","",[1]Sheet1!L143)</f>
        <v>2000</v>
      </c>
      <c r="M107" t="str">
        <f>IF([1]Sheet1!M143="","",[1]Sheet1!M143)</f>
        <v/>
      </c>
      <c r="N107" t="str">
        <f>IF([1]Sheet1!N143="","",[1]Sheet1!N143)</f>
        <v>63,471</v>
      </c>
      <c r="O107" t="str">
        <f>IF([1]Sheet1!O143="","",[1]Sheet1!O143)</f>
        <v/>
      </c>
      <c r="P107" t="str">
        <f>IF([1]Sheet1!P143="","",[1]Sheet1!P143)</f>
        <v>138</v>
      </c>
    </row>
    <row r="108" spans="1:16" x14ac:dyDescent="0.25">
      <c r="A108" t="str">
        <f>IF([1]Sheet1!A144="","",[1]Sheet1!A144)</f>
        <v>e11</v>
      </c>
      <c r="B108" t="str">
        <f>IF([1]Sheet1!B144="","",[1]Sheet1!B144)</f>
        <v>6</v>
      </c>
      <c r="C108" t="str">
        <f>IF([1]Sheet1!C144="","",[1]Sheet1!C144)</f>
        <v/>
      </c>
      <c r="D108" t="str">
        <f>IF([1]Sheet1!D144="","",[1]Sheet1!D144)</f>
        <v>200</v>
      </c>
      <c r="E108" t="str">
        <f>IF([1]Sheet1!E144="","",[1]Sheet1!E144)</f>
        <v/>
      </c>
      <c r="F108" t="str">
        <f>IF([1]Sheet1!F144="","",[1]Sheet1!F144)</f>
        <v>0</v>
      </c>
      <c r="G108" t="str">
        <f>IF([1]Sheet1!G144="","",[1]Sheet1!G144)</f>
        <v>9</v>
      </c>
      <c r="H108" t="str">
        <f>IF([1]Sheet1!H144="","",[1]Sheet1!H144)</f>
        <v>E</v>
      </c>
      <c r="I108" t="str">
        <f>IF([1]Sheet1!I144="","",[1]Sheet1!I144)</f>
        <v>88</v>
      </c>
      <c r="J108" t="str">
        <f>IF([1]Sheet1!J144="","",[1]Sheet1!J144)</f>
        <v>32</v>
      </c>
      <c r="K108" t="str">
        <f>IF([1]Sheet1!K144="","",[1]Sheet1!K144)</f>
        <v/>
      </c>
      <c r="L108" t="str">
        <f>IF([1]Sheet1!L144="","",[1]Sheet1!L144)</f>
        <v>2000</v>
      </c>
      <c r="M108" t="str">
        <f>IF([1]Sheet1!M144="","",[1]Sheet1!M144)</f>
        <v/>
      </c>
      <c r="N108" t="str">
        <f>IF([1]Sheet1!N144="","",[1]Sheet1!N144)</f>
        <v>104,055</v>
      </c>
      <c r="O108" t="str">
        <f>IF([1]Sheet1!O144="","",[1]Sheet1!O144)</f>
        <v>Poste</v>
      </c>
      <c r="P108" t="str">
        <f>IF([1]Sheet1!P144="","",[1]Sheet1!P144)</f>
        <v>139</v>
      </c>
    </row>
    <row r="109" spans="1:16" x14ac:dyDescent="0.25">
      <c r="A109" t="str">
        <f>IF([1]Sheet1!A145="","",[1]Sheet1!A145)</f>
        <v>e11</v>
      </c>
      <c r="B109" t="str">
        <f>IF([1]Sheet1!B145="","",[1]Sheet1!B145)</f>
        <v>7</v>
      </c>
      <c r="C109" t="str">
        <f>IF([1]Sheet1!C145="","",[1]Sheet1!C145)</f>
        <v/>
      </c>
      <c r="D109" t="str">
        <f>IF([1]Sheet1!D145="","",[1]Sheet1!D145)</f>
        <v>200</v>
      </c>
      <c r="E109" t="str">
        <f>IF([1]Sheet1!E145="","",[1]Sheet1!E145)</f>
        <v/>
      </c>
      <c r="F109" t="str">
        <f>IF([1]Sheet1!F145="","",[1]Sheet1!F145)</f>
        <v>0</v>
      </c>
      <c r="G109" t="str">
        <f>IF([1]Sheet1!G145="","",[1]Sheet1!G145)</f>
        <v>9</v>
      </c>
      <c r="H109" t="str">
        <f>IF([1]Sheet1!H145="","",[1]Sheet1!H145)</f>
        <v>E</v>
      </c>
      <c r="I109" t="str">
        <f>IF([1]Sheet1!I145="","",[1]Sheet1!I145)</f>
        <v>88</v>
      </c>
      <c r="J109" t="str">
        <f>IF([1]Sheet1!J145="","",[1]Sheet1!J145)</f>
        <v>43</v>
      </c>
      <c r="K109" t="str">
        <f>IF([1]Sheet1!K145="","",[1]Sheet1!K145)</f>
        <v/>
      </c>
      <c r="L109" t="str">
        <f>IF([1]Sheet1!L145="","",[1]Sheet1!L145)</f>
        <v>2000</v>
      </c>
      <c r="M109" t="str">
        <f>IF([1]Sheet1!M145="","",[1]Sheet1!M145)</f>
        <v/>
      </c>
      <c r="N109" t="str">
        <f>IF([1]Sheet1!N145="","",[1]Sheet1!N145)</f>
        <v>151,717</v>
      </c>
      <c r="O109" t="str">
        <f>IF([1]Sheet1!O145="","",[1]Sheet1!O145)</f>
        <v/>
      </c>
      <c r="P109" t="str">
        <f>IF([1]Sheet1!P145="","",[1]Sheet1!P145)</f>
        <v>140</v>
      </c>
    </row>
    <row r="110" spans="1:16" x14ac:dyDescent="0.25">
      <c r="A110" t="str">
        <f>IF([1]Sheet1!A146="","",[1]Sheet1!A146)</f>
        <v>e11</v>
      </c>
      <c r="B110" t="str">
        <f>IF([1]Sheet1!B146="","",[1]Sheet1!B146)</f>
        <v>e12</v>
      </c>
      <c r="C110" t="str">
        <f>IF([1]Sheet1!C146="","",[1]Sheet1!C146)</f>
        <v/>
      </c>
      <c r="D110" t="str">
        <f>IF([1]Sheet1!D146="","",[1]Sheet1!D146)</f>
        <v>200</v>
      </c>
      <c r="E110" t="str">
        <f>IF([1]Sheet1!E146="","",[1]Sheet1!E146)</f>
        <v/>
      </c>
      <c r="F110" t="str">
        <f>IF([1]Sheet1!F146="","",[1]Sheet1!F146)</f>
        <v>0</v>
      </c>
      <c r="G110" t="str">
        <f>IF([1]Sheet1!G146="","",[1]Sheet1!G146)</f>
        <v>9</v>
      </c>
      <c r="H110" t="str">
        <f>IF([1]Sheet1!H146="","",[1]Sheet1!H146)</f>
        <v>E</v>
      </c>
      <c r="I110" t="str">
        <f>IF([1]Sheet1!I146="","",[1]Sheet1!I146)</f>
        <v>88</v>
      </c>
      <c r="J110" t="str">
        <f>IF([1]Sheet1!J146="","",[1]Sheet1!J146)</f>
        <v>59</v>
      </c>
      <c r="K110" t="str">
        <f>IF([1]Sheet1!K146="","",[1]Sheet1!K146)</f>
        <v/>
      </c>
      <c r="L110" t="str">
        <f>IF([1]Sheet1!L146="","",[1]Sheet1!L146)</f>
        <v>2000</v>
      </c>
      <c r="M110" t="str">
        <f>IF([1]Sheet1!M146="","",[1]Sheet1!M146)</f>
        <v/>
      </c>
      <c r="N110" t="str">
        <f>IF([1]Sheet1!N146="","",[1]Sheet1!N146)</f>
        <v>201,493</v>
      </c>
      <c r="O110" t="str">
        <f>IF([1]Sheet1!O146="","",[1]Sheet1!O146)</f>
        <v xml:space="preserve">POSTE </v>
      </c>
      <c r="P110" t="str">
        <f>IF([1]Sheet1!P146="","",[1]Sheet1!P146)</f>
        <v>141</v>
      </c>
    </row>
    <row r="111" spans="1:16" x14ac:dyDescent="0.25">
      <c r="A111" t="str">
        <f>IF([1]Sheet1!A147="","",[1]Sheet1!A147)</f>
        <v>e12</v>
      </c>
      <c r="B111" t="str">
        <f>IF([1]Sheet1!B147="","",[1]Sheet1!B147)</f>
        <v>e11</v>
      </c>
      <c r="C111" t="str">
        <f>IF([1]Sheet1!C147="","",[1]Sheet1!C147)</f>
        <v/>
      </c>
      <c r="D111" t="str">
        <f>IF([1]Sheet1!D147="","",[1]Sheet1!D147)</f>
        <v>200</v>
      </c>
      <c r="E111" t="str">
        <f>IF([1]Sheet1!E147="","",[1]Sheet1!E147)</f>
        <v>20</v>
      </c>
      <c r="F111" t="str">
        <f>IF([1]Sheet1!F147="","",[1]Sheet1!F147)</f>
        <v>180</v>
      </c>
      <c r="G111" t="str">
        <f>IF([1]Sheet1!G147="","",[1]Sheet1!G147)</f>
        <v>0</v>
      </c>
      <c r="H111" t="str">
        <f>IF([1]Sheet1!H147="","",[1]Sheet1!H147)</f>
        <v>E</v>
      </c>
      <c r="I111" t="str">
        <f>IF([1]Sheet1!I147="","",[1]Sheet1!I147)</f>
        <v/>
      </c>
      <c r="J111" t="str">
        <f>IF([1]Sheet1!J147="","",[1]Sheet1!J147)</f>
        <v/>
      </c>
      <c r="K111" t="str">
        <f>IF([1]Sheet1!K147="","",[1]Sheet1!K147)</f>
        <v/>
      </c>
      <c r="L111" t="str">
        <f>IF([1]Sheet1!L147="","",[1]Sheet1!L147)</f>
        <v/>
      </c>
      <c r="M111" t="str">
        <f>IF([1]Sheet1!M147="","",[1]Sheet1!M147)</f>
        <v/>
      </c>
      <c r="N111" t="str">
        <f>IF([1]Sheet1!N147="","",[1]Sheet1!N147)</f>
        <v/>
      </c>
      <c r="O111" t="str">
        <f>IF([1]Sheet1!O147="","",[1]Sheet1!O147)</f>
        <v>RÉ</v>
      </c>
      <c r="P111" t="str">
        <f>IF([1]Sheet1!P147="","",[1]Sheet1!P147)</f>
        <v>142</v>
      </c>
    </row>
    <row r="112" spans="1:16" x14ac:dyDescent="0.25">
      <c r="A112" t="str">
        <f>IF([1]Sheet1!A148="","",[1]Sheet1!A148)</f>
        <v>e12</v>
      </c>
      <c r="B112" t="str">
        <f>IF([1]Sheet1!B148="","",[1]Sheet1!B148)</f>
        <v>1</v>
      </c>
      <c r="C112" t="str">
        <f>IF([1]Sheet1!C148="","",[1]Sheet1!C148)</f>
        <v/>
      </c>
      <c r="D112" t="str">
        <f>IF([1]Sheet1!D148="","",[1]Sheet1!D148)</f>
        <v>200</v>
      </c>
      <c r="E112" t="str">
        <f>IF([1]Sheet1!E148="","",[1]Sheet1!E148)</f>
        <v/>
      </c>
      <c r="F112" t="str">
        <f>IF([1]Sheet1!F148="","",[1]Sheet1!F148)</f>
        <v>0</v>
      </c>
      <c r="G112" t="str">
        <f>IF([1]Sheet1!G148="","",[1]Sheet1!G148)</f>
        <v>20</v>
      </c>
      <c r="H112" t="str">
        <f>IF([1]Sheet1!H148="","",[1]Sheet1!H148)</f>
        <v>E</v>
      </c>
      <c r="I112" t="str">
        <f>IF([1]Sheet1!I148="","",[1]Sheet1!I148)</f>
        <v>90</v>
      </c>
      <c r="J112" t="str">
        <f>IF([1]Sheet1!J148="","",[1]Sheet1!J148)</f>
        <v>20</v>
      </c>
      <c r="K112" t="str">
        <f>IF([1]Sheet1!K148="","",[1]Sheet1!K148)</f>
        <v/>
      </c>
      <c r="L112" t="str">
        <f>IF([1]Sheet1!L148="","",[1]Sheet1!L148)</f>
        <v>2000</v>
      </c>
      <c r="M112" t="str">
        <f>IF([1]Sheet1!M148="","",[1]Sheet1!M148)</f>
        <v/>
      </c>
      <c r="N112" t="str">
        <f>IF([1]Sheet1!N148="","",[1]Sheet1!N148)</f>
        <v>37,51</v>
      </c>
      <c r="O112" t="str">
        <f>IF([1]Sheet1!O148="","",[1]Sheet1!O148)</f>
        <v/>
      </c>
      <c r="P112" t="str">
        <f>IF([1]Sheet1!P148="","",[1]Sheet1!P148)</f>
        <v>143</v>
      </c>
    </row>
    <row r="113" spans="1:16" x14ac:dyDescent="0.25">
      <c r="A113" t="str">
        <f>IF([1]Sheet1!A149="","",[1]Sheet1!A149)</f>
        <v>e12</v>
      </c>
      <c r="B113" t="str">
        <f>IF([1]Sheet1!B149="","",[1]Sheet1!B149)</f>
        <v>2</v>
      </c>
      <c r="C113" t="str">
        <f>IF([1]Sheet1!C149="","",[1]Sheet1!C149)</f>
        <v/>
      </c>
      <c r="D113" t="str">
        <f>IF([1]Sheet1!D149="","",[1]Sheet1!D149)</f>
        <v>200</v>
      </c>
      <c r="E113" t="str">
        <f>IF([1]Sheet1!E149="","",[1]Sheet1!E149)</f>
        <v>5</v>
      </c>
      <c r="F113" t="str">
        <f>IF([1]Sheet1!F149="","",[1]Sheet1!F149)</f>
        <v>0</v>
      </c>
      <c r="G113" t="str">
        <f>IF([1]Sheet1!G149="","",[1]Sheet1!G149)</f>
        <v>20</v>
      </c>
      <c r="H113" t="str">
        <f>IF([1]Sheet1!H149="","",[1]Sheet1!H149)</f>
        <v>E</v>
      </c>
      <c r="I113" t="str">
        <f>IF([1]Sheet1!I149="","",[1]Sheet1!I149)</f>
        <v>89</v>
      </c>
      <c r="J113" t="str">
        <f>IF([1]Sheet1!J149="","",[1]Sheet1!J149)</f>
        <v>45</v>
      </c>
      <c r="K113" t="str">
        <f>IF([1]Sheet1!K149="","",[1]Sheet1!K149)</f>
        <v/>
      </c>
      <c r="L113" t="str">
        <f>IF([1]Sheet1!L149="","",[1]Sheet1!L149)</f>
        <v>2000</v>
      </c>
      <c r="M113" t="str">
        <f>IF([1]Sheet1!M149="","",[1]Sheet1!M149)</f>
        <v/>
      </c>
      <c r="N113" t="str">
        <f>IF([1]Sheet1!N149="","",[1]Sheet1!N149)</f>
        <v>62,456</v>
      </c>
      <c r="O113" t="str">
        <f>IF([1]Sheet1!O149="","",[1]Sheet1!O149)</f>
        <v xml:space="preserve">08 fio liso divisa </v>
      </c>
      <c r="P113" t="str">
        <f>IF([1]Sheet1!P149="","",[1]Sheet1!P149)</f>
        <v>144</v>
      </c>
    </row>
    <row r="114" spans="1:16" x14ac:dyDescent="0.25">
      <c r="A114" t="str">
        <f>IF([1]Sheet1!A150="","",[1]Sheet1!A150)</f>
        <v>e12</v>
      </c>
      <c r="B114" t="str">
        <f>IF([1]Sheet1!B150="","",[1]Sheet1!B150)</f>
        <v>3</v>
      </c>
      <c r="C114" t="str">
        <f>IF([1]Sheet1!C150="","",[1]Sheet1!C150)</f>
        <v/>
      </c>
      <c r="D114" t="str">
        <f>IF([1]Sheet1!D150="","",[1]Sheet1!D150)</f>
        <v>200</v>
      </c>
      <c r="E114" t="str">
        <f>IF([1]Sheet1!E150="","",[1]Sheet1!E150)</f>
        <v/>
      </c>
      <c r="F114" t="str">
        <f>IF([1]Sheet1!F150="","",[1]Sheet1!F150)</f>
        <v>0</v>
      </c>
      <c r="G114" t="str">
        <f>IF([1]Sheet1!G150="","",[1]Sheet1!G150)</f>
        <v>20</v>
      </c>
      <c r="H114" t="str">
        <f>IF([1]Sheet1!H150="","",[1]Sheet1!H150)</f>
        <v>E</v>
      </c>
      <c r="I114" t="str">
        <f>IF([1]Sheet1!I150="","",[1]Sheet1!I150)</f>
        <v>89</v>
      </c>
      <c r="J114" t="str">
        <f>IF([1]Sheet1!J150="","",[1]Sheet1!J150)</f>
        <v>48</v>
      </c>
      <c r="K114" t="str">
        <f>IF([1]Sheet1!K150="","",[1]Sheet1!K150)</f>
        <v/>
      </c>
      <c r="L114" t="str">
        <f>IF([1]Sheet1!L150="","",[1]Sheet1!L150)</f>
        <v>2000</v>
      </c>
      <c r="M114" t="str">
        <f>IF([1]Sheet1!M150="","",[1]Sheet1!M150)</f>
        <v/>
      </c>
      <c r="N114" t="str">
        <f>IF([1]Sheet1!N150="","",[1]Sheet1!N150)</f>
        <v>106,52</v>
      </c>
      <c r="O114" t="str">
        <f>IF([1]Sheet1!O150="","",[1]Sheet1!O150)</f>
        <v>Poste</v>
      </c>
      <c r="P114" t="str">
        <f>IF([1]Sheet1!P150="","",[1]Sheet1!P150)</f>
        <v>145</v>
      </c>
    </row>
    <row r="115" spans="1:16" x14ac:dyDescent="0.25">
      <c r="A115" t="str">
        <f>IF([1]Sheet1!A151="","",[1]Sheet1!A151)</f>
        <v>e12</v>
      </c>
      <c r="B115" t="str">
        <f>IF([1]Sheet1!B151="","",[1]Sheet1!B151)</f>
        <v>4</v>
      </c>
      <c r="C115" t="str">
        <f>IF([1]Sheet1!C151="","",[1]Sheet1!C151)</f>
        <v/>
      </c>
      <c r="D115" t="str">
        <f>IF([1]Sheet1!D151="","",[1]Sheet1!D151)</f>
        <v>200</v>
      </c>
      <c r="E115" t="str">
        <f>IF([1]Sheet1!E151="","",[1]Sheet1!E151)</f>
        <v/>
      </c>
      <c r="F115" t="str">
        <f>IF([1]Sheet1!F151="","",[1]Sheet1!F151)</f>
        <v>0</v>
      </c>
      <c r="G115" t="str">
        <f>IF([1]Sheet1!G151="","",[1]Sheet1!G151)</f>
        <v>20</v>
      </c>
      <c r="H115" t="str">
        <f>IF([1]Sheet1!H151="","",[1]Sheet1!H151)</f>
        <v>E</v>
      </c>
      <c r="I115" t="str">
        <f>IF([1]Sheet1!I151="","",[1]Sheet1!I151)</f>
        <v>89</v>
      </c>
      <c r="J115" t="str">
        <f>IF([1]Sheet1!J151="","",[1]Sheet1!J151)</f>
        <v>55</v>
      </c>
      <c r="K115" t="str">
        <f>IF([1]Sheet1!K151="","",[1]Sheet1!K151)</f>
        <v/>
      </c>
      <c r="L115" t="str">
        <f>IF([1]Sheet1!L151="","",[1]Sheet1!L151)</f>
        <v>2000</v>
      </c>
      <c r="M115" t="str">
        <f>IF([1]Sheet1!M151="","",[1]Sheet1!M151)</f>
        <v/>
      </c>
      <c r="N115" t="str">
        <f>IF([1]Sheet1!N151="","",[1]Sheet1!N151)</f>
        <v>160,897</v>
      </c>
      <c r="O115" t="str">
        <f>IF([1]Sheet1!O151="","",[1]Sheet1!O151)</f>
        <v/>
      </c>
      <c r="P115" t="str">
        <f>IF([1]Sheet1!P151="","",[1]Sheet1!P151)</f>
        <v>146</v>
      </c>
    </row>
    <row r="116" spans="1:16" x14ac:dyDescent="0.25">
      <c r="A116" t="str">
        <f>IF([1]Sheet1!A152="","",[1]Sheet1!A152)</f>
        <v>e12</v>
      </c>
      <c r="B116" t="str">
        <f>IF([1]Sheet1!B152="","",[1]Sheet1!B152)</f>
        <v>v2</v>
      </c>
      <c r="C116" t="str">
        <f>IF([1]Sheet1!C152="","",[1]Sheet1!C152)</f>
        <v/>
      </c>
      <c r="D116" t="str">
        <f>IF([1]Sheet1!D152="","",[1]Sheet1!D152)</f>
        <v>200</v>
      </c>
      <c r="E116" t="str">
        <f>IF([1]Sheet1!E152="","",[1]Sheet1!E152)</f>
        <v/>
      </c>
      <c r="F116" t="str">
        <f>IF([1]Sheet1!F152="","",[1]Sheet1!F152)</f>
        <v>0</v>
      </c>
      <c r="G116" t="str">
        <f>IF([1]Sheet1!G152="","",[1]Sheet1!G152)</f>
        <v>20</v>
      </c>
      <c r="H116" t="str">
        <f>IF([1]Sheet1!H152="","",[1]Sheet1!H152)</f>
        <v>E</v>
      </c>
      <c r="I116" t="str">
        <f>IF([1]Sheet1!I152="","",[1]Sheet1!I152)</f>
        <v>90</v>
      </c>
      <c r="J116" t="str">
        <f>IF([1]Sheet1!J152="","",[1]Sheet1!J152)</f>
        <v>6</v>
      </c>
      <c r="K116" t="str">
        <f>IF([1]Sheet1!K152="","",[1]Sheet1!K152)</f>
        <v/>
      </c>
      <c r="L116" t="str">
        <f>IF([1]Sheet1!L152="","",[1]Sheet1!L152)</f>
        <v>2000</v>
      </c>
      <c r="M116" t="str">
        <f>IF([1]Sheet1!M152="","",[1]Sheet1!M152)</f>
        <v/>
      </c>
      <c r="N116" t="str">
        <f>IF([1]Sheet1!N152="","",[1]Sheet1!N152)</f>
        <v>206,807</v>
      </c>
      <c r="O116" t="str">
        <f>IF([1]Sheet1!O152="","",[1]Sheet1!O152)</f>
        <v>Poste</v>
      </c>
      <c r="P116" t="str">
        <f>IF([1]Sheet1!P152="","",[1]Sheet1!P152)</f>
        <v>147</v>
      </c>
    </row>
    <row r="117" spans="1:16" x14ac:dyDescent="0.25">
      <c r="A117" t="str">
        <f>IF([1]Sheet1!A153="","",[1]Sheet1!A153)</f>
        <v>v2</v>
      </c>
      <c r="B117" t="str">
        <f>IF([1]Sheet1!B153="","",[1]Sheet1!B153)</f>
        <v>e12</v>
      </c>
      <c r="C117" t="str">
        <f>IF([1]Sheet1!C153="","",[1]Sheet1!C153)</f>
        <v/>
      </c>
      <c r="D117" t="str">
        <f>IF([1]Sheet1!D153="","",[1]Sheet1!D153)</f>
        <v>200</v>
      </c>
      <c r="E117" t="str">
        <f>IF([1]Sheet1!E153="","",[1]Sheet1!E153)</f>
        <v>20</v>
      </c>
      <c r="F117" t="str">
        <f>IF([1]Sheet1!F153="","",[1]Sheet1!F153)</f>
        <v>180</v>
      </c>
      <c r="G117" t="str">
        <f>IF([1]Sheet1!G153="","",[1]Sheet1!G153)</f>
        <v>0</v>
      </c>
      <c r="H117" t="str">
        <f>IF([1]Sheet1!H153="","",[1]Sheet1!H153)</f>
        <v>E</v>
      </c>
      <c r="I117" t="str">
        <f>IF([1]Sheet1!I153="","",[1]Sheet1!I153)</f>
        <v/>
      </c>
      <c r="J117" t="str">
        <f>IF([1]Sheet1!J153="","",[1]Sheet1!J153)</f>
        <v/>
      </c>
      <c r="K117" t="str">
        <f>IF([1]Sheet1!K153="","",[1]Sheet1!K153)</f>
        <v/>
      </c>
      <c r="L117" t="str">
        <f>IF([1]Sheet1!L153="","",[1]Sheet1!L153)</f>
        <v/>
      </c>
      <c r="M117" t="str">
        <f>IF([1]Sheet1!M153="","",[1]Sheet1!M153)</f>
        <v/>
      </c>
      <c r="N117" t="str">
        <f>IF([1]Sheet1!N153="","",[1]Sheet1!N153)</f>
        <v/>
      </c>
      <c r="O117" t="str">
        <f>IF([1]Sheet1!O153="","",[1]Sheet1!O153)</f>
        <v>RÉ</v>
      </c>
      <c r="P117" t="str">
        <f>IF([1]Sheet1!P153="","",[1]Sheet1!P153)</f>
        <v>148</v>
      </c>
    </row>
    <row r="118" spans="1:16" x14ac:dyDescent="0.25">
      <c r="A118" t="str">
        <f>IF([1]Sheet1!A154="","",[1]Sheet1!A154)</f>
        <v>v2</v>
      </c>
      <c r="B118" t="str">
        <f>IF([1]Sheet1!B154="","",[1]Sheet1!B154)</f>
        <v>1</v>
      </c>
      <c r="C118" t="str">
        <f>IF([1]Sheet1!C154="","",[1]Sheet1!C154)</f>
        <v/>
      </c>
      <c r="D118" t="str">
        <f>IF([1]Sheet1!D154="","",[1]Sheet1!D154)</f>
        <v>200</v>
      </c>
      <c r="E118" t="str">
        <f>IF([1]Sheet1!E154="","",[1]Sheet1!E154)</f>
        <v>35</v>
      </c>
      <c r="F118" t="str">
        <f>IF([1]Sheet1!F154="","",[1]Sheet1!F154)</f>
        <v>60</v>
      </c>
      <c r="G118" t="str">
        <f>IF([1]Sheet1!G154="","",[1]Sheet1!G154)</f>
        <v>32</v>
      </c>
      <c r="H118" t="str">
        <f>IF([1]Sheet1!H154="","",[1]Sheet1!H154)</f>
        <v>E</v>
      </c>
      <c r="I118" t="str">
        <f>IF([1]Sheet1!I154="","",[1]Sheet1!I154)</f>
        <v>91</v>
      </c>
      <c r="J118" t="str">
        <f>IF([1]Sheet1!J154="","",[1]Sheet1!J154)</f>
        <v>22</v>
      </c>
      <c r="K118" t="str">
        <f>IF([1]Sheet1!K154="","",[1]Sheet1!K154)</f>
        <v/>
      </c>
      <c r="L118" t="str">
        <f>IF([1]Sheet1!L154="","",[1]Sheet1!L154)</f>
        <v>2000</v>
      </c>
      <c r="M118" t="str">
        <f>IF([1]Sheet1!M154="","",[1]Sheet1!M154)</f>
        <v/>
      </c>
      <c r="N118" t="str">
        <f>IF([1]Sheet1!N154="","",[1]Sheet1!N154)</f>
        <v>21,663</v>
      </c>
      <c r="O118" t="str">
        <f>IF([1]Sheet1!O154="","",[1]Sheet1!O154)</f>
        <v>13,5 m</v>
      </c>
      <c r="P118" t="str">
        <f>IF([1]Sheet1!P154="","",[1]Sheet1!P154)</f>
        <v>149</v>
      </c>
    </row>
    <row r="119" spans="1:16" x14ac:dyDescent="0.25">
      <c r="A119" t="str">
        <f>IF([1]Sheet1!A155="","",[1]Sheet1!A155)</f>
        <v>v2</v>
      </c>
      <c r="B119" t="str">
        <f>IF([1]Sheet1!B155="","",[1]Sheet1!B155)</f>
        <v>2</v>
      </c>
      <c r="C119" t="str">
        <f>IF([1]Sheet1!C155="","",[1]Sheet1!C155)</f>
        <v/>
      </c>
      <c r="D119" t="str">
        <f>IF([1]Sheet1!D155="","",[1]Sheet1!D155)</f>
        <v>200</v>
      </c>
      <c r="E119" t="str">
        <f>IF([1]Sheet1!E155="","",[1]Sheet1!E155)</f>
        <v>35</v>
      </c>
      <c r="F119" t="str">
        <f>IF([1]Sheet1!F155="","",[1]Sheet1!F155)</f>
        <v>60</v>
      </c>
      <c r="G119" t="str">
        <f>IF([1]Sheet1!G155="","",[1]Sheet1!G155)</f>
        <v>32</v>
      </c>
      <c r="H119" t="str">
        <f>IF([1]Sheet1!H155="","",[1]Sheet1!H155)</f>
        <v>E</v>
      </c>
      <c r="I119" t="str">
        <f>IF([1]Sheet1!I155="","",[1]Sheet1!I155)</f>
        <v>91</v>
      </c>
      <c r="J119" t="str">
        <f>IF([1]Sheet1!J155="","",[1]Sheet1!J155)</f>
        <v>11</v>
      </c>
      <c r="K119" t="str">
        <f>IF([1]Sheet1!K155="","",[1]Sheet1!K155)</f>
        <v/>
      </c>
      <c r="L119" t="str">
        <f>IF([1]Sheet1!L155="","",[1]Sheet1!L155)</f>
        <v>2000</v>
      </c>
      <c r="M119" t="str">
        <f>IF([1]Sheet1!M155="","",[1]Sheet1!M155)</f>
        <v/>
      </c>
      <c r="N119" t="str">
        <f>IF([1]Sheet1!N155="","",[1]Sheet1!N155)</f>
        <v>25,594</v>
      </c>
      <c r="O119" t="str">
        <f>IF([1]Sheet1!O155="","",[1]Sheet1!O155)</f>
        <v>14,5 m</v>
      </c>
      <c r="P119" t="str">
        <f>IF([1]Sheet1!P155="","",[1]Sheet1!P155)</f>
        <v>150</v>
      </c>
    </row>
    <row r="120" spans="1:16" x14ac:dyDescent="0.25">
      <c r="A120" t="str">
        <f>IF([1]Sheet1!A156="","",[1]Sheet1!A156)</f>
        <v>v2</v>
      </c>
      <c r="B120" t="str">
        <f>IF([1]Sheet1!B156="","",[1]Sheet1!B156)</f>
        <v>3</v>
      </c>
      <c r="C120" t="str">
        <f>IF([1]Sheet1!C156="","",[1]Sheet1!C156)</f>
        <v/>
      </c>
      <c r="D120" t="str">
        <f>IF([1]Sheet1!D156="","",[1]Sheet1!D156)</f>
        <v>200</v>
      </c>
      <c r="E120" t="str">
        <f>IF([1]Sheet1!E156="","",[1]Sheet1!E156)</f>
        <v/>
      </c>
      <c r="F120" t="str">
        <f>IF([1]Sheet1!F156="","",[1]Sheet1!F156)</f>
        <v>60</v>
      </c>
      <c r="G120" t="str">
        <f>IF([1]Sheet1!G156="","",[1]Sheet1!G156)</f>
        <v>32</v>
      </c>
      <c r="H120" t="str">
        <f>IF([1]Sheet1!H156="","",[1]Sheet1!H156)</f>
        <v>E</v>
      </c>
      <c r="I120" t="str">
        <f>IF([1]Sheet1!I156="","",[1]Sheet1!I156)</f>
        <v>90</v>
      </c>
      <c r="J120" t="str">
        <f>IF([1]Sheet1!J156="","",[1]Sheet1!J156)</f>
        <v>37</v>
      </c>
      <c r="K120" t="str">
        <f>IF([1]Sheet1!K156="","",[1]Sheet1!K156)</f>
        <v/>
      </c>
      <c r="L120" t="str">
        <f>IF([1]Sheet1!L156="","",[1]Sheet1!L156)</f>
        <v>2000</v>
      </c>
      <c r="M120" t="str">
        <f>IF([1]Sheet1!M156="","",[1]Sheet1!M156)</f>
        <v/>
      </c>
      <c r="N120" t="str">
        <f>IF([1]Sheet1!N156="","",[1]Sheet1!N156)</f>
        <v>39,658</v>
      </c>
      <c r="O120" t="str">
        <f>IF([1]Sheet1!O156="","",[1]Sheet1!O156)</f>
        <v/>
      </c>
      <c r="P120" t="str">
        <f>IF([1]Sheet1!P156="","",[1]Sheet1!P156)</f>
        <v>151</v>
      </c>
    </row>
    <row r="121" spans="1:16" x14ac:dyDescent="0.25">
      <c r="A121" t="str">
        <f>IF([1]Sheet1!A157="","",[1]Sheet1!A157)</f>
        <v>v2</v>
      </c>
      <c r="B121" t="str">
        <f>IF([1]Sheet1!B157="","",[1]Sheet1!B157)</f>
        <v>v1</v>
      </c>
      <c r="C121" t="str">
        <f>IF([1]Sheet1!C157="","",[1]Sheet1!C157)</f>
        <v/>
      </c>
      <c r="D121" t="str">
        <f>IF([1]Sheet1!D157="","",[1]Sheet1!D157)</f>
        <v>200</v>
      </c>
      <c r="E121" t="str">
        <f>IF([1]Sheet1!E157="","",[1]Sheet1!E157)</f>
        <v/>
      </c>
      <c r="F121" t="str">
        <f>IF([1]Sheet1!F157="","",[1]Sheet1!F157)</f>
        <v>60</v>
      </c>
      <c r="G121" t="str">
        <f>IF([1]Sheet1!G157="","",[1]Sheet1!G157)</f>
        <v>32</v>
      </c>
      <c r="H121" t="str">
        <f>IF([1]Sheet1!H157="","",[1]Sheet1!H157)</f>
        <v>E</v>
      </c>
      <c r="I121" t="str">
        <f>IF([1]Sheet1!I157="","",[1]Sheet1!I157)</f>
        <v>91</v>
      </c>
      <c r="J121" t="str">
        <f>IF([1]Sheet1!J157="","",[1]Sheet1!J157)</f>
        <v>23</v>
      </c>
      <c r="K121" t="str">
        <f>IF([1]Sheet1!K157="","",[1]Sheet1!K157)</f>
        <v/>
      </c>
      <c r="L121" t="str">
        <f>IF([1]Sheet1!L157="","",[1]Sheet1!L157)</f>
        <v>2000</v>
      </c>
      <c r="M121" t="str">
        <f>IF([1]Sheet1!M157="","",[1]Sheet1!M157)</f>
        <v/>
      </c>
      <c r="N121" t="str">
        <f>IF([1]Sheet1!N157="","",[1]Sheet1!N157)</f>
        <v>67,134</v>
      </c>
      <c r="O121" t="str">
        <f>IF([1]Sheet1!O157="","",[1]Sheet1!O157)</f>
        <v/>
      </c>
      <c r="P121" t="str">
        <f>IF([1]Sheet1!P157="","",[1]Sheet1!P157)</f>
        <v>152</v>
      </c>
    </row>
    <row r="122" spans="1:16" x14ac:dyDescent="0.25">
      <c r="A122" t="str">
        <f>IF([1]Sheet1!A158="","",[1]Sheet1!A158)</f>
        <v>v1</v>
      </c>
      <c r="B122" t="str">
        <f>IF([1]Sheet1!B158="","",[1]Sheet1!B158)</f>
        <v>v2</v>
      </c>
      <c r="C122" t="str">
        <f>IF([1]Sheet1!C158="","",[1]Sheet1!C158)</f>
        <v/>
      </c>
      <c r="D122" t="str">
        <f>IF([1]Sheet1!D158="","",[1]Sheet1!D158)</f>
        <v>200</v>
      </c>
      <c r="E122" t="str">
        <f>IF([1]Sheet1!E158="","",[1]Sheet1!E158)</f>
        <v>20</v>
      </c>
      <c r="F122" t="str">
        <f>IF([1]Sheet1!F158="","",[1]Sheet1!F158)</f>
        <v>180</v>
      </c>
      <c r="G122" t="str">
        <f>IF([1]Sheet1!G158="","",[1]Sheet1!G158)</f>
        <v>0</v>
      </c>
      <c r="H122" t="str">
        <f>IF([1]Sheet1!H158="","",[1]Sheet1!H158)</f>
        <v>D</v>
      </c>
      <c r="I122" t="str">
        <f>IF([1]Sheet1!I158="","",[1]Sheet1!I158)</f>
        <v/>
      </c>
      <c r="J122" t="str">
        <f>IF([1]Sheet1!J158="","",[1]Sheet1!J158)</f>
        <v/>
      </c>
      <c r="K122" t="str">
        <f>IF([1]Sheet1!K158="","",[1]Sheet1!K158)</f>
        <v/>
      </c>
      <c r="L122" t="str">
        <f>IF([1]Sheet1!L158="","",[1]Sheet1!L158)</f>
        <v/>
      </c>
      <c r="M122" t="str">
        <f>IF([1]Sheet1!M158="","",[1]Sheet1!M158)</f>
        <v/>
      </c>
      <c r="N122" t="str">
        <f>IF([1]Sheet1!N158="","",[1]Sheet1!N158)</f>
        <v/>
      </c>
      <c r="O122" t="str">
        <f>IF([1]Sheet1!O158="","",[1]Sheet1!O158)</f>
        <v>RÉ</v>
      </c>
      <c r="P122" t="str">
        <f>IF([1]Sheet1!P158="","",[1]Sheet1!P158)</f>
        <v>153</v>
      </c>
    </row>
    <row r="123" spans="1:16" x14ac:dyDescent="0.25">
      <c r="A123" t="str">
        <f>IF([1]Sheet1!A159="","",[1]Sheet1!A159)</f>
        <v>v1</v>
      </c>
      <c r="B123" t="str">
        <f>IF([1]Sheet1!B159="","",[1]Sheet1!B159)</f>
        <v>1</v>
      </c>
      <c r="C123" t="str">
        <f>IF([1]Sheet1!C159="","",[1]Sheet1!C159)</f>
        <v/>
      </c>
      <c r="D123" t="str">
        <f>IF([1]Sheet1!D159="","",[1]Sheet1!D159)</f>
        <v>200</v>
      </c>
      <c r="E123" t="str">
        <f>IF([1]Sheet1!E159="","",[1]Sheet1!E159)</f>
        <v>3</v>
      </c>
      <c r="F123" t="str">
        <f>IF([1]Sheet1!F159="","",[1]Sheet1!F159)</f>
        <v>57</v>
      </c>
      <c r="G123" t="str">
        <f>IF([1]Sheet1!G159="","",[1]Sheet1!G159)</f>
        <v>46</v>
      </c>
      <c r="H123" t="str">
        <f>IF([1]Sheet1!H159="","",[1]Sheet1!H159)</f>
        <v>D</v>
      </c>
      <c r="I123" t="str">
        <f>IF([1]Sheet1!I159="","",[1]Sheet1!I159)</f>
        <v>92</v>
      </c>
      <c r="J123" t="str">
        <f>IF([1]Sheet1!J159="","",[1]Sheet1!J159)</f>
        <v>2</v>
      </c>
      <c r="K123" t="str">
        <f>IF([1]Sheet1!K159="","",[1]Sheet1!K159)</f>
        <v/>
      </c>
      <c r="L123" t="str">
        <f>IF([1]Sheet1!L159="","",[1]Sheet1!L159)</f>
        <v>2000</v>
      </c>
      <c r="M123" t="str">
        <f>IF([1]Sheet1!M159="","",[1]Sheet1!M159)</f>
        <v/>
      </c>
      <c r="N123" t="str">
        <f>IF([1]Sheet1!N159="","",[1]Sheet1!N159)</f>
        <v>24,749</v>
      </c>
      <c r="O123" t="str">
        <f>IF([1]Sheet1!O159="","",[1]Sheet1!O159)</f>
        <v xml:space="preserve">inicio estrada </v>
      </c>
      <c r="P123" t="str">
        <f>IF([1]Sheet1!P159="","",[1]Sheet1!P159)</f>
        <v>154</v>
      </c>
    </row>
    <row r="124" spans="1:16" x14ac:dyDescent="0.25">
      <c r="A124" t="str">
        <f>IF([1]Sheet1!A160="","",[1]Sheet1!A160)</f>
        <v>v1</v>
      </c>
      <c r="B124" t="str">
        <f>IF([1]Sheet1!B160="","",[1]Sheet1!B160)</f>
        <v>2</v>
      </c>
      <c r="C124" t="str">
        <f>IF([1]Sheet1!C160="","",[1]Sheet1!C160)</f>
        <v/>
      </c>
      <c r="D124" t="str">
        <f>IF([1]Sheet1!D160="","",[1]Sheet1!D160)</f>
        <v>200</v>
      </c>
      <c r="E124" t="str">
        <f>IF([1]Sheet1!E160="","",[1]Sheet1!E160)</f>
        <v>3</v>
      </c>
      <c r="F124" t="str">
        <f>IF([1]Sheet1!F160="","",[1]Sheet1!F160)</f>
        <v>57</v>
      </c>
      <c r="G124" t="str">
        <f>IF([1]Sheet1!G160="","",[1]Sheet1!G160)</f>
        <v>46</v>
      </c>
      <c r="H124" t="str">
        <f>IF([1]Sheet1!H160="","",[1]Sheet1!H160)</f>
        <v>D</v>
      </c>
      <c r="I124" t="str">
        <f>IF([1]Sheet1!I160="","",[1]Sheet1!I160)</f>
        <v>92</v>
      </c>
      <c r="J124" t="str">
        <f>IF([1]Sheet1!J160="","",[1]Sheet1!J160)</f>
        <v>9</v>
      </c>
      <c r="K124" t="str">
        <f>IF([1]Sheet1!K160="","",[1]Sheet1!K160)</f>
        <v/>
      </c>
      <c r="L124" t="str">
        <f>IF([1]Sheet1!L160="","",[1]Sheet1!L160)</f>
        <v>2000</v>
      </c>
      <c r="M124" t="str">
        <f>IF([1]Sheet1!M160="","",[1]Sheet1!M160)</f>
        <v/>
      </c>
      <c r="N124" t="str">
        <f>IF([1]Sheet1!N160="","",[1]Sheet1!N160)</f>
        <v>37,977</v>
      </c>
      <c r="O124" t="str">
        <f>IF([1]Sheet1!O160="","",[1]Sheet1!O160)</f>
        <v xml:space="preserve">FIM de estrada </v>
      </c>
      <c r="P124" t="str">
        <f>IF([1]Sheet1!P160="","",[1]Sheet1!P160)</f>
        <v>155</v>
      </c>
    </row>
    <row r="125" spans="1:16" x14ac:dyDescent="0.25">
      <c r="A125" t="str">
        <f>IF([1]Sheet1!A161="","",[1]Sheet1!A161)</f>
        <v>v1</v>
      </c>
      <c r="B125" t="str">
        <f>IF([1]Sheet1!B161="","",[1]Sheet1!B161)</f>
        <v>3</v>
      </c>
      <c r="C125" t="str">
        <f>IF([1]Sheet1!C161="","",[1]Sheet1!C161)</f>
        <v/>
      </c>
      <c r="D125" t="str">
        <f>IF([1]Sheet1!D161="","",[1]Sheet1!D161)</f>
        <v>200</v>
      </c>
      <c r="E125" t="str">
        <f>IF([1]Sheet1!E161="","",[1]Sheet1!E161)</f>
        <v/>
      </c>
      <c r="F125" t="str">
        <f>IF([1]Sheet1!F161="","",[1]Sheet1!F161)</f>
        <v>57</v>
      </c>
      <c r="G125" t="str">
        <f>IF([1]Sheet1!G161="","",[1]Sheet1!G161)</f>
        <v>46</v>
      </c>
      <c r="H125" t="str">
        <f>IF([1]Sheet1!H161="","",[1]Sheet1!H161)</f>
        <v>D</v>
      </c>
      <c r="I125" t="str">
        <f>IF([1]Sheet1!I161="","",[1]Sheet1!I161)</f>
        <v>90</v>
      </c>
      <c r="J125" t="str">
        <f>IF([1]Sheet1!J161="","",[1]Sheet1!J161)</f>
        <v>55</v>
      </c>
      <c r="K125" t="str">
        <f>IF([1]Sheet1!K161="","",[1]Sheet1!K161)</f>
        <v/>
      </c>
      <c r="L125" t="str">
        <f>IF([1]Sheet1!L161="","",[1]Sheet1!L161)</f>
        <v>2000</v>
      </c>
      <c r="M125" t="str">
        <f>IF([1]Sheet1!M161="","",[1]Sheet1!M161)</f>
        <v/>
      </c>
      <c r="N125" t="str">
        <f>IF([1]Sheet1!N161="","",[1]Sheet1!N161)</f>
        <v>85,212</v>
      </c>
      <c r="O125" t="str">
        <f>IF([1]Sheet1!O161="","",[1]Sheet1!O161)</f>
        <v/>
      </c>
      <c r="P125" t="str">
        <f>IF([1]Sheet1!P161="","",[1]Sheet1!P161)</f>
        <v>156</v>
      </c>
    </row>
    <row r="126" spans="1:16" x14ac:dyDescent="0.25">
      <c r="A126" t="str">
        <f>IF([1]Sheet1!A162="","",[1]Sheet1!A162)</f>
        <v>v1</v>
      </c>
      <c r="B126" t="str">
        <f>IF([1]Sheet1!B162="","",[1]Sheet1!B162)</f>
        <v>v3</v>
      </c>
      <c r="C126" t="str">
        <f>IF([1]Sheet1!C162="","",[1]Sheet1!C162)</f>
        <v/>
      </c>
      <c r="D126" t="str">
        <f>IF([1]Sheet1!D162="","",[1]Sheet1!D162)</f>
        <v>200</v>
      </c>
      <c r="E126" t="str">
        <f>IF([1]Sheet1!E162="","",[1]Sheet1!E162)</f>
        <v/>
      </c>
      <c r="F126" t="str">
        <f>IF([1]Sheet1!F162="","",[1]Sheet1!F162)</f>
        <v>57</v>
      </c>
      <c r="G126" t="str">
        <f>IF([1]Sheet1!G162="","",[1]Sheet1!G162)</f>
        <v>46</v>
      </c>
      <c r="H126" t="str">
        <f>IF([1]Sheet1!H162="","",[1]Sheet1!H162)</f>
        <v>D</v>
      </c>
      <c r="I126" t="str">
        <f>IF([1]Sheet1!I162="","",[1]Sheet1!I162)</f>
        <v>91</v>
      </c>
      <c r="J126" t="str">
        <f>IF([1]Sheet1!J162="","",[1]Sheet1!J162)</f>
        <v>22</v>
      </c>
      <c r="K126" t="str">
        <f>IF([1]Sheet1!K162="","",[1]Sheet1!K162)</f>
        <v/>
      </c>
      <c r="L126" t="str">
        <f>IF([1]Sheet1!L162="","",[1]Sheet1!L162)</f>
        <v>2000</v>
      </c>
      <c r="M126" t="str">
        <f>IF([1]Sheet1!M162="","",[1]Sheet1!M162)</f>
        <v/>
      </c>
      <c r="N126" t="str">
        <f>IF([1]Sheet1!N162="","",[1]Sheet1!N162)</f>
        <v>126,068</v>
      </c>
      <c r="O126" t="str">
        <f>IF([1]Sheet1!O162="","",[1]Sheet1!O162)</f>
        <v xml:space="preserve">POSTE </v>
      </c>
      <c r="P126" t="str">
        <f>IF([1]Sheet1!P162="","",[1]Sheet1!P162)</f>
        <v>157</v>
      </c>
    </row>
    <row r="127" spans="1:16" x14ac:dyDescent="0.25">
      <c r="A127" t="str">
        <f>IF([1]Sheet1!A163="","",[1]Sheet1!A163)</f>
        <v>v3</v>
      </c>
      <c r="B127" t="str">
        <f>IF([1]Sheet1!B163="","",[1]Sheet1!B163)</f>
        <v>v1</v>
      </c>
      <c r="C127" t="str">
        <f>IF([1]Sheet1!C163="","",[1]Sheet1!C163)</f>
        <v/>
      </c>
      <c r="D127" t="str">
        <f>IF([1]Sheet1!D163="","",[1]Sheet1!D163)</f>
        <v>200</v>
      </c>
      <c r="E127" t="str">
        <f>IF([1]Sheet1!E163="","",[1]Sheet1!E163)</f>
        <v>20</v>
      </c>
      <c r="F127" t="str">
        <f>IF([1]Sheet1!F163="","",[1]Sheet1!F163)</f>
        <v>180</v>
      </c>
      <c r="G127" t="str">
        <f>IF([1]Sheet1!G163="","",[1]Sheet1!G163)</f>
        <v>0</v>
      </c>
      <c r="H127" t="str">
        <f>IF([1]Sheet1!H163="","",[1]Sheet1!H163)</f>
        <v>E</v>
      </c>
      <c r="I127" t="str">
        <f>IF([1]Sheet1!I163="","",[1]Sheet1!I163)</f>
        <v/>
      </c>
      <c r="J127" t="str">
        <f>IF([1]Sheet1!J163="","",[1]Sheet1!J163)</f>
        <v/>
      </c>
      <c r="K127" t="str">
        <f>IF([1]Sheet1!K163="","",[1]Sheet1!K163)</f>
        <v/>
      </c>
      <c r="L127" t="str">
        <f>IF([1]Sheet1!L163="","",[1]Sheet1!L163)</f>
        <v/>
      </c>
      <c r="M127" t="str">
        <f>IF([1]Sheet1!M163="","",[1]Sheet1!M163)</f>
        <v/>
      </c>
      <c r="N127" t="str">
        <f>IF([1]Sheet1!N163="","",[1]Sheet1!N163)</f>
        <v/>
      </c>
      <c r="O127" t="str">
        <f>IF([1]Sheet1!O163="","",[1]Sheet1!O163)</f>
        <v>RÉ</v>
      </c>
      <c r="P127" t="str">
        <f>IF([1]Sheet1!P163="","",[1]Sheet1!P163)</f>
        <v>158</v>
      </c>
    </row>
    <row r="128" spans="1:16" x14ac:dyDescent="0.25">
      <c r="A128" t="str">
        <f>IF([1]Sheet1!A164="","",[1]Sheet1!A164)</f>
        <v>v3</v>
      </c>
      <c r="B128" t="str">
        <f>IF([1]Sheet1!B164="","",[1]Sheet1!B164)</f>
        <v>1</v>
      </c>
      <c r="C128" t="str">
        <f>IF([1]Sheet1!C164="","",[1]Sheet1!C164)</f>
        <v/>
      </c>
      <c r="D128" t="str">
        <f>IF([1]Sheet1!D164="","",[1]Sheet1!D164)</f>
        <v>200</v>
      </c>
      <c r="E128" t="str">
        <f>IF([1]Sheet1!E164="","",[1]Sheet1!E164)</f>
        <v/>
      </c>
      <c r="F128" t="str">
        <f>IF([1]Sheet1!F164="","",[1]Sheet1!F164)</f>
        <v>37</v>
      </c>
      <c r="G128" t="str">
        <f>IF([1]Sheet1!G164="","",[1]Sheet1!G164)</f>
        <v>25</v>
      </c>
      <c r="H128" t="str">
        <f>IF([1]Sheet1!H164="","",[1]Sheet1!H164)</f>
        <v>E</v>
      </c>
      <c r="I128" t="str">
        <f>IF([1]Sheet1!I164="","",[1]Sheet1!I164)</f>
        <v>91</v>
      </c>
      <c r="J128" t="str">
        <f>IF([1]Sheet1!J164="","",[1]Sheet1!J164)</f>
        <v>40</v>
      </c>
      <c r="K128" t="str">
        <f>IF([1]Sheet1!K164="","",[1]Sheet1!K164)</f>
        <v/>
      </c>
      <c r="L128" t="str">
        <f>IF([1]Sheet1!L164="","",[1]Sheet1!L164)</f>
        <v>2000</v>
      </c>
      <c r="M128" t="str">
        <f>IF([1]Sheet1!M164="","",[1]Sheet1!M164)</f>
        <v/>
      </c>
      <c r="N128" t="str">
        <f>IF([1]Sheet1!N164="","",[1]Sheet1!N164)</f>
        <v>30,935</v>
      </c>
      <c r="O128" t="str">
        <f>IF([1]Sheet1!O164="","",[1]Sheet1!O164)</f>
        <v/>
      </c>
      <c r="P128" t="str">
        <f>IF([1]Sheet1!P164="","",[1]Sheet1!P164)</f>
        <v>159</v>
      </c>
    </row>
    <row r="129" spans="1:16" x14ac:dyDescent="0.25">
      <c r="A129" t="str">
        <f>IF([1]Sheet1!A165="","",[1]Sheet1!A165)</f>
        <v>v3</v>
      </c>
      <c r="B129" t="str">
        <f>IF([1]Sheet1!B165="","",[1]Sheet1!B165)</f>
        <v>2</v>
      </c>
      <c r="C129" t="str">
        <f>IF([1]Sheet1!C165="","",[1]Sheet1!C165)</f>
        <v/>
      </c>
      <c r="D129" t="str">
        <f>IF([1]Sheet1!D165="","",[1]Sheet1!D165)</f>
        <v>200</v>
      </c>
      <c r="E129" t="str">
        <f>IF([1]Sheet1!E165="","",[1]Sheet1!E165)</f>
        <v/>
      </c>
      <c r="F129" t="str">
        <f>IF([1]Sheet1!F165="","",[1]Sheet1!F165)</f>
        <v>37</v>
      </c>
      <c r="G129" t="str">
        <f>IF([1]Sheet1!G165="","",[1]Sheet1!G165)</f>
        <v>25</v>
      </c>
      <c r="H129" t="str">
        <f>IF([1]Sheet1!H165="","",[1]Sheet1!H165)</f>
        <v>E</v>
      </c>
      <c r="I129" t="str">
        <f>IF([1]Sheet1!I165="","",[1]Sheet1!I165)</f>
        <v>91</v>
      </c>
      <c r="J129" t="str">
        <f>IF([1]Sheet1!J165="","",[1]Sheet1!J165)</f>
        <v>52</v>
      </c>
      <c r="K129" t="str">
        <f>IF([1]Sheet1!K165="","",[1]Sheet1!K165)</f>
        <v/>
      </c>
      <c r="L129" t="str">
        <f>IF([1]Sheet1!L165="","",[1]Sheet1!L165)</f>
        <v>2000</v>
      </c>
      <c r="M129" t="str">
        <f>IF([1]Sheet1!M165="","",[1]Sheet1!M165)</f>
        <v/>
      </c>
      <c r="N129" t="str">
        <f>IF([1]Sheet1!N165="","",[1]Sheet1!N165)</f>
        <v>57,51</v>
      </c>
      <c r="O129" t="str">
        <f>IF([1]Sheet1!O165="","",[1]Sheet1!O165)</f>
        <v/>
      </c>
      <c r="P129" t="str">
        <f>IF([1]Sheet1!P165="","",[1]Sheet1!P165)</f>
        <v>160</v>
      </c>
    </row>
    <row r="130" spans="1:16" x14ac:dyDescent="0.25">
      <c r="A130" t="str">
        <f>IF([1]Sheet1!A166="","",[1]Sheet1!A166)</f>
        <v>v3</v>
      </c>
      <c r="B130" t="str">
        <f>IF([1]Sheet1!B166="","",[1]Sheet1!B166)</f>
        <v>3</v>
      </c>
      <c r="C130" t="str">
        <f>IF([1]Sheet1!C166="","",[1]Sheet1!C166)</f>
        <v/>
      </c>
      <c r="D130" t="str">
        <f>IF([1]Sheet1!D166="","",[1]Sheet1!D166)</f>
        <v>200</v>
      </c>
      <c r="E130" t="str">
        <f>IF([1]Sheet1!E166="","",[1]Sheet1!E166)</f>
        <v>5</v>
      </c>
      <c r="F130" t="str">
        <f>IF([1]Sheet1!F166="","",[1]Sheet1!F166)</f>
        <v>37</v>
      </c>
      <c r="G130" t="str">
        <f>IF([1]Sheet1!G166="","",[1]Sheet1!G166)</f>
        <v>25</v>
      </c>
      <c r="H130" t="str">
        <f>IF([1]Sheet1!H166="","",[1]Sheet1!H166)</f>
        <v>E</v>
      </c>
      <c r="I130" t="str">
        <f>IF([1]Sheet1!I166="","",[1]Sheet1!I166)</f>
        <v>92</v>
      </c>
      <c r="J130" t="str">
        <f>IF([1]Sheet1!J166="","",[1]Sheet1!J166)</f>
        <v>51</v>
      </c>
      <c r="K130" t="str">
        <f>IF([1]Sheet1!K166="","",[1]Sheet1!K166)</f>
        <v/>
      </c>
      <c r="L130" t="str">
        <f>IF([1]Sheet1!L166="","",[1]Sheet1!L166)</f>
        <v>2000</v>
      </c>
      <c r="M130" t="str">
        <f>IF([1]Sheet1!M166="","",[1]Sheet1!M166)</f>
        <v/>
      </c>
      <c r="N130" t="str">
        <f>IF([1]Sheet1!N166="","",[1]Sheet1!N166)</f>
        <v>91,649</v>
      </c>
      <c r="O130" t="str">
        <f>IF([1]Sheet1!O166="","",[1]Sheet1!O166)</f>
        <v>05 fios liso</v>
      </c>
      <c r="P130" t="str">
        <f>IF([1]Sheet1!P166="","",[1]Sheet1!P166)</f>
        <v>161</v>
      </c>
    </row>
    <row r="131" spans="1:16" x14ac:dyDescent="0.25">
      <c r="A131" t="str">
        <f>IF([1]Sheet1!A167="","",[1]Sheet1!A167)</f>
        <v>v3</v>
      </c>
      <c r="B131" t="str">
        <f>IF([1]Sheet1!B167="","",[1]Sheet1!B167)</f>
        <v>4</v>
      </c>
      <c r="C131" t="str">
        <f>IF([1]Sheet1!C167="","",[1]Sheet1!C167)</f>
        <v/>
      </c>
      <c r="D131" t="str">
        <f>IF([1]Sheet1!D167="","",[1]Sheet1!D167)</f>
        <v>200</v>
      </c>
      <c r="E131" t="str">
        <f>IF([1]Sheet1!E167="","",[1]Sheet1!E167)</f>
        <v/>
      </c>
      <c r="F131" t="str">
        <f>IF([1]Sheet1!F167="","",[1]Sheet1!F167)</f>
        <v>37</v>
      </c>
      <c r="G131" t="str">
        <f>IF([1]Sheet1!G167="","",[1]Sheet1!G167)</f>
        <v>25</v>
      </c>
      <c r="H131" t="str">
        <f>IF([1]Sheet1!H167="","",[1]Sheet1!H167)</f>
        <v>E</v>
      </c>
      <c r="I131" t="str">
        <f>IF([1]Sheet1!I167="","",[1]Sheet1!I167)</f>
        <v>92</v>
      </c>
      <c r="J131" t="str">
        <f>IF([1]Sheet1!J167="","",[1]Sheet1!J167)</f>
        <v>46</v>
      </c>
      <c r="K131" t="str">
        <f>IF([1]Sheet1!K167="","",[1]Sheet1!K167)</f>
        <v/>
      </c>
      <c r="L131" t="str">
        <f>IF([1]Sheet1!L167="","",[1]Sheet1!L167)</f>
        <v>2000</v>
      </c>
      <c r="M131" t="str">
        <f>IF([1]Sheet1!M167="","",[1]Sheet1!M167)</f>
        <v/>
      </c>
      <c r="N131" t="str">
        <f>IF([1]Sheet1!N167="","",[1]Sheet1!N167)</f>
        <v>95,859</v>
      </c>
      <c r="O131" t="str">
        <f>IF([1]Sheet1!O167="","",[1]Sheet1!O167)</f>
        <v>Poste</v>
      </c>
      <c r="P131" t="str">
        <f>IF([1]Sheet1!P167="","",[1]Sheet1!P167)</f>
        <v>162</v>
      </c>
    </row>
    <row r="132" spans="1:16" x14ac:dyDescent="0.25">
      <c r="A132" t="str">
        <f>IF([1]Sheet1!A168="","",[1]Sheet1!A168)</f>
        <v>v3</v>
      </c>
      <c r="B132" t="str">
        <f>IF([1]Sheet1!B168="","",[1]Sheet1!B168)</f>
        <v>5</v>
      </c>
      <c r="C132" t="str">
        <f>IF([1]Sheet1!C168="","",[1]Sheet1!C168)</f>
        <v/>
      </c>
      <c r="D132" t="str">
        <f>IF([1]Sheet1!D168="","",[1]Sheet1!D168)</f>
        <v>200</v>
      </c>
      <c r="E132" t="str">
        <f>IF([1]Sheet1!E168="","",[1]Sheet1!E168)</f>
        <v/>
      </c>
      <c r="F132" t="str">
        <f>IF([1]Sheet1!F168="","",[1]Sheet1!F168)</f>
        <v>37</v>
      </c>
      <c r="G132" t="str">
        <f>IF([1]Sheet1!G168="","",[1]Sheet1!G168)</f>
        <v>25</v>
      </c>
      <c r="H132" t="str">
        <f>IF([1]Sheet1!H168="","",[1]Sheet1!H168)</f>
        <v>E</v>
      </c>
      <c r="I132" t="str">
        <f>IF([1]Sheet1!I168="","",[1]Sheet1!I168)</f>
        <v>93</v>
      </c>
      <c r="J132" t="str">
        <f>IF([1]Sheet1!J168="","",[1]Sheet1!J168)</f>
        <v>20</v>
      </c>
      <c r="K132" t="str">
        <f>IF([1]Sheet1!K168="","",[1]Sheet1!K168)</f>
        <v/>
      </c>
      <c r="L132" t="str">
        <f>IF([1]Sheet1!L168="","",[1]Sheet1!L168)</f>
        <v>2000</v>
      </c>
      <c r="M132" t="str">
        <f>IF([1]Sheet1!M168="","",[1]Sheet1!M168)</f>
        <v/>
      </c>
      <c r="N132" t="str">
        <f>IF([1]Sheet1!N168="","",[1]Sheet1!N168)</f>
        <v>141,108</v>
      </c>
      <c r="O132" t="str">
        <f>IF([1]Sheet1!O168="","",[1]Sheet1!O168)</f>
        <v/>
      </c>
      <c r="P132" t="str">
        <f>IF([1]Sheet1!P168="","",[1]Sheet1!P168)</f>
        <v>163</v>
      </c>
    </row>
    <row r="133" spans="1:16" x14ac:dyDescent="0.25">
      <c r="A133" t="str">
        <f>IF([1]Sheet1!A169="","",[1]Sheet1!A169)</f>
        <v>v3</v>
      </c>
      <c r="B133" t="str">
        <f>IF([1]Sheet1!B169="","",[1]Sheet1!B169)</f>
        <v>6</v>
      </c>
      <c r="C133" t="str">
        <f>IF([1]Sheet1!C169="","",[1]Sheet1!C169)</f>
        <v/>
      </c>
      <c r="D133" t="str">
        <f>IF([1]Sheet1!D169="","",[1]Sheet1!D169)</f>
        <v>200</v>
      </c>
      <c r="E133" t="str">
        <f>IF([1]Sheet1!E169="","",[1]Sheet1!E169)</f>
        <v/>
      </c>
      <c r="F133" t="str">
        <f>IF([1]Sheet1!F169="","",[1]Sheet1!F169)</f>
        <v>37</v>
      </c>
      <c r="G133" t="str">
        <f>IF([1]Sheet1!G169="","",[1]Sheet1!G169)</f>
        <v>25</v>
      </c>
      <c r="H133" t="str">
        <f>IF([1]Sheet1!H169="","",[1]Sheet1!H169)</f>
        <v>E</v>
      </c>
      <c r="I133" t="str">
        <f>IF([1]Sheet1!I169="","",[1]Sheet1!I169)</f>
        <v>93</v>
      </c>
      <c r="J133" t="str">
        <f>IF([1]Sheet1!J169="","",[1]Sheet1!J169)</f>
        <v>29</v>
      </c>
      <c r="K133" t="str">
        <f>IF([1]Sheet1!K169="","",[1]Sheet1!K169)</f>
        <v/>
      </c>
      <c r="L133" t="str">
        <f>IF([1]Sheet1!L169="","",[1]Sheet1!L169)</f>
        <v>2000</v>
      </c>
      <c r="M133" t="str">
        <f>IF([1]Sheet1!M169="","",[1]Sheet1!M169)</f>
        <v/>
      </c>
      <c r="N133" t="str">
        <f>IF([1]Sheet1!N169="","",[1]Sheet1!N169)</f>
        <v>170,22</v>
      </c>
      <c r="O133" t="str">
        <f>IF([1]Sheet1!O169="","",[1]Sheet1!O169)</f>
        <v/>
      </c>
      <c r="P133" t="str">
        <f>IF([1]Sheet1!P169="","",[1]Sheet1!P169)</f>
        <v>164</v>
      </c>
    </row>
    <row r="134" spans="1:16" x14ac:dyDescent="0.25">
      <c r="A134" t="str">
        <f>IF([1]Sheet1!A170="","",[1]Sheet1!A170)</f>
        <v>v3</v>
      </c>
      <c r="B134" t="str">
        <f>IF([1]Sheet1!B170="","",[1]Sheet1!B170)</f>
        <v>7</v>
      </c>
      <c r="C134" t="str">
        <f>IF([1]Sheet1!C170="","",[1]Sheet1!C170)</f>
        <v/>
      </c>
      <c r="D134" t="str">
        <f>IF([1]Sheet1!D170="","",[1]Sheet1!D170)</f>
        <v>200</v>
      </c>
      <c r="E134" t="str">
        <f>IF([1]Sheet1!E170="","",[1]Sheet1!E170)</f>
        <v/>
      </c>
      <c r="F134" t="str">
        <f>IF([1]Sheet1!F170="","",[1]Sheet1!F170)</f>
        <v>37</v>
      </c>
      <c r="G134" t="str">
        <f>IF([1]Sheet1!G170="","",[1]Sheet1!G170)</f>
        <v>25</v>
      </c>
      <c r="H134" t="str">
        <f>IF([1]Sheet1!H170="","",[1]Sheet1!H170)</f>
        <v>E</v>
      </c>
      <c r="I134" t="str">
        <f>IF([1]Sheet1!I170="","",[1]Sheet1!I170)</f>
        <v>93</v>
      </c>
      <c r="J134" t="str">
        <f>IF([1]Sheet1!J170="","",[1]Sheet1!J170)</f>
        <v>36</v>
      </c>
      <c r="K134" t="str">
        <f>IF([1]Sheet1!K170="","",[1]Sheet1!K170)</f>
        <v/>
      </c>
      <c r="L134" t="str">
        <f>IF([1]Sheet1!L170="","",[1]Sheet1!L170)</f>
        <v>2000</v>
      </c>
      <c r="M134" t="str">
        <f>IF([1]Sheet1!M170="","",[1]Sheet1!M170)</f>
        <v/>
      </c>
      <c r="N134" t="str">
        <f>IF([1]Sheet1!N170="","",[1]Sheet1!N170)</f>
        <v>191,144</v>
      </c>
      <c r="O134" t="str">
        <f>IF([1]Sheet1!O170="","",[1]Sheet1!O170)</f>
        <v>Poste</v>
      </c>
      <c r="P134" t="str">
        <f>IF([1]Sheet1!P170="","",[1]Sheet1!P170)</f>
        <v>165</v>
      </c>
    </row>
    <row r="135" spans="1:16" x14ac:dyDescent="0.25">
      <c r="A135" t="str">
        <f>IF([1]Sheet1!A171="","",[1]Sheet1!A171)</f>
        <v>v3</v>
      </c>
      <c r="B135" t="str">
        <f>IF([1]Sheet1!B171="","",[1]Sheet1!B171)</f>
        <v>8</v>
      </c>
      <c r="C135" t="str">
        <f>IF([1]Sheet1!C171="","",[1]Sheet1!C171)</f>
        <v/>
      </c>
      <c r="D135" t="str">
        <f>IF([1]Sheet1!D171="","",[1]Sheet1!D171)</f>
        <v>200</v>
      </c>
      <c r="E135" t="str">
        <f>IF([1]Sheet1!E171="","",[1]Sheet1!E171)</f>
        <v>5</v>
      </c>
      <c r="F135" t="str">
        <f>IF([1]Sheet1!F171="","",[1]Sheet1!F171)</f>
        <v>37</v>
      </c>
      <c r="G135" t="str">
        <f>IF([1]Sheet1!G171="","",[1]Sheet1!G171)</f>
        <v>25</v>
      </c>
      <c r="H135" t="str">
        <f>IF([1]Sheet1!H171="","",[1]Sheet1!H171)</f>
        <v>E</v>
      </c>
      <c r="I135" t="str">
        <f>IF([1]Sheet1!I171="","",[1]Sheet1!I171)</f>
        <v>93</v>
      </c>
      <c r="J135" t="str">
        <f>IF([1]Sheet1!J171="","",[1]Sheet1!J171)</f>
        <v>35</v>
      </c>
      <c r="K135" t="str">
        <f>IF([1]Sheet1!K171="","",[1]Sheet1!K171)</f>
        <v/>
      </c>
      <c r="L135" t="str">
        <f>IF([1]Sheet1!L171="","",[1]Sheet1!L171)</f>
        <v>2000</v>
      </c>
      <c r="M135" t="str">
        <f>IF([1]Sheet1!M171="","",[1]Sheet1!M171)</f>
        <v/>
      </c>
      <c r="N135" t="str">
        <f>IF([1]Sheet1!N171="","",[1]Sheet1!N171)</f>
        <v>219,306</v>
      </c>
      <c r="O135" t="str">
        <f>IF([1]Sheet1!O171="","",[1]Sheet1!O171)</f>
        <v xml:space="preserve">07 fios liso </v>
      </c>
      <c r="P135" t="str">
        <f>IF([1]Sheet1!P171="","",[1]Sheet1!P171)</f>
        <v>166</v>
      </c>
    </row>
    <row r="136" spans="1:16" x14ac:dyDescent="0.25">
      <c r="A136" t="str">
        <f>IF([1]Sheet1!A172="","",[1]Sheet1!A172)</f>
        <v>v3</v>
      </c>
      <c r="B136" t="str">
        <f>IF([1]Sheet1!B172="","",[1]Sheet1!B172)</f>
        <v>9</v>
      </c>
      <c r="C136" t="str">
        <f>IF([1]Sheet1!C172="","",[1]Sheet1!C172)</f>
        <v/>
      </c>
      <c r="D136" t="str">
        <f>IF([1]Sheet1!D172="","",[1]Sheet1!D172)</f>
        <v>200</v>
      </c>
      <c r="E136" t="str">
        <f>IF([1]Sheet1!E172="","",[1]Sheet1!E172)</f>
        <v>5</v>
      </c>
      <c r="F136" t="str">
        <f>IF([1]Sheet1!F172="","",[1]Sheet1!F172)</f>
        <v>37</v>
      </c>
      <c r="G136" t="str">
        <f>IF([1]Sheet1!G172="","",[1]Sheet1!G172)</f>
        <v>25</v>
      </c>
      <c r="H136" t="str">
        <f>IF([1]Sheet1!H172="","",[1]Sheet1!H172)</f>
        <v>E</v>
      </c>
      <c r="I136" t="str">
        <f>IF([1]Sheet1!I172="","",[1]Sheet1!I172)</f>
        <v>93</v>
      </c>
      <c r="J136" t="str">
        <f>IF([1]Sheet1!J172="","",[1]Sheet1!J172)</f>
        <v>28</v>
      </c>
      <c r="K136" t="str">
        <f>IF([1]Sheet1!K172="","",[1]Sheet1!K172)</f>
        <v/>
      </c>
      <c r="L136" t="str">
        <f>IF([1]Sheet1!L172="","",[1]Sheet1!L172)</f>
        <v>2000</v>
      </c>
      <c r="M136" t="str">
        <f>IF([1]Sheet1!M172="","",[1]Sheet1!M172)</f>
        <v/>
      </c>
      <c r="N136" t="str">
        <f>IF([1]Sheet1!N172="","",[1]Sheet1!N172)</f>
        <v>245,443</v>
      </c>
      <c r="O136" t="str">
        <f>IF([1]Sheet1!O172="","",[1]Sheet1!O172)</f>
        <v xml:space="preserve">07 fios liso </v>
      </c>
      <c r="P136" t="str">
        <f>IF([1]Sheet1!P172="","",[1]Sheet1!P172)</f>
        <v>167</v>
      </c>
    </row>
    <row r="137" spans="1:16" x14ac:dyDescent="0.25">
      <c r="A137" t="str">
        <f>IF([1]Sheet1!A173="","",[1]Sheet1!A173)</f>
        <v>v3</v>
      </c>
      <c r="B137" t="str">
        <f>IF([1]Sheet1!B173="","",[1]Sheet1!B173)</f>
        <v>10</v>
      </c>
      <c r="C137" t="str">
        <f>IF([1]Sheet1!C173="","",[1]Sheet1!C173)</f>
        <v/>
      </c>
      <c r="D137" t="str">
        <f>IF([1]Sheet1!D173="","",[1]Sheet1!D173)</f>
        <v>200</v>
      </c>
      <c r="E137" t="str">
        <f>IF([1]Sheet1!E173="","",[1]Sheet1!E173)</f>
        <v>27</v>
      </c>
      <c r="F137" t="str">
        <f>IF([1]Sheet1!F173="","",[1]Sheet1!F173)</f>
        <v>37</v>
      </c>
      <c r="G137" t="str">
        <f>IF([1]Sheet1!G173="","",[1]Sheet1!G173)</f>
        <v>25</v>
      </c>
      <c r="H137" t="str">
        <f>IF([1]Sheet1!H173="","",[1]Sheet1!H173)</f>
        <v>E</v>
      </c>
      <c r="I137" t="str">
        <f>IF([1]Sheet1!I173="","",[1]Sheet1!I173)</f>
        <v>93</v>
      </c>
      <c r="J137" t="str">
        <f>IF([1]Sheet1!J173="","",[1]Sheet1!J173)</f>
        <v>30</v>
      </c>
      <c r="K137" t="str">
        <f>IF([1]Sheet1!K173="","",[1]Sheet1!K173)</f>
        <v/>
      </c>
      <c r="L137" t="str">
        <f>IF([1]Sheet1!L173="","",[1]Sheet1!L173)</f>
        <v>2000</v>
      </c>
      <c r="M137" t="str">
        <f>IF([1]Sheet1!M173="","",[1]Sheet1!M173)</f>
        <v/>
      </c>
      <c r="N137" t="str">
        <f>IF([1]Sheet1!N173="","",[1]Sheet1!N173)</f>
        <v>254,492</v>
      </c>
      <c r="O137" t="str">
        <f>IF([1]Sheet1!O173="","",[1]Sheet1!O173)</f>
        <v/>
      </c>
      <c r="P137" t="str">
        <f>IF([1]Sheet1!P173="","",[1]Sheet1!P173)</f>
        <v>168</v>
      </c>
    </row>
    <row r="138" spans="1:16" x14ac:dyDescent="0.25">
      <c r="A138" t="str">
        <f>IF([1]Sheet1!A174="","",[1]Sheet1!A174)</f>
        <v>v3</v>
      </c>
      <c r="B138" t="str">
        <f>IF([1]Sheet1!B174="","",[1]Sheet1!B174)</f>
        <v>11</v>
      </c>
      <c r="C138" t="str">
        <f>IF([1]Sheet1!C174="","",[1]Sheet1!C174)</f>
        <v/>
      </c>
      <c r="D138" t="str">
        <f>IF([1]Sheet1!D174="","",[1]Sheet1!D174)</f>
        <v>200</v>
      </c>
      <c r="E138" t="str">
        <f>IF([1]Sheet1!E174="","",[1]Sheet1!E174)</f>
        <v/>
      </c>
      <c r="F138" t="str">
        <f>IF([1]Sheet1!F174="","",[1]Sheet1!F174)</f>
        <v>37</v>
      </c>
      <c r="G138" t="str">
        <f>IF([1]Sheet1!G174="","",[1]Sheet1!G174)</f>
        <v>25</v>
      </c>
      <c r="H138" t="str">
        <f>IF([1]Sheet1!H174="","",[1]Sheet1!H174)</f>
        <v>E</v>
      </c>
      <c r="I138" t="str">
        <f>IF([1]Sheet1!I174="","",[1]Sheet1!I174)</f>
        <v>92</v>
      </c>
      <c r="J138" t="str">
        <f>IF([1]Sheet1!J174="","",[1]Sheet1!J174)</f>
        <v>19</v>
      </c>
      <c r="K138" t="str">
        <f>IF([1]Sheet1!K174="","",[1]Sheet1!K174)</f>
        <v/>
      </c>
      <c r="L138" t="str">
        <f>IF([1]Sheet1!L174="","",[1]Sheet1!L174)</f>
        <v>2000</v>
      </c>
      <c r="M138" t="str">
        <f>IF([1]Sheet1!M174="","",[1]Sheet1!M174)</f>
        <v/>
      </c>
      <c r="N138" t="str">
        <f>IF([1]Sheet1!N174="","",[1]Sheet1!N174)</f>
        <v>458,91</v>
      </c>
      <c r="O138" t="str">
        <f>IF([1]Sheet1!O174="","",[1]Sheet1!O174)</f>
        <v xml:space="preserve">fim grota </v>
      </c>
      <c r="P138" t="str">
        <f>IF([1]Sheet1!P174="","",[1]Sheet1!P174)</f>
        <v>169</v>
      </c>
    </row>
    <row r="139" spans="1:16" x14ac:dyDescent="0.25">
      <c r="A139" t="str">
        <f>IF([1]Sheet1!A175="","",[1]Sheet1!A175)</f>
        <v>v3</v>
      </c>
      <c r="B139" t="str">
        <f>IF([1]Sheet1!B175="","",[1]Sheet1!B175)</f>
        <v>e13</v>
      </c>
      <c r="C139" t="str">
        <f>IF([1]Sheet1!C175="","",[1]Sheet1!C175)</f>
        <v/>
      </c>
      <c r="D139" t="str">
        <f>IF([1]Sheet1!D175="","",[1]Sheet1!D175)</f>
        <v>200</v>
      </c>
      <c r="E139" t="str">
        <f>IF([1]Sheet1!E175="","",[1]Sheet1!E175)</f>
        <v/>
      </c>
      <c r="F139" t="str">
        <f>IF([1]Sheet1!F175="","",[1]Sheet1!F175)</f>
        <v>37</v>
      </c>
      <c r="G139" t="str">
        <f>IF([1]Sheet1!G175="","",[1]Sheet1!G175)</f>
        <v>25</v>
      </c>
      <c r="H139" t="str">
        <f>IF([1]Sheet1!H175="","",[1]Sheet1!H175)</f>
        <v>E</v>
      </c>
      <c r="I139" t="str">
        <f>IF([1]Sheet1!I175="","",[1]Sheet1!I175)</f>
        <v>92</v>
      </c>
      <c r="J139" t="str">
        <f>IF([1]Sheet1!J175="","",[1]Sheet1!J175)</f>
        <v>5</v>
      </c>
      <c r="K139" t="str">
        <f>IF([1]Sheet1!K175="","",[1]Sheet1!K175)</f>
        <v/>
      </c>
      <c r="L139" t="str">
        <f>IF([1]Sheet1!L175="","",[1]Sheet1!L175)</f>
        <v>2000</v>
      </c>
      <c r="M139" t="str">
        <f>IF([1]Sheet1!M175="","",[1]Sheet1!M175)</f>
        <v/>
      </c>
      <c r="N139" t="str">
        <f>IF([1]Sheet1!N175="","",[1]Sheet1!N175)</f>
        <v>485,705</v>
      </c>
      <c r="O139" t="str">
        <f>IF([1]Sheet1!O175="","",[1]Sheet1!O175)</f>
        <v>Poste</v>
      </c>
      <c r="P139" t="str">
        <f>IF([1]Sheet1!P175="","",[1]Sheet1!P175)</f>
        <v>170</v>
      </c>
    </row>
    <row r="140" spans="1:16" x14ac:dyDescent="0.25">
      <c r="A140" t="str">
        <f>IF([1]Sheet1!A176="","",[1]Sheet1!A176)</f>
        <v>e13</v>
      </c>
      <c r="B140" t="str">
        <f>IF([1]Sheet1!B176="","",[1]Sheet1!B176)</f>
        <v>v3</v>
      </c>
      <c r="C140" t="str">
        <f>IF([1]Sheet1!C176="","",[1]Sheet1!C176)</f>
        <v/>
      </c>
      <c r="D140" t="str">
        <f>IF([1]Sheet1!D176="","",[1]Sheet1!D176)</f>
        <v>200</v>
      </c>
      <c r="E140" t="str">
        <f>IF([1]Sheet1!E176="","",[1]Sheet1!E176)</f>
        <v>20</v>
      </c>
      <c r="F140" t="str">
        <f>IF([1]Sheet1!F176="","",[1]Sheet1!F176)</f>
        <v>180</v>
      </c>
      <c r="G140" t="str">
        <f>IF([1]Sheet1!G176="","",[1]Sheet1!G176)</f>
        <v>0</v>
      </c>
      <c r="H140" t="str">
        <f>IF([1]Sheet1!H176="","",[1]Sheet1!H176)</f>
        <v>D</v>
      </c>
      <c r="I140" t="str">
        <f>IF([1]Sheet1!I176="","",[1]Sheet1!I176)</f>
        <v/>
      </c>
      <c r="J140" t="str">
        <f>IF([1]Sheet1!J176="","",[1]Sheet1!J176)</f>
        <v/>
      </c>
      <c r="K140" t="str">
        <f>IF([1]Sheet1!K176="","",[1]Sheet1!K176)</f>
        <v/>
      </c>
      <c r="L140" t="str">
        <f>IF([1]Sheet1!L176="","",[1]Sheet1!L176)</f>
        <v/>
      </c>
      <c r="M140" t="str">
        <f>IF([1]Sheet1!M176="","",[1]Sheet1!M176)</f>
        <v/>
      </c>
      <c r="N140" t="str">
        <f>IF([1]Sheet1!N176="","",[1]Sheet1!N176)</f>
        <v/>
      </c>
      <c r="O140" t="str">
        <f>IF([1]Sheet1!O176="","",[1]Sheet1!O176)</f>
        <v>RÉ</v>
      </c>
      <c r="P140" t="str">
        <f>IF([1]Sheet1!P176="","",[1]Sheet1!P176)</f>
        <v>171</v>
      </c>
    </row>
    <row r="141" spans="1:16" x14ac:dyDescent="0.25">
      <c r="A141" t="str">
        <f>IF([1]Sheet1!A177="","",[1]Sheet1!A177)</f>
        <v>e13</v>
      </c>
      <c r="B141" t="str">
        <f>IF([1]Sheet1!B177="","",[1]Sheet1!B177)</f>
        <v>1</v>
      </c>
      <c r="C141" t="str">
        <f>IF([1]Sheet1!C177="","",[1]Sheet1!C177)</f>
        <v/>
      </c>
      <c r="D141" t="str">
        <f>IF([1]Sheet1!D177="","",[1]Sheet1!D177)</f>
        <v>200</v>
      </c>
      <c r="E141" t="str">
        <f>IF([1]Sheet1!E177="","",[1]Sheet1!E177)</f>
        <v/>
      </c>
      <c r="F141" t="str">
        <f>IF([1]Sheet1!F177="","",[1]Sheet1!F177)</f>
        <v>0</v>
      </c>
      <c r="G141" t="str">
        <f>IF([1]Sheet1!G177="","",[1]Sheet1!G177)</f>
        <v>3</v>
      </c>
      <c r="H141" t="str">
        <f>IF([1]Sheet1!H177="","",[1]Sheet1!H177)</f>
        <v>D</v>
      </c>
      <c r="I141" t="str">
        <f>IF([1]Sheet1!I177="","",[1]Sheet1!I177)</f>
        <v>88</v>
      </c>
      <c r="J141" t="str">
        <f>IF([1]Sheet1!J177="","",[1]Sheet1!J177)</f>
        <v>9</v>
      </c>
      <c r="K141" t="str">
        <f>IF([1]Sheet1!K177="","",[1]Sheet1!K177)</f>
        <v/>
      </c>
      <c r="L141" t="str">
        <f>IF([1]Sheet1!L177="","",[1]Sheet1!L177)</f>
        <v>2000</v>
      </c>
      <c r="M141" t="str">
        <f>IF([1]Sheet1!M177="","",[1]Sheet1!M177)</f>
        <v/>
      </c>
      <c r="N141" t="str">
        <f>IF([1]Sheet1!N177="","",[1]Sheet1!N177)</f>
        <v>34,214</v>
      </c>
      <c r="O141" t="str">
        <f>IF([1]Sheet1!O177="","",[1]Sheet1!O177)</f>
        <v/>
      </c>
      <c r="P141" t="str">
        <f>IF([1]Sheet1!P177="","",[1]Sheet1!P177)</f>
        <v>172</v>
      </c>
    </row>
    <row r="142" spans="1:16" x14ac:dyDescent="0.25">
      <c r="A142" t="str">
        <f>IF([1]Sheet1!A178="","",[1]Sheet1!A178)</f>
        <v>e13</v>
      </c>
      <c r="B142" t="str">
        <f>IF([1]Sheet1!B178="","",[1]Sheet1!B178)</f>
        <v>2</v>
      </c>
      <c r="C142" t="str">
        <f>IF([1]Sheet1!C178="","",[1]Sheet1!C178)</f>
        <v/>
      </c>
      <c r="D142" t="str">
        <f>IF([1]Sheet1!D178="","",[1]Sheet1!D178)</f>
        <v>200</v>
      </c>
      <c r="E142" t="str">
        <f>IF([1]Sheet1!E178="","",[1]Sheet1!E178)</f>
        <v/>
      </c>
      <c r="F142" t="str">
        <f>IF([1]Sheet1!F178="","",[1]Sheet1!F178)</f>
        <v>0</v>
      </c>
      <c r="G142" t="str">
        <f>IF([1]Sheet1!G178="","",[1]Sheet1!G178)</f>
        <v>3</v>
      </c>
      <c r="H142" t="str">
        <f>IF([1]Sheet1!H178="","",[1]Sheet1!H178)</f>
        <v>D</v>
      </c>
      <c r="I142" t="str">
        <f>IF([1]Sheet1!I178="","",[1]Sheet1!I178)</f>
        <v>89</v>
      </c>
      <c r="J142" t="str">
        <f>IF([1]Sheet1!J178="","",[1]Sheet1!J178)</f>
        <v>11</v>
      </c>
      <c r="K142" t="str">
        <f>IF([1]Sheet1!K178="","",[1]Sheet1!K178)</f>
        <v/>
      </c>
      <c r="L142" t="str">
        <f>IF([1]Sheet1!L178="","",[1]Sheet1!L178)</f>
        <v>2000</v>
      </c>
      <c r="M142" t="str">
        <f>IF([1]Sheet1!M178="","",[1]Sheet1!M178)</f>
        <v/>
      </c>
      <c r="N142" t="str">
        <f>IF([1]Sheet1!N178="","",[1]Sheet1!N178)</f>
        <v>70,948</v>
      </c>
      <c r="O142" t="str">
        <f>IF([1]Sheet1!O178="","",[1]Sheet1!O178)</f>
        <v/>
      </c>
      <c r="P142" t="str">
        <f>IF([1]Sheet1!P178="","",[1]Sheet1!P178)</f>
        <v>173</v>
      </c>
    </row>
    <row r="143" spans="1:16" x14ac:dyDescent="0.25">
      <c r="A143" t="str">
        <f>IF([1]Sheet1!A179="","",[1]Sheet1!A179)</f>
        <v>e13</v>
      </c>
      <c r="B143" t="str">
        <f>IF([1]Sheet1!B179="","",[1]Sheet1!B179)</f>
        <v>3</v>
      </c>
      <c r="C143" t="str">
        <f>IF([1]Sheet1!C179="","",[1]Sheet1!C179)</f>
        <v/>
      </c>
      <c r="D143" t="str">
        <f>IF([1]Sheet1!D179="","",[1]Sheet1!D179)</f>
        <v>200</v>
      </c>
      <c r="E143" t="str">
        <f>IF([1]Sheet1!E179="","",[1]Sheet1!E179)</f>
        <v/>
      </c>
      <c r="F143" t="str">
        <f>IF([1]Sheet1!F179="","",[1]Sheet1!F179)</f>
        <v>0</v>
      </c>
      <c r="G143" t="str">
        <f>IF([1]Sheet1!G179="","",[1]Sheet1!G179)</f>
        <v>3</v>
      </c>
      <c r="H143" t="str">
        <f>IF([1]Sheet1!H179="","",[1]Sheet1!H179)</f>
        <v>D</v>
      </c>
      <c r="I143" t="str">
        <f>IF([1]Sheet1!I179="","",[1]Sheet1!I179)</f>
        <v>90</v>
      </c>
      <c r="J143" t="str">
        <f>IF([1]Sheet1!J179="","",[1]Sheet1!J179)</f>
        <v>41</v>
      </c>
      <c r="K143" t="str">
        <f>IF([1]Sheet1!K179="","",[1]Sheet1!K179)</f>
        <v/>
      </c>
      <c r="L143" t="str">
        <f>IF([1]Sheet1!L179="","",[1]Sheet1!L179)</f>
        <v>2000</v>
      </c>
      <c r="M143" t="str">
        <f>IF([1]Sheet1!M179="","",[1]Sheet1!M179)</f>
        <v/>
      </c>
      <c r="N143" t="str">
        <f>IF([1]Sheet1!N179="","",[1]Sheet1!N179)</f>
        <v>108,164</v>
      </c>
      <c r="O143" t="str">
        <f>IF([1]Sheet1!O179="","",[1]Sheet1!O179)</f>
        <v xml:space="preserve">limpeza faixa </v>
      </c>
      <c r="P143" t="str">
        <f>IF([1]Sheet1!P179="","",[1]Sheet1!P179)</f>
        <v>174</v>
      </c>
    </row>
    <row r="144" spans="1:16" x14ac:dyDescent="0.25">
      <c r="A144" t="str">
        <f>IF([1]Sheet1!A180="","",[1]Sheet1!A180)</f>
        <v>e13</v>
      </c>
      <c r="B144" t="str">
        <f>IF([1]Sheet1!B180="","",[1]Sheet1!B180)</f>
        <v>4</v>
      </c>
      <c r="C144" t="str">
        <f>IF([1]Sheet1!C180="","",[1]Sheet1!C180)</f>
        <v/>
      </c>
      <c r="D144" t="str">
        <f>IF([1]Sheet1!D180="","",[1]Sheet1!D180)</f>
        <v>200</v>
      </c>
      <c r="E144" t="str">
        <f>IF([1]Sheet1!E180="","",[1]Sheet1!E180)</f>
        <v/>
      </c>
      <c r="F144" t="str">
        <f>IF([1]Sheet1!F180="","",[1]Sheet1!F180)</f>
        <v>0</v>
      </c>
      <c r="G144" t="str">
        <f>IF([1]Sheet1!G180="","",[1]Sheet1!G180)</f>
        <v>3</v>
      </c>
      <c r="H144" t="str">
        <f>IF([1]Sheet1!H180="","",[1]Sheet1!H180)</f>
        <v>D</v>
      </c>
      <c r="I144" t="str">
        <f>IF([1]Sheet1!I180="","",[1]Sheet1!I180)</f>
        <v>90</v>
      </c>
      <c r="J144" t="str">
        <f>IF([1]Sheet1!J180="","",[1]Sheet1!J180)</f>
        <v>25</v>
      </c>
      <c r="K144" t="str">
        <f>IF([1]Sheet1!K180="","",[1]Sheet1!K180)</f>
        <v/>
      </c>
      <c r="L144" t="str">
        <f>IF([1]Sheet1!L180="","",[1]Sheet1!L180)</f>
        <v>2000</v>
      </c>
      <c r="M144" t="str">
        <f>IF([1]Sheet1!M180="","",[1]Sheet1!M180)</f>
        <v/>
      </c>
      <c r="N144" t="str">
        <f>IF([1]Sheet1!N180="","",[1]Sheet1!N180)</f>
        <v>151,152</v>
      </c>
      <c r="O144" t="str">
        <f>IF([1]Sheet1!O180="","",[1]Sheet1!O180)</f>
        <v>Poste</v>
      </c>
      <c r="P144" t="str">
        <f>IF([1]Sheet1!P180="","",[1]Sheet1!P180)</f>
        <v>175</v>
      </c>
    </row>
    <row r="145" spans="1:16" x14ac:dyDescent="0.25">
      <c r="A145" t="str">
        <f>IF([1]Sheet1!A181="","",[1]Sheet1!A181)</f>
        <v>e13</v>
      </c>
      <c r="B145" t="str">
        <f>IF([1]Sheet1!B181="","",[1]Sheet1!B181)</f>
        <v>5</v>
      </c>
      <c r="C145" t="str">
        <f>IF([1]Sheet1!C181="","",[1]Sheet1!C181)</f>
        <v/>
      </c>
      <c r="D145" t="str">
        <f>IF([1]Sheet1!D181="","",[1]Sheet1!D181)</f>
        <v>200</v>
      </c>
      <c r="E145" t="str">
        <f>IF([1]Sheet1!E181="","",[1]Sheet1!E181)</f>
        <v/>
      </c>
      <c r="F145" t="str">
        <f>IF([1]Sheet1!F181="","",[1]Sheet1!F181)</f>
        <v>0</v>
      </c>
      <c r="G145" t="str">
        <f>IF([1]Sheet1!G181="","",[1]Sheet1!G181)</f>
        <v>3</v>
      </c>
      <c r="H145" t="str">
        <f>IF([1]Sheet1!H181="","",[1]Sheet1!H181)</f>
        <v>D</v>
      </c>
      <c r="I145" t="str">
        <f>IF([1]Sheet1!I181="","",[1]Sheet1!I181)</f>
        <v>89</v>
      </c>
      <c r="J145" t="str">
        <f>IF([1]Sheet1!J181="","",[1]Sheet1!J181)</f>
        <v>19</v>
      </c>
      <c r="K145" t="str">
        <f>IF([1]Sheet1!K181="","",[1]Sheet1!K181)</f>
        <v/>
      </c>
      <c r="L145" t="str">
        <f>IF([1]Sheet1!L181="","",[1]Sheet1!L181)</f>
        <v>2000</v>
      </c>
      <c r="M145" t="str">
        <f>IF([1]Sheet1!M181="","",[1]Sheet1!M181)</f>
        <v/>
      </c>
      <c r="N145" t="str">
        <f>IF([1]Sheet1!N181="","",[1]Sheet1!N181)</f>
        <v>189,623</v>
      </c>
      <c r="O145" t="str">
        <f>IF([1]Sheet1!O181="","",[1]Sheet1!O181)</f>
        <v/>
      </c>
      <c r="P145" t="str">
        <f>IF([1]Sheet1!P181="","",[1]Sheet1!P181)</f>
        <v>176</v>
      </c>
    </row>
    <row r="146" spans="1:16" x14ac:dyDescent="0.25">
      <c r="A146" t="str">
        <f>IF([1]Sheet1!A182="","",[1]Sheet1!A182)</f>
        <v>e13</v>
      </c>
      <c r="B146" t="str">
        <f>IF([1]Sheet1!B182="","",[1]Sheet1!B182)</f>
        <v>6</v>
      </c>
      <c r="C146" t="str">
        <f>IF([1]Sheet1!C182="","",[1]Sheet1!C182)</f>
        <v/>
      </c>
      <c r="D146" t="str">
        <f>IF([1]Sheet1!D182="","",[1]Sheet1!D182)</f>
        <v>200</v>
      </c>
      <c r="E146" t="str">
        <f>IF([1]Sheet1!E182="","",[1]Sheet1!E182)</f>
        <v/>
      </c>
      <c r="F146" t="str">
        <f>IF([1]Sheet1!F182="","",[1]Sheet1!F182)</f>
        <v>0</v>
      </c>
      <c r="G146" t="str">
        <f>IF([1]Sheet1!G182="","",[1]Sheet1!G182)</f>
        <v>3</v>
      </c>
      <c r="H146" t="str">
        <f>IF([1]Sheet1!H182="","",[1]Sheet1!H182)</f>
        <v>D</v>
      </c>
      <c r="I146" t="str">
        <f>IF([1]Sheet1!I182="","",[1]Sheet1!I182)</f>
        <v>88</v>
      </c>
      <c r="J146" t="str">
        <f>IF([1]Sheet1!J182="","",[1]Sheet1!J182)</f>
        <v>26</v>
      </c>
      <c r="K146" t="str">
        <f>IF([1]Sheet1!K182="","",[1]Sheet1!K182)</f>
        <v/>
      </c>
      <c r="L146" t="str">
        <f>IF([1]Sheet1!L182="","",[1]Sheet1!L182)</f>
        <v>2000</v>
      </c>
      <c r="M146" t="str">
        <f>IF([1]Sheet1!M182="","",[1]Sheet1!M182)</f>
        <v/>
      </c>
      <c r="N146" t="str">
        <f>IF([1]Sheet1!N182="","",[1]Sheet1!N182)</f>
        <v>242,336</v>
      </c>
      <c r="O146" t="str">
        <f>IF([1]Sheet1!O182="","",[1]Sheet1!O182)</f>
        <v/>
      </c>
      <c r="P146" t="str">
        <f>IF([1]Sheet1!P182="","",[1]Sheet1!P182)</f>
        <v>177</v>
      </c>
    </row>
    <row r="147" spans="1:16" x14ac:dyDescent="0.25">
      <c r="A147" t="str">
        <f>IF([1]Sheet1!A183="","",[1]Sheet1!A183)</f>
        <v>e13</v>
      </c>
      <c r="B147" t="str">
        <f>IF([1]Sheet1!B183="","",[1]Sheet1!B183)</f>
        <v>7</v>
      </c>
      <c r="C147" t="str">
        <f>IF([1]Sheet1!C183="","",[1]Sheet1!C183)</f>
        <v/>
      </c>
      <c r="D147" t="str">
        <f>IF([1]Sheet1!D183="","",[1]Sheet1!D183)</f>
        <v>200</v>
      </c>
      <c r="E147" t="str">
        <f>IF([1]Sheet1!E183="","",[1]Sheet1!E183)</f>
        <v/>
      </c>
      <c r="F147" t="str">
        <f>IF([1]Sheet1!F183="","",[1]Sheet1!F183)</f>
        <v>0</v>
      </c>
      <c r="G147" t="str">
        <f>IF([1]Sheet1!G183="","",[1]Sheet1!G183)</f>
        <v>3</v>
      </c>
      <c r="H147" t="str">
        <f>IF([1]Sheet1!H183="","",[1]Sheet1!H183)</f>
        <v>D</v>
      </c>
      <c r="I147" t="str">
        <f>IF([1]Sheet1!I183="","",[1]Sheet1!I183)</f>
        <v>87</v>
      </c>
      <c r="J147" t="str">
        <f>IF([1]Sheet1!J183="","",[1]Sheet1!J183)</f>
        <v>55</v>
      </c>
      <c r="K147" t="str">
        <f>IF([1]Sheet1!K183="","",[1]Sheet1!K183)</f>
        <v/>
      </c>
      <c r="L147" t="str">
        <f>IF([1]Sheet1!L183="","",[1]Sheet1!L183)</f>
        <v>2000</v>
      </c>
      <c r="M147" t="str">
        <f>IF([1]Sheet1!M183="","",[1]Sheet1!M183)</f>
        <v/>
      </c>
      <c r="N147" t="str">
        <f>IF([1]Sheet1!N183="","",[1]Sheet1!N183)</f>
        <v>289,109</v>
      </c>
      <c r="O147" t="str">
        <f>IF([1]Sheet1!O183="","",[1]Sheet1!O183)</f>
        <v>Poste</v>
      </c>
      <c r="P147" t="str">
        <f>IF([1]Sheet1!P183="","",[1]Sheet1!P183)</f>
        <v>178</v>
      </c>
    </row>
    <row r="148" spans="1:16" x14ac:dyDescent="0.25">
      <c r="A148" t="str">
        <f>IF([1]Sheet1!A184="","",[1]Sheet1!A184)</f>
        <v>e13</v>
      </c>
      <c r="B148" t="str">
        <f>IF([1]Sheet1!B184="","",[1]Sheet1!B184)</f>
        <v>8</v>
      </c>
      <c r="C148" t="str">
        <f>IF([1]Sheet1!C184="","",[1]Sheet1!C184)</f>
        <v/>
      </c>
      <c r="D148" t="str">
        <f>IF([1]Sheet1!D184="","",[1]Sheet1!D184)</f>
        <v>200</v>
      </c>
      <c r="E148" t="str">
        <f>IF([1]Sheet1!E184="","",[1]Sheet1!E184)</f>
        <v/>
      </c>
      <c r="F148" t="str">
        <f>IF([1]Sheet1!F184="","",[1]Sheet1!F184)</f>
        <v>0</v>
      </c>
      <c r="G148" t="str">
        <f>IF([1]Sheet1!G184="","",[1]Sheet1!G184)</f>
        <v>3</v>
      </c>
      <c r="H148" t="str">
        <f>IF([1]Sheet1!H184="","",[1]Sheet1!H184)</f>
        <v>D</v>
      </c>
      <c r="I148" t="str">
        <f>IF([1]Sheet1!I184="","",[1]Sheet1!I184)</f>
        <v>87</v>
      </c>
      <c r="J148" t="str">
        <f>IF([1]Sheet1!J184="","",[1]Sheet1!J184)</f>
        <v>59</v>
      </c>
      <c r="K148" t="str">
        <f>IF([1]Sheet1!K184="","",[1]Sheet1!K184)</f>
        <v/>
      </c>
      <c r="L148" t="str">
        <f>IF([1]Sheet1!L184="","",[1]Sheet1!L184)</f>
        <v>2000</v>
      </c>
      <c r="M148" t="str">
        <f>IF([1]Sheet1!M184="","",[1]Sheet1!M184)</f>
        <v/>
      </c>
      <c r="N148" t="str">
        <f>IF([1]Sheet1!N184="","",[1]Sheet1!N184)</f>
        <v>322,119</v>
      </c>
      <c r="O148" t="str">
        <f>IF([1]Sheet1!O184="","",[1]Sheet1!O184)</f>
        <v/>
      </c>
      <c r="P148" t="str">
        <f>IF([1]Sheet1!P184="","",[1]Sheet1!P184)</f>
        <v>179</v>
      </c>
    </row>
    <row r="149" spans="1:16" x14ac:dyDescent="0.25">
      <c r="A149" t="str">
        <f>IF([1]Sheet1!A185="","",[1]Sheet1!A185)</f>
        <v>e13</v>
      </c>
      <c r="B149" t="str">
        <f>IF([1]Sheet1!B185="","",[1]Sheet1!B185)</f>
        <v>9</v>
      </c>
      <c r="C149" t="str">
        <f>IF([1]Sheet1!C185="","",[1]Sheet1!C185)</f>
        <v/>
      </c>
      <c r="D149" t="str">
        <f>IF([1]Sheet1!D185="","",[1]Sheet1!D185)</f>
        <v>200</v>
      </c>
      <c r="E149" t="str">
        <f>IF([1]Sheet1!E185="","",[1]Sheet1!E185)</f>
        <v/>
      </c>
      <c r="F149" t="str">
        <f>IF([1]Sheet1!F185="","",[1]Sheet1!F185)</f>
        <v>0</v>
      </c>
      <c r="G149" t="str">
        <f>IF([1]Sheet1!G185="","",[1]Sheet1!G185)</f>
        <v>3</v>
      </c>
      <c r="H149" t="str">
        <f>IF([1]Sheet1!H185="","",[1]Sheet1!H185)</f>
        <v>D</v>
      </c>
      <c r="I149" t="str">
        <f>IF([1]Sheet1!I185="","",[1]Sheet1!I185)</f>
        <v>87</v>
      </c>
      <c r="J149" t="str">
        <f>IF([1]Sheet1!J185="","",[1]Sheet1!J185)</f>
        <v>56</v>
      </c>
      <c r="K149" t="str">
        <f>IF([1]Sheet1!K185="","",[1]Sheet1!K185)</f>
        <v/>
      </c>
      <c r="L149" t="str">
        <f>IF([1]Sheet1!L185="","",[1]Sheet1!L185)</f>
        <v>2000</v>
      </c>
      <c r="M149" t="str">
        <f>IF([1]Sheet1!M185="","",[1]Sheet1!M185)</f>
        <v/>
      </c>
      <c r="N149" t="str">
        <f>IF([1]Sheet1!N185="","",[1]Sheet1!N185)</f>
        <v>381,536</v>
      </c>
      <c r="O149" t="str">
        <f>IF([1]Sheet1!O185="","",[1]Sheet1!O185)</f>
        <v/>
      </c>
      <c r="P149" t="str">
        <f>IF([1]Sheet1!P185="","",[1]Sheet1!P185)</f>
        <v>180</v>
      </c>
    </row>
    <row r="150" spans="1:16" x14ac:dyDescent="0.25">
      <c r="A150" t="str">
        <f>IF([1]Sheet1!A186="","",[1]Sheet1!A186)</f>
        <v>e13</v>
      </c>
      <c r="B150" t="str">
        <f>IF([1]Sheet1!B186="","",[1]Sheet1!B186)</f>
        <v>v4</v>
      </c>
      <c r="C150" t="str">
        <f>IF([1]Sheet1!C186="","",[1]Sheet1!C186)</f>
        <v/>
      </c>
      <c r="D150" t="str">
        <f>IF([1]Sheet1!D186="","",[1]Sheet1!D186)</f>
        <v>200</v>
      </c>
      <c r="E150" t="str">
        <f>IF([1]Sheet1!E186="","",[1]Sheet1!E186)</f>
        <v/>
      </c>
      <c r="F150" t="str">
        <f>IF([1]Sheet1!F186="","",[1]Sheet1!F186)</f>
        <v>0</v>
      </c>
      <c r="G150" t="str">
        <f>IF([1]Sheet1!G186="","",[1]Sheet1!G186)</f>
        <v>3</v>
      </c>
      <c r="H150" t="str">
        <f>IF([1]Sheet1!H186="","",[1]Sheet1!H186)</f>
        <v>D</v>
      </c>
      <c r="I150" t="str">
        <f>IF([1]Sheet1!I186="","",[1]Sheet1!I186)</f>
        <v>87</v>
      </c>
      <c r="J150" t="str">
        <f>IF([1]Sheet1!J186="","",[1]Sheet1!J186)</f>
        <v>55</v>
      </c>
      <c r="K150" t="str">
        <f>IF([1]Sheet1!K186="","",[1]Sheet1!K186)</f>
        <v/>
      </c>
      <c r="L150" t="str">
        <f>IF([1]Sheet1!L186="","",[1]Sheet1!L186)</f>
        <v>2000</v>
      </c>
      <c r="M150" t="str">
        <f>IF([1]Sheet1!M186="","",[1]Sheet1!M186)</f>
        <v/>
      </c>
      <c r="N150" t="str">
        <f>IF([1]Sheet1!N186="","",[1]Sheet1!N186)</f>
        <v>435,078</v>
      </c>
      <c r="O150" t="str">
        <f>IF([1]Sheet1!O186="","",[1]Sheet1!O186)</f>
        <v xml:space="preserve">poste </v>
      </c>
      <c r="P150" t="str">
        <f>IF([1]Sheet1!P186="","",[1]Sheet1!P186)</f>
        <v>181</v>
      </c>
    </row>
    <row r="151" spans="1:16" x14ac:dyDescent="0.25">
      <c r="A151" t="str">
        <f>IF([1]Sheet1!A187="","",[1]Sheet1!A187)</f>
        <v>v4</v>
      </c>
      <c r="B151" t="str">
        <f>IF([1]Sheet1!B187="","",[1]Sheet1!B187)</f>
        <v>e13</v>
      </c>
      <c r="C151" t="str">
        <f>IF([1]Sheet1!C187="","",[1]Sheet1!C187)</f>
        <v/>
      </c>
      <c r="D151" t="str">
        <f>IF([1]Sheet1!D187="","",[1]Sheet1!D187)</f>
        <v>200</v>
      </c>
      <c r="E151" t="str">
        <f>IF([1]Sheet1!E187="","",[1]Sheet1!E187)</f>
        <v>20</v>
      </c>
      <c r="F151" t="str">
        <f>IF([1]Sheet1!F187="","",[1]Sheet1!F187)</f>
        <v>180</v>
      </c>
      <c r="G151" t="str">
        <f>IF([1]Sheet1!G187="","",[1]Sheet1!G187)</f>
        <v>0</v>
      </c>
      <c r="H151" t="str">
        <f>IF([1]Sheet1!H187="","",[1]Sheet1!H187)</f>
        <v>D</v>
      </c>
      <c r="I151" t="str">
        <f>IF([1]Sheet1!I187="","",[1]Sheet1!I187)</f>
        <v/>
      </c>
      <c r="J151" t="str">
        <f>IF([1]Sheet1!J187="","",[1]Sheet1!J187)</f>
        <v/>
      </c>
      <c r="K151" t="str">
        <f>IF([1]Sheet1!K187="","",[1]Sheet1!K187)</f>
        <v/>
      </c>
      <c r="L151" t="str">
        <f>IF([1]Sheet1!L187="","",[1]Sheet1!L187)</f>
        <v/>
      </c>
      <c r="M151" t="str">
        <f>IF([1]Sheet1!M187="","",[1]Sheet1!M187)</f>
        <v/>
      </c>
      <c r="N151" t="str">
        <f>IF([1]Sheet1!N187="","",[1]Sheet1!N187)</f>
        <v/>
      </c>
      <c r="O151" t="str">
        <f>IF([1]Sheet1!O187="","",[1]Sheet1!O187)</f>
        <v>RÉ</v>
      </c>
      <c r="P151" t="str">
        <f>IF([1]Sheet1!P187="","",[1]Sheet1!P187)</f>
        <v>182</v>
      </c>
    </row>
    <row r="152" spans="1:16" x14ac:dyDescent="0.25">
      <c r="A152" t="str">
        <f>IF([1]Sheet1!A188="","",[1]Sheet1!A188)</f>
        <v>v4</v>
      </c>
      <c r="B152" t="str">
        <f>IF([1]Sheet1!B188="","",[1]Sheet1!B188)</f>
        <v>1</v>
      </c>
      <c r="C152" t="str">
        <f>IF([1]Sheet1!C188="","",[1]Sheet1!C188)</f>
        <v/>
      </c>
      <c r="D152" t="str">
        <f>IF([1]Sheet1!D188="","",[1]Sheet1!D188)</f>
        <v>200</v>
      </c>
      <c r="E152" t="str">
        <f>IF([1]Sheet1!E188="","",[1]Sheet1!E188)</f>
        <v/>
      </c>
      <c r="F152" t="str">
        <f>IF([1]Sheet1!F188="","",[1]Sheet1!F188)</f>
        <v>18</v>
      </c>
      <c r="G152" t="str">
        <f>IF([1]Sheet1!G188="","",[1]Sheet1!G188)</f>
        <v>34</v>
      </c>
      <c r="H152" t="str">
        <f>IF([1]Sheet1!H188="","",[1]Sheet1!H188)</f>
        <v>D</v>
      </c>
      <c r="I152" t="str">
        <f>IF([1]Sheet1!I188="","",[1]Sheet1!I188)</f>
        <v>89</v>
      </c>
      <c r="J152" t="str">
        <f>IF([1]Sheet1!J188="","",[1]Sheet1!J188)</f>
        <v>14</v>
      </c>
      <c r="K152" t="str">
        <f>IF([1]Sheet1!K188="","",[1]Sheet1!K188)</f>
        <v/>
      </c>
      <c r="L152" t="str">
        <f>IF([1]Sheet1!L188="","",[1]Sheet1!L188)</f>
        <v>2000</v>
      </c>
      <c r="M152" t="str">
        <f>IF([1]Sheet1!M188="","",[1]Sheet1!M188)</f>
        <v/>
      </c>
      <c r="N152" t="str">
        <f>IF([1]Sheet1!N188="","",[1]Sheet1!N188)</f>
        <v>41,791</v>
      </c>
      <c r="O152" t="str">
        <f>IF([1]Sheet1!O188="","",[1]Sheet1!O188)</f>
        <v/>
      </c>
      <c r="P152" t="str">
        <f>IF([1]Sheet1!P188="","",[1]Sheet1!P188)</f>
        <v>183</v>
      </c>
    </row>
    <row r="153" spans="1:16" x14ac:dyDescent="0.25">
      <c r="A153" t="str">
        <f>IF([1]Sheet1!A189="","",[1]Sheet1!A189)</f>
        <v>v4</v>
      </c>
      <c r="B153" t="str">
        <f>IF([1]Sheet1!B189="","",[1]Sheet1!B189)</f>
        <v>2</v>
      </c>
      <c r="C153" t="str">
        <f>IF([1]Sheet1!C189="","",[1]Sheet1!C189)</f>
        <v/>
      </c>
      <c r="D153" t="str">
        <f>IF([1]Sheet1!D189="","",[1]Sheet1!D189)</f>
        <v>200</v>
      </c>
      <c r="E153" t="str">
        <f>IF([1]Sheet1!E189="","",[1]Sheet1!E189)</f>
        <v/>
      </c>
      <c r="F153" t="str">
        <f>IF([1]Sheet1!F189="","",[1]Sheet1!F189)</f>
        <v>18</v>
      </c>
      <c r="G153" t="str">
        <f>IF([1]Sheet1!G189="","",[1]Sheet1!G189)</f>
        <v>34</v>
      </c>
      <c r="H153" t="str">
        <f>IF([1]Sheet1!H189="","",[1]Sheet1!H189)</f>
        <v>D</v>
      </c>
      <c r="I153" t="str">
        <f>IF([1]Sheet1!I189="","",[1]Sheet1!I189)</f>
        <v>89</v>
      </c>
      <c r="J153" t="str">
        <f>IF([1]Sheet1!J189="","",[1]Sheet1!J189)</f>
        <v>24</v>
      </c>
      <c r="K153" t="str">
        <f>IF([1]Sheet1!K189="","",[1]Sheet1!K189)</f>
        <v/>
      </c>
      <c r="L153" t="str">
        <f>IF([1]Sheet1!L189="","",[1]Sheet1!L189)</f>
        <v>2000</v>
      </c>
      <c r="M153" t="str">
        <f>IF([1]Sheet1!M189="","",[1]Sheet1!M189)</f>
        <v/>
      </c>
      <c r="N153" t="str">
        <f>IF([1]Sheet1!N189="","",[1]Sheet1!N189)</f>
        <v>92,046</v>
      </c>
      <c r="O153" t="str">
        <f>IF([1]Sheet1!O189="","",[1]Sheet1!O189)</f>
        <v/>
      </c>
      <c r="P153" t="str">
        <f>IF([1]Sheet1!P189="","",[1]Sheet1!P189)</f>
        <v>184</v>
      </c>
    </row>
    <row r="154" spans="1:16" x14ac:dyDescent="0.25">
      <c r="A154" t="str">
        <f>IF([1]Sheet1!A190="","",[1]Sheet1!A190)</f>
        <v>v4</v>
      </c>
      <c r="B154" t="str">
        <f>IF([1]Sheet1!B190="","",[1]Sheet1!B190)</f>
        <v>3</v>
      </c>
      <c r="C154" t="str">
        <f>IF([1]Sheet1!C190="","",[1]Sheet1!C190)</f>
        <v/>
      </c>
      <c r="D154" t="str">
        <f>IF([1]Sheet1!D190="","",[1]Sheet1!D190)</f>
        <v>200</v>
      </c>
      <c r="E154" t="str">
        <f>IF([1]Sheet1!E190="","",[1]Sheet1!E190)</f>
        <v/>
      </c>
      <c r="F154" t="str">
        <f>IF([1]Sheet1!F190="","",[1]Sheet1!F190)</f>
        <v>18</v>
      </c>
      <c r="G154" t="str">
        <f>IF([1]Sheet1!G190="","",[1]Sheet1!G190)</f>
        <v>34</v>
      </c>
      <c r="H154" t="str">
        <f>IF([1]Sheet1!H190="","",[1]Sheet1!H190)</f>
        <v>D</v>
      </c>
      <c r="I154" t="str">
        <f>IF([1]Sheet1!I190="","",[1]Sheet1!I190)</f>
        <v>88</v>
      </c>
      <c r="J154" t="str">
        <f>IF([1]Sheet1!J190="","",[1]Sheet1!J190)</f>
        <v>59</v>
      </c>
      <c r="K154" t="str">
        <f>IF([1]Sheet1!K190="","",[1]Sheet1!K190)</f>
        <v/>
      </c>
      <c r="L154" t="str">
        <f>IF([1]Sheet1!L190="","",[1]Sheet1!L190)</f>
        <v>2000</v>
      </c>
      <c r="M154" t="str">
        <f>IF([1]Sheet1!M190="","",[1]Sheet1!M190)</f>
        <v/>
      </c>
      <c r="N154" t="str">
        <f>IF([1]Sheet1!N190="","",[1]Sheet1!N190)</f>
        <v>132,054</v>
      </c>
      <c r="O154" t="str">
        <f>IF([1]Sheet1!O190="","",[1]Sheet1!O190)</f>
        <v>Poste</v>
      </c>
      <c r="P154" t="str">
        <f>IF([1]Sheet1!P190="","",[1]Sheet1!P190)</f>
        <v>185</v>
      </c>
    </row>
    <row r="155" spans="1:16" x14ac:dyDescent="0.25">
      <c r="A155" t="str">
        <f>IF([1]Sheet1!A191="","",[1]Sheet1!A191)</f>
        <v>v4</v>
      </c>
      <c r="B155" t="str">
        <f>IF([1]Sheet1!B191="","",[1]Sheet1!B191)</f>
        <v>4</v>
      </c>
      <c r="C155" t="str">
        <f>IF([1]Sheet1!C191="","",[1]Sheet1!C191)</f>
        <v/>
      </c>
      <c r="D155" t="str">
        <f>IF([1]Sheet1!D191="","",[1]Sheet1!D191)</f>
        <v>200</v>
      </c>
      <c r="E155" t="str">
        <f>IF([1]Sheet1!E191="","",[1]Sheet1!E191)</f>
        <v/>
      </c>
      <c r="F155" t="str">
        <f>IF([1]Sheet1!F191="","",[1]Sheet1!F191)</f>
        <v>18</v>
      </c>
      <c r="G155" t="str">
        <f>IF([1]Sheet1!G191="","",[1]Sheet1!G191)</f>
        <v>34</v>
      </c>
      <c r="H155" t="str">
        <f>IF([1]Sheet1!H191="","",[1]Sheet1!H191)</f>
        <v>D</v>
      </c>
      <c r="I155" t="str">
        <f>IF([1]Sheet1!I191="","",[1]Sheet1!I191)</f>
        <v>89</v>
      </c>
      <c r="J155" t="str">
        <f>IF([1]Sheet1!J191="","",[1]Sheet1!J191)</f>
        <v>19</v>
      </c>
      <c r="K155" t="str">
        <f>IF([1]Sheet1!K191="","",[1]Sheet1!K191)</f>
        <v/>
      </c>
      <c r="L155" t="str">
        <f>IF([1]Sheet1!L191="","",[1]Sheet1!L191)</f>
        <v>2000</v>
      </c>
      <c r="M155" t="str">
        <f>IF([1]Sheet1!M191="","",[1]Sheet1!M191)</f>
        <v/>
      </c>
      <c r="N155" t="str">
        <f>IF([1]Sheet1!N191="","",[1]Sheet1!N191)</f>
        <v>165,257</v>
      </c>
      <c r="O155" t="str">
        <f>IF([1]Sheet1!O191="","",[1]Sheet1!O191)</f>
        <v/>
      </c>
      <c r="P155" t="str">
        <f>IF([1]Sheet1!P191="","",[1]Sheet1!P191)</f>
        <v>186</v>
      </c>
    </row>
    <row r="156" spans="1:16" x14ac:dyDescent="0.25">
      <c r="A156" t="str">
        <f>IF([1]Sheet1!A192="","",[1]Sheet1!A192)</f>
        <v>v4</v>
      </c>
      <c r="B156" t="str">
        <f>IF([1]Sheet1!B192="","",[1]Sheet1!B192)</f>
        <v>5</v>
      </c>
      <c r="C156" t="str">
        <f>IF([1]Sheet1!C192="","",[1]Sheet1!C192)</f>
        <v/>
      </c>
      <c r="D156" t="str">
        <f>IF([1]Sheet1!D192="","",[1]Sheet1!D192)</f>
        <v>200</v>
      </c>
      <c r="E156" t="str">
        <f>IF([1]Sheet1!E192="","",[1]Sheet1!E192)</f>
        <v/>
      </c>
      <c r="F156" t="str">
        <f>IF([1]Sheet1!F192="","",[1]Sheet1!F192)</f>
        <v>18</v>
      </c>
      <c r="G156" t="str">
        <f>IF([1]Sheet1!G192="","",[1]Sheet1!G192)</f>
        <v>34</v>
      </c>
      <c r="H156" t="str">
        <f>IF([1]Sheet1!H192="","",[1]Sheet1!H192)</f>
        <v>D</v>
      </c>
      <c r="I156" t="str">
        <f>IF([1]Sheet1!I192="","",[1]Sheet1!I192)</f>
        <v>89</v>
      </c>
      <c r="J156" t="str">
        <f>IF([1]Sheet1!J192="","",[1]Sheet1!J192)</f>
        <v>19</v>
      </c>
      <c r="K156" t="str">
        <f>IF([1]Sheet1!K192="","",[1]Sheet1!K192)</f>
        <v/>
      </c>
      <c r="L156" t="str">
        <f>IF([1]Sheet1!L192="","",[1]Sheet1!L192)</f>
        <v>2000</v>
      </c>
      <c r="M156" t="str">
        <f>IF([1]Sheet1!M192="","",[1]Sheet1!M192)</f>
        <v/>
      </c>
      <c r="N156" t="str">
        <f>IF([1]Sheet1!N192="","",[1]Sheet1!N192)</f>
        <v>201,422</v>
      </c>
      <c r="O156" t="str">
        <f>IF([1]Sheet1!O192="","",[1]Sheet1!O192)</f>
        <v/>
      </c>
      <c r="P156" t="str">
        <f>IF([1]Sheet1!P192="","",[1]Sheet1!P192)</f>
        <v>187</v>
      </c>
    </row>
    <row r="157" spans="1:16" x14ac:dyDescent="0.25">
      <c r="A157" t="str">
        <f>IF([1]Sheet1!A193="","",[1]Sheet1!A193)</f>
        <v>v4</v>
      </c>
      <c r="B157" t="str">
        <f>IF([1]Sheet1!B193="","",[1]Sheet1!B193)</f>
        <v>e14</v>
      </c>
      <c r="C157" t="str">
        <f>IF([1]Sheet1!C193="","",[1]Sheet1!C193)</f>
        <v/>
      </c>
      <c r="D157" t="str">
        <f>IF([1]Sheet1!D193="","",[1]Sheet1!D193)</f>
        <v>200</v>
      </c>
      <c r="E157" t="str">
        <f>IF([1]Sheet1!E193="","",[1]Sheet1!E193)</f>
        <v/>
      </c>
      <c r="F157" t="str">
        <f>IF([1]Sheet1!F193="","",[1]Sheet1!F193)</f>
        <v>18</v>
      </c>
      <c r="G157" t="str">
        <f>IF([1]Sheet1!G193="","",[1]Sheet1!G193)</f>
        <v>34</v>
      </c>
      <c r="H157" t="str">
        <f>IF([1]Sheet1!H193="","",[1]Sheet1!H193)</f>
        <v>D</v>
      </c>
      <c r="I157" t="str">
        <f>IF([1]Sheet1!I193="","",[1]Sheet1!I193)</f>
        <v>89</v>
      </c>
      <c r="J157" t="str">
        <f>IF([1]Sheet1!J193="","",[1]Sheet1!J193)</f>
        <v>7</v>
      </c>
      <c r="K157" t="str">
        <f>IF([1]Sheet1!K193="","",[1]Sheet1!K193)</f>
        <v/>
      </c>
      <c r="L157" t="str">
        <f>IF([1]Sheet1!L193="","",[1]Sheet1!L193)</f>
        <v>2000</v>
      </c>
      <c r="M157" t="str">
        <f>IF([1]Sheet1!M193="","",[1]Sheet1!M193)</f>
        <v/>
      </c>
      <c r="N157" t="str">
        <f>IF([1]Sheet1!N193="","",[1]Sheet1!N193)</f>
        <v>230,837</v>
      </c>
      <c r="O157" t="str">
        <f>IF([1]Sheet1!O193="","",[1]Sheet1!O193)</f>
        <v>Poste</v>
      </c>
      <c r="P157" t="str">
        <f>IF([1]Sheet1!P193="","",[1]Sheet1!P193)</f>
        <v>188</v>
      </c>
    </row>
    <row r="158" spans="1:16" x14ac:dyDescent="0.25">
      <c r="A158" t="str">
        <f>IF([1]Sheet1!A194="","",[1]Sheet1!A194)</f>
        <v>e14</v>
      </c>
      <c r="B158" t="str">
        <f>IF([1]Sheet1!B194="","",[1]Sheet1!B194)</f>
        <v>v4</v>
      </c>
      <c r="C158" t="str">
        <f>IF([1]Sheet1!C194="","",[1]Sheet1!C194)</f>
        <v/>
      </c>
      <c r="D158" t="str">
        <f>IF([1]Sheet1!D194="","",[1]Sheet1!D194)</f>
        <v>200</v>
      </c>
      <c r="E158" t="str">
        <f>IF([1]Sheet1!E194="","",[1]Sheet1!E194)</f>
        <v>20</v>
      </c>
      <c r="F158" t="str">
        <f>IF([1]Sheet1!F194="","",[1]Sheet1!F194)</f>
        <v>180</v>
      </c>
      <c r="G158" t="str">
        <f>IF([1]Sheet1!G194="","",[1]Sheet1!G194)</f>
        <v>0</v>
      </c>
      <c r="H158" t="str">
        <f>IF([1]Sheet1!H194="","",[1]Sheet1!H194)</f>
        <v>D</v>
      </c>
      <c r="I158" t="str">
        <f>IF([1]Sheet1!I194="","",[1]Sheet1!I194)</f>
        <v/>
      </c>
      <c r="J158" t="str">
        <f>IF([1]Sheet1!J194="","",[1]Sheet1!J194)</f>
        <v/>
      </c>
      <c r="K158" t="str">
        <f>IF([1]Sheet1!K194="","",[1]Sheet1!K194)</f>
        <v/>
      </c>
      <c r="L158" t="str">
        <f>IF([1]Sheet1!L194="","",[1]Sheet1!L194)</f>
        <v/>
      </c>
      <c r="M158" t="str">
        <f>IF([1]Sheet1!M194="","",[1]Sheet1!M194)</f>
        <v/>
      </c>
      <c r="N158" t="str">
        <f>IF([1]Sheet1!N194="","",[1]Sheet1!N194)</f>
        <v/>
      </c>
      <c r="O158" t="str">
        <f>IF([1]Sheet1!O194="","",[1]Sheet1!O194)</f>
        <v>RÉ</v>
      </c>
      <c r="P158" t="str">
        <f>IF([1]Sheet1!P194="","",[1]Sheet1!P194)</f>
        <v>189</v>
      </c>
    </row>
    <row r="159" spans="1:16" x14ac:dyDescent="0.25">
      <c r="A159" t="str">
        <f>IF([1]Sheet1!A195="","",[1]Sheet1!A195)</f>
        <v>e14</v>
      </c>
      <c r="B159" t="str">
        <f>IF([1]Sheet1!B195="","",[1]Sheet1!B195)</f>
        <v>1</v>
      </c>
      <c r="C159" t="str">
        <f>IF([1]Sheet1!C195="","",[1]Sheet1!C195)</f>
        <v/>
      </c>
      <c r="D159" t="str">
        <f>IF([1]Sheet1!D195="","",[1]Sheet1!D195)</f>
        <v>200</v>
      </c>
      <c r="E159" t="str">
        <f>IF([1]Sheet1!E195="","",[1]Sheet1!E195)</f>
        <v/>
      </c>
      <c r="F159" t="str">
        <f>IF([1]Sheet1!F195="","",[1]Sheet1!F195)</f>
        <v>0</v>
      </c>
      <c r="G159" t="str">
        <f>IF([1]Sheet1!G195="","",[1]Sheet1!G195)</f>
        <v>7</v>
      </c>
      <c r="H159" t="str">
        <f>IF([1]Sheet1!H195="","",[1]Sheet1!H195)</f>
        <v>D</v>
      </c>
      <c r="I159" t="str">
        <f>IF([1]Sheet1!I195="","",[1]Sheet1!I195)</f>
        <v>90</v>
      </c>
      <c r="J159" t="str">
        <f>IF([1]Sheet1!J195="","",[1]Sheet1!J195)</f>
        <v>52</v>
      </c>
      <c r="K159" t="str">
        <f>IF([1]Sheet1!K195="","",[1]Sheet1!K195)</f>
        <v/>
      </c>
      <c r="L159" t="str">
        <f>IF([1]Sheet1!L195="","",[1]Sheet1!L195)</f>
        <v>2000</v>
      </c>
      <c r="M159" t="str">
        <f>IF([1]Sheet1!M195="","",[1]Sheet1!M195)</f>
        <v/>
      </c>
      <c r="N159" t="str">
        <f>IF([1]Sheet1!N195="","",[1]Sheet1!N195)</f>
        <v>49,094</v>
      </c>
      <c r="O159" t="str">
        <f>IF([1]Sheet1!O195="","",[1]Sheet1!O195)</f>
        <v/>
      </c>
      <c r="P159" t="str">
        <f>IF([1]Sheet1!P195="","",[1]Sheet1!P195)</f>
        <v>190</v>
      </c>
    </row>
    <row r="160" spans="1:16" x14ac:dyDescent="0.25">
      <c r="A160" t="str">
        <f>IF([1]Sheet1!A196="","",[1]Sheet1!A196)</f>
        <v>e14</v>
      </c>
      <c r="B160" t="str">
        <f>IF([1]Sheet1!B196="","",[1]Sheet1!B196)</f>
        <v>2</v>
      </c>
      <c r="C160" t="str">
        <f>IF([1]Sheet1!C196="","",[1]Sheet1!C196)</f>
        <v/>
      </c>
      <c r="D160" t="str">
        <f>IF([1]Sheet1!D196="","",[1]Sheet1!D196)</f>
        <v>200</v>
      </c>
      <c r="E160" t="str">
        <f>IF([1]Sheet1!E196="","",[1]Sheet1!E196)</f>
        <v/>
      </c>
      <c r="F160" t="str">
        <f>IF([1]Sheet1!F196="","",[1]Sheet1!F196)</f>
        <v>0</v>
      </c>
      <c r="G160" t="str">
        <f>IF([1]Sheet1!G196="","",[1]Sheet1!G196)</f>
        <v>7</v>
      </c>
      <c r="H160" t="str">
        <f>IF([1]Sheet1!H196="","",[1]Sheet1!H196)</f>
        <v>D</v>
      </c>
      <c r="I160" t="str">
        <f>IF([1]Sheet1!I196="","",[1]Sheet1!I196)</f>
        <v>89</v>
      </c>
      <c r="J160" t="str">
        <f>IF([1]Sheet1!J196="","",[1]Sheet1!J196)</f>
        <v>39</v>
      </c>
      <c r="K160" t="str">
        <f>IF([1]Sheet1!K196="","",[1]Sheet1!K196)</f>
        <v/>
      </c>
      <c r="L160" t="str">
        <f>IF([1]Sheet1!L196="","",[1]Sheet1!L196)</f>
        <v>2000</v>
      </c>
      <c r="M160" t="str">
        <f>IF([1]Sheet1!M196="","",[1]Sheet1!M196)</f>
        <v/>
      </c>
      <c r="N160" t="str">
        <f>IF([1]Sheet1!N196="","",[1]Sheet1!N196)</f>
        <v>99,738</v>
      </c>
      <c r="O160" t="str">
        <f>IF([1]Sheet1!O196="","",[1]Sheet1!O196)</f>
        <v xml:space="preserve">poste </v>
      </c>
      <c r="P160" t="str">
        <f>IF([1]Sheet1!P196="","",[1]Sheet1!P196)</f>
        <v>191</v>
      </c>
    </row>
    <row r="161" spans="1:16" x14ac:dyDescent="0.25">
      <c r="A161" t="str">
        <f>IF([1]Sheet1!A197="","",[1]Sheet1!A197)</f>
        <v>e14</v>
      </c>
      <c r="B161" t="str">
        <f>IF([1]Sheet1!B197="","",[1]Sheet1!B197)</f>
        <v>3</v>
      </c>
      <c r="C161" t="str">
        <f>IF([1]Sheet1!C197="","",[1]Sheet1!C197)</f>
        <v/>
      </c>
      <c r="D161" t="str">
        <f>IF([1]Sheet1!D197="","",[1]Sheet1!D197)</f>
        <v>200</v>
      </c>
      <c r="E161" t="str">
        <f>IF([1]Sheet1!E197="","",[1]Sheet1!E197)</f>
        <v/>
      </c>
      <c r="F161" t="str">
        <f>IF([1]Sheet1!F197="","",[1]Sheet1!F197)</f>
        <v>0</v>
      </c>
      <c r="G161" t="str">
        <f>IF([1]Sheet1!G197="","",[1]Sheet1!G197)</f>
        <v>7</v>
      </c>
      <c r="H161" t="str">
        <f>IF([1]Sheet1!H197="","",[1]Sheet1!H197)</f>
        <v>D</v>
      </c>
      <c r="I161" t="str">
        <f>IF([1]Sheet1!I197="","",[1]Sheet1!I197)</f>
        <v>89</v>
      </c>
      <c r="J161" t="str">
        <f>IF([1]Sheet1!J197="","",[1]Sheet1!J197)</f>
        <v>44</v>
      </c>
      <c r="K161" t="str">
        <f>IF([1]Sheet1!K197="","",[1]Sheet1!K197)</f>
        <v/>
      </c>
      <c r="L161" t="str">
        <f>IF([1]Sheet1!L197="","",[1]Sheet1!L197)</f>
        <v>2000</v>
      </c>
      <c r="M161" t="str">
        <f>IF([1]Sheet1!M197="","",[1]Sheet1!M197)</f>
        <v/>
      </c>
      <c r="N161" t="str">
        <f>IF([1]Sheet1!N197="","",[1]Sheet1!N197)</f>
        <v>157,602</v>
      </c>
      <c r="O161" t="str">
        <f>IF([1]Sheet1!O197="","",[1]Sheet1!O197)</f>
        <v/>
      </c>
      <c r="P161" t="str">
        <f>IF([1]Sheet1!P197="","",[1]Sheet1!P197)</f>
        <v>192</v>
      </c>
    </row>
    <row r="162" spans="1:16" x14ac:dyDescent="0.25">
      <c r="A162" t="str">
        <f>IF([1]Sheet1!A198="","",[1]Sheet1!A198)</f>
        <v>e14</v>
      </c>
      <c r="B162" t="str">
        <f>IF([1]Sheet1!B198="","",[1]Sheet1!B198)</f>
        <v>4</v>
      </c>
      <c r="C162" t="str">
        <f>IF([1]Sheet1!C198="","",[1]Sheet1!C198)</f>
        <v/>
      </c>
      <c r="D162" t="str">
        <f>IF([1]Sheet1!D198="","",[1]Sheet1!D198)</f>
        <v>200</v>
      </c>
      <c r="E162" t="str">
        <f>IF([1]Sheet1!E198="","",[1]Sheet1!E198)</f>
        <v/>
      </c>
      <c r="F162" t="str">
        <f>IF([1]Sheet1!F198="","",[1]Sheet1!F198)</f>
        <v>0</v>
      </c>
      <c r="G162" t="str">
        <f>IF([1]Sheet1!G198="","",[1]Sheet1!G198)</f>
        <v>7</v>
      </c>
      <c r="H162" t="str">
        <f>IF([1]Sheet1!H198="","",[1]Sheet1!H198)</f>
        <v>D</v>
      </c>
      <c r="I162" t="str">
        <f>IF([1]Sheet1!I198="","",[1]Sheet1!I198)</f>
        <v>89</v>
      </c>
      <c r="J162" t="str">
        <f>IF([1]Sheet1!J198="","",[1]Sheet1!J198)</f>
        <v>25</v>
      </c>
      <c r="K162" t="str">
        <f>IF([1]Sheet1!K198="","",[1]Sheet1!K198)</f>
        <v/>
      </c>
      <c r="L162" t="str">
        <f>IF([1]Sheet1!L198="","",[1]Sheet1!L198)</f>
        <v>2000</v>
      </c>
      <c r="M162" t="str">
        <f>IF([1]Sheet1!M198="","",[1]Sheet1!M198)</f>
        <v/>
      </c>
      <c r="N162" t="str">
        <f>IF([1]Sheet1!N198="","",[1]Sheet1!N198)</f>
        <v>201,121</v>
      </c>
      <c r="O162" t="str">
        <f>IF([1]Sheet1!O198="","",[1]Sheet1!O198)</f>
        <v>Poste</v>
      </c>
      <c r="P162" t="str">
        <f>IF([1]Sheet1!P198="","",[1]Sheet1!P198)</f>
        <v>193</v>
      </c>
    </row>
    <row r="163" spans="1:16" x14ac:dyDescent="0.25">
      <c r="A163" t="str">
        <f>IF([1]Sheet1!A199="","",[1]Sheet1!A199)</f>
        <v>e14</v>
      </c>
      <c r="B163" t="str">
        <f>IF([1]Sheet1!B199="","",[1]Sheet1!B199)</f>
        <v>5</v>
      </c>
      <c r="C163" t="str">
        <f>IF([1]Sheet1!C199="","",[1]Sheet1!C199)</f>
        <v/>
      </c>
      <c r="D163" t="str">
        <f>IF([1]Sheet1!D199="","",[1]Sheet1!D199)</f>
        <v>200</v>
      </c>
      <c r="E163" t="str">
        <f>IF([1]Sheet1!E199="","",[1]Sheet1!E199)</f>
        <v/>
      </c>
      <c r="F163" t="str">
        <f>IF([1]Sheet1!F199="","",[1]Sheet1!F199)</f>
        <v>0</v>
      </c>
      <c r="G163" t="str">
        <f>IF([1]Sheet1!G199="","",[1]Sheet1!G199)</f>
        <v>7</v>
      </c>
      <c r="H163" t="str">
        <f>IF([1]Sheet1!H199="","",[1]Sheet1!H199)</f>
        <v>D</v>
      </c>
      <c r="I163" t="str">
        <f>IF([1]Sheet1!I199="","",[1]Sheet1!I199)</f>
        <v>89</v>
      </c>
      <c r="J163" t="str">
        <f>IF([1]Sheet1!J199="","",[1]Sheet1!J199)</f>
        <v>30</v>
      </c>
      <c r="K163" t="str">
        <f>IF([1]Sheet1!K199="","",[1]Sheet1!K199)</f>
        <v/>
      </c>
      <c r="L163" t="str">
        <f>IF([1]Sheet1!L199="","",[1]Sheet1!L199)</f>
        <v>2000</v>
      </c>
      <c r="M163" t="str">
        <f>IF([1]Sheet1!M199="","",[1]Sheet1!M199)</f>
        <v/>
      </c>
      <c r="N163" t="str">
        <f>IF([1]Sheet1!N199="","",[1]Sheet1!N199)</f>
        <v>248,487</v>
      </c>
      <c r="O163" t="str">
        <f>IF([1]Sheet1!O199="","",[1]Sheet1!O199)</f>
        <v/>
      </c>
      <c r="P163" t="str">
        <f>IF([1]Sheet1!P199="","",[1]Sheet1!P199)</f>
        <v>194</v>
      </c>
    </row>
    <row r="164" spans="1:16" x14ac:dyDescent="0.25">
      <c r="A164" t="str">
        <f>IF([1]Sheet1!A200="","",[1]Sheet1!A200)</f>
        <v>e14</v>
      </c>
      <c r="B164" t="str">
        <f>IF([1]Sheet1!B200="","",[1]Sheet1!B200)</f>
        <v>6</v>
      </c>
      <c r="C164" t="str">
        <f>IF([1]Sheet1!C200="","",[1]Sheet1!C200)</f>
        <v/>
      </c>
      <c r="D164" t="str">
        <f>IF([1]Sheet1!D200="","",[1]Sheet1!D200)</f>
        <v>200</v>
      </c>
      <c r="E164" t="str">
        <f>IF([1]Sheet1!E200="","",[1]Sheet1!E200)</f>
        <v/>
      </c>
      <c r="F164" t="str">
        <f>IF([1]Sheet1!F200="","",[1]Sheet1!F200)</f>
        <v>0</v>
      </c>
      <c r="G164" t="str">
        <f>IF([1]Sheet1!G200="","",[1]Sheet1!G200)</f>
        <v>7</v>
      </c>
      <c r="H164" t="str">
        <f>IF([1]Sheet1!H200="","",[1]Sheet1!H200)</f>
        <v>D</v>
      </c>
      <c r="I164" t="str">
        <f>IF([1]Sheet1!I200="","",[1]Sheet1!I200)</f>
        <v>89</v>
      </c>
      <c r="J164" t="str">
        <f>IF([1]Sheet1!J200="","",[1]Sheet1!J200)</f>
        <v>12</v>
      </c>
      <c r="K164" t="str">
        <f>IF([1]Sheet1!K200="","",[1]Sheet1!K200)</f>
        <v/>
      </c>
      <c r="L164" t="str">
        <f>IF([1]Sheet1!L200="","",[1]Sheet1!L200)</f>
        <v>2000</v>
      </c>
      <c r="M164" t="str">
        <f>IF([1]Sheet1!M200="","",[1]Sheet1!M200)</f>
        <v/>
      </c>
      <c r="N164" t="str">
        <f>IF([1]Sheet1!N200="","",[1]Sheet1!N200)</f>
        <v>303,182</v>
      </c>
      <c r="O164" t="str">
        <f>IF([1]Sheet1!O200="","",[1]Sheet1!O200)</f>
        <v>Poste</v>
      </c>
      <c r="P164" t="str">
        <f>IF([1]Sheet1!P200="","",[1]Sheet1!P200)</f>
        <v>195</v>
      </c>
    </row>
    <row r="165" spans="1:16" x14ac:dyDescent="0.25">
      <c r="A165" t="str">
        <f>IF([1]Sheet1!A201="","",[1]Sheet1!A201)</f>
        <v>e14</v>
      </c>
      <c r="B165" t="str">
        <f>IF([1]Sheet1!B201="","",[1]Sheet1!B201)</f>
        <v>7</v>
      </c>
      <c r="C165" t="str">
        <f>IF([1]Sheet1!C201="","",[1]Sheet1!C201)</f>
        <v/>
      </c>
      <c r="D165" t="str">
        <f>IF([1]Sheet1!D201="","",[1]Sheet1!D201)</f>
        <v>200</v>
      </c>
      <c r="E165" t="str">
        <f>IF([1]Sheet1!E201="","",[1]Sheet1!E201)</f>
        <v/>
      </c>
      <c r="F165" t="str">
        <f>IF([1]Sheet1!F201="","",[1]Sheet1!F201)</f>
        <v>0</v>
      </c>
      <c r="G165" t="str">
        <f>IF([1]Sheet1!G201="","",[1]Sheet1!G201)</f>
        <v>7</v>
      </c>
      <c r="H165" t="str">
        <f>IF([1]Sheet1!H201="","",[1]Sheet1!H201)</f>
        <v>D</v>
      </c>
      <c r="I165" t="str">
        <f>IF([1]Sheet1!I201="","",[1]Sheet1!I201)</f>
        <v>89</v>
      </c>
      <c r="J165" t="str">
        <f>IF([1]Sheet1!J201="","",[1]Sheet1!J201)</f>
        <v>19</v>
      </c>
      <c r="K165" t="str">
        <f>IF([1]Sheet1!K201="","",[1]Sheet1!K201)</f>
        <v/>
      </c>
      <c r="L165" t="str">
        <f>IF([1]Sheet1!L201="","",[1]Sheet1!L201)</f>
        <v>2000</v>
      </c>
      <c r="M165" t="str">
        <f>IF([1]Sheet1!M201="","",[1]Sheet1!M201)</f>
        <v/>
      </c>
      <c r="N165" t="str">
        <f>IF([1]Sheet1!N201="","",[1]Sheet1!N201)</f>
        <v>360,406</v>
      </c>
      <c r="O165" t="str">
        <f>IF([1]Sheet1!O201="","",[1]Sheet1!O201)</f>
        <v/>
      </c>
      <c r="P165" t="str">
        <f>IF([1]Sheet1!P201="","",[1]Sheet1!P201)</f>
        <v>196</v>
      </c>
    </row>
    <row r="166" spans="1:16" x14ac:dyDescent="0.25">
      <c r="A166" t="str">
        <f>IF([1]Sheet1!A202="","",[1]Sheet1!A202)</f>
        <v>e14</v>
      </c>
      <c r="B166" t="str">
        <f>IF([1]Sheet1!B202="","",[1]Sheet1!B202)</f>
        <v>e15</v>
      </c>
      <c r="C166" t="str">
        <f>IF([1]Sheet1!C202="","",[1]Sheet1!C202)</f>
        <v/>
      </c>
      <c r="D166" t="str">
        <f>IF([1]Sheet1!D202="","",[1]Sheet1!D202)</f>
        <v>200</v>
      </c>
      <c r="E166" t="str">
        <f>IF([1]Sheet1!E202="","",[1]Sheet1!E202)</f>
        <v/>
      </c>
      <c r="F166" t="str">
        <f>IF([1]Sheet1!F202="","",[1]Sheet1!F202)</f>
        <v>0</v>
      </c>
      <c r="G166" t="str">
        <f>IF([1]Sheet1!G202="","",[1]Sheet1!G202)</f>
        <v>7</v>
      </c>
      <c r="H166" t="str">
        <f>IF([1]Sheet1!H202="","",[1]Sheet1!H202)</f>
        <v>D</v>
      </c>
      <c r="I166" t="str">
        <f>IF([1]Sheet1!I202="","",[1]Sheet1!I202)</f>
        <v>89</v>
      </c>
      <c r="J166" t="str">
        <f>IF([1]Sheet1!J202="","",[1]Sheet1!J202)</f>
        <v>7</v>
      </c>
      <c r="K166" t="str">
        <f>IF([1]Sheet1!K202="","",[1]Sheet1!K202)</f>
        <v/>
      </c>
      <c r="L166" t="str">
        <f>IF([1]Sheet1!L202="","",[1]Sheet1!L202)</f>
        <v>2000</v>
      </c>
      <c r="M166" t="str">
        <f>IF([1]Sheet1!M202="","",[1]Sheet1!M202)</f>
        <v/>
      </c>
      <c r="N166" t="str">
        <f>IF([1]Sheet1!N202="","",[1]Sheet1!N202)</f>
        <v>404,121</v>
      </c>
      <c r="O166" t="str">
        <f>IF([1]Sheet1!O202="","",[1]Sheet1!O202)</f>
        <v xml:space="preserve">poste </v>
      </c>
      <c r="P166" t="str">
        <f>IF([1]Sheet1!P202="","",[1]Sheet1!P202)</f>
        <v>197</v>
      </c>
    </row>
    <row r="167" spans="1:16" x14ac:dyDescent="0.25">
      <c r="A167" t="str">
        <f>IF([1]Sheet1!A203="","",[1]Sheet1!A203)</f>
        <v>e15</v>
      </c>
      <c r="B167" t="str">
        <f>IF([1]Sheet1!B203="","",[1]Sheet1!B203)</f>
        <v>e14</v>
      </c>
      <c r="C167" t="str">
        <f>IF([1]Sheet1!C203="","",[1]Sheet1!C203)</f>
        <v/>
      </c>
      <c r="D167" t="str">
        <f>IF([1]Sheet1!D203="","",[1]Sheet1!D203)</f>
        <v>200</v>
      </c>
      <c r="E167" t="str">
        <f>IF([1]Sheet1!E203="","",[1]Sheet1!E203)</f>
        <v>20</v>
      </c>
      <c r="F167" t="str">
        <f>IF([1]Sheet1!F203="","",[1]Sheet1!F203)</f>
        <v>180</v>
      </c>
      <c r="G167" t="str">
        <f>IF([1]Sheet1!G203="","",[1]Sheet1!G203)</f>
        <v>0</v>
      </c>
      <c r="H167" t="str">
        <f>IF([1]Sheet1!H203="","",[1]Sheet1!H203)</f>
        <v>D</v>
      </c>
      <c r="I167" t="str">
        <f>IF([1]Sheet1!I203="","",[1]Sheet1!I203)</f>
        <v/>
      </c>
      <c r="J167" t="str">
        <f>IF([1]Sheet1!J203="","",[1]Sheet1!J203)</f>
        <v/>
      </c>
      <c r="K167" t="str">
        <f>IF([1]Sheet1!K203="","",[1]Sheet1!K203)</f>
        <v/>
      </c>
      <c r="L167" t="str">
        <f>IF([1]Sheet1!L203="","",[1]Sheet1!L203)</f>
        <v/>
      </c>
      <c r="M167" t="str">
        <f>IF([1]Sheet1!M203="","",[1]Sheet1!M203)</f>
        <v/>
      </c>
      <c r="N167" t="str">
        <f>IF([1]Sheet1!N203="","",[1]Sheet1!N203)</f>
        <v/>
      </c>
      <c r="O167" t="str">
        <f>IF([1]Sheet1!O203="","",[1]Sheet1!O203)</f>
        <v>RÉ</v>
      </c>
      <c r="P167" t="str">
        <f>IF([1]Sheet1!P203="","",[1]Sheet1!P203)</f>
        <v>198</v>
      </c>
    </row>
    <row r="168" spans="1:16" x14ac:dyDescent="0.25">
      <c r="A168" t="str">
        <f>IF([1]Sheet1!A204="","",[1]Sheet1!A204)</f>
        <v>e15</v>
      </c>
      <c r="B168" t="str">
        <f>IF([1]Sheet1!B204="","",[1]Sheet1!B204)</f>
        <v>1</v>
      </c>
      <c r="C168" t="str">
        <f>IF([1]Sheet1!C204="","",[1]Sheet1!C204)</f>
        <v/>
      </c>
      <c r="D168" t="str">
        <f>IF([1]Sheet1!D204="","",[1]Sheet1!D204)</f>
        <v>200</v>
      </c>
      <c r="E168" t="str">
        <f>IF([1]Sheet1!E204="","",[1]Sheet1!E204)</f>
        <v/>
      </c>
      <c r="F168" t="str">
        <f>IF([1]Sheet1!F204="","",[1]Sheet1!F204)</f>
        <v>0</v>
      </c>
      <c r="G168" t="str">
        <f>IF([1]Sheet1!G204="","",[1]Sheet1!G204)</f>
        <v>7</v>
      </c>
      <c r="H168" t="str">
        <f>IF([1]Sheet1!H204="","",[1]Sheet1!H204)</f>
        <v>D</v>
      </c>
      <c r="I168" t="str">
        <f>IF([1]Sheet1!I204="","",[1]Sheet1!I204)</f>
        <v>89</v>
      </c>
      <c r="J168" t="str">
        <f>IF([1]Sheet1!J204="","",[1]Sheet1!J204)</f>
        <v>56</v>
      </c>
      <c r="K168" t="str">
        <f>IF([1]Sheet1!K204="","",[1]Sheet1!K204)</f>
        <v/>
      </c>
      <c r="L168" t="str">
        <f>IF([1]Sheet1!L204="","",[1]Sheet1!L204)</f>
        <v>2000</v>
      </c>
      <c r="M168" t="str">
        <f>IF([1]Sheet1!M204="","",[1]Sheet1!M204)</f>
        <v/>
      </c>
      <c r="N168" t="str">
        <f>IF([1]Sheet1!N204="","",[1]Sheet1!N204)</f>
        <v>55,216</v>
      </c>
      <c r="O168" t="str">
        <f>IF([1]Sheet1!O204="","",[1]Sheet1!O204)</f>
        <v/>
      </c>
      <c r="P168" t="str">
        <f>IF([1]Sheet1!P204="","",[1]Sheet1!P204)</f>
        <v>199</v>
      </c>
    </row>
    <row r="169" spans="1:16" x14ac:dyDescent="0.25">
      <c r="A169" t="str">
        <f>IF([1]Sheet1!A205="","",[1]Sheet1!A205)</f>
        <v>e15</v>
      </c>
      <c r="B169" t="str">
        <f>IF([1]Sheet1!B205="","",[1]Sheet1!B205)</f>
        <v>2</v>
      </c>
      <c r="C169" t="str">
        <f>IF([1]Sheet1!C205="","",[1]Sheet1!C205)</f>
        <v/>
      </c>
      <c r="D169" t="str">
        <f>IF([1]Sheet1!D205="","",[1]Sheet1!D205)</f>
        <v>200</v>
      </c>
      <c r="E169" t="str">
        <f>IF([1]Sheet1!E205="","",[1]Sheet1!E205)</f>
        <v/>
      </c>
      <c r="F169" t="str">
        <f>IF([1]Sheet1!F205="","",[1]Sheet1!F205)</f>
        <v>0</v>
      </c>
      <c r="G169" t="str">
        <f>IF([1]Sheet1!G205="","",[1]Sheet1!G205)</f>
        <v>7</v>
      </c>
      <c r="H169" t="str">
        <f>IF([1]Sheet1!H205="","",[1]Sheet1!H205)</f>
        <v>D</v>
      </c>
      <c r="I169" t="str">
        <f>IF([1]Sheet1!I205="","",[1]Sheet1!I205)</f>
        <v>89</v>
      </c>
      <c r="J169" t="str">
        <f>IF([1]Sheet1!J205="","",[1]Sheet1!J205)</f>
        <v>33</v>
      </c>
      <c r="K169" t="str">
        <f>IF([1]Sheet1!K205="","",[1]Sheet1!K205)</f>
        <v/>
      </c>
      <c r="L169" t="str">
        <f>IF([1]Sheet1!L205="","",[1]Sheet1!L205)</f>
        <v>2000</v>
      </c>
      <c r="M169" t="str">
        <f>IF([1]Sheet1!M205="","",[1]Sheet1!M205)</f>
        <v/>
      </c>
      <c r="N169" t="str">
        <f>IF([1]Sheet1!N205="","",[1]Sheet1!N205)</f>
        <v>97,971</v>
      </c>
      <c r="O169" t="str">
        <f>IF([1]Sheet1!O205="","",[1]Sheet1!O205)</f>
        <v>Poste</v>
      </c>
      <c r="P169" t="str">
        <f>IF([1]Sheet1!P205="","",[1]Sheet1!P205)</f>
        <v>200</v>
      </c>
    </row>
    <row r="170" spans="1:16" x14ac:dyDescent="0.25">
      <c r="A170" t="str">
        <f>IF([1]Sheet1!A206="","",[1]Sheet1!A206)</f>
        <v>e15</v>
      </c>
      <c r="B170" t="str">
        <f>IF([1]Sheet1!B206="","",[1]Sheet1!B206)</f>
        <v>3</v>
      </c>
      <c r="C170" t="str">
        <f>IF([1]Sheet1!C206="","",[1]Sheet1!C206)</f>
        <v/>
      </c>
      <c r="D170" t="str">
        <f>IF([1]Sheet1!D206="","",[1]Sheet1!D206)</f>
        <v>200</v>
      </c>
      <c r="E170" t="str">
        <f>IF([1]Sheet1!E206="","",[1]Sheet1!E206)</f>
        <v/>
      </c>
      <c r="F170" t="str">
        <f>IF([1]Sheet1!F206="","",[1]Sheet1!F206)</f>
        <v>0</v>
      </c>
      <c r="G170" t="str">
        <f>IF([1]Sheet1!G206="","",[1]Sheet1!G206)</f>
        <v>7</v>
      </c>
      <c r="H170" t="str">
        <f>IF([1]Sheet1!H206="","",[1]Sheet1!H206)</f>
        <v>D</v>
      </c>
      <c r="I170" t="str">
        <f>IF([1]Sheet1!I206="","",[1]Sheet1!I206)</f>
        <v>89</v>
      </c>
      <c r="J170" t="str">
        <f>IF([1]Sheet1!J206="","",[1]Sheet1!J206)</f>
        <v>40</v>
      </c>
      <c r="K170" t="str">
        <f>IF([1]Sheet1!K206="","",[1]Sheet1!K206)</f>
        <v/>
      </c>
      <c r="L170" t="str">
        <f>IF([1]Sheet1!L206="","",[1]Sheet1!L206)</f>
        <v>2000</v>
      </c>
      <c r="M170" t="str">
        <f>IF([1]Sheet1!M206="","",[1]Sheet1!M206)</f>
        <v/>
      </c>
      <c r="N170" t="str">
        <f>IF([1]Sheet1!N206="","",[1]Sheet1!N206)</f>
        <v>145,182</v>
      </c>
      <c r="O170" t="str">
        <f>IF([1]Sheet1!O206="","",[1]Sheet1!O206)</f>
        <v/>
      </c>
      <c r="P170" t="str">
        <f>IF([1]Sheet1!P206="","",[1]Sheet1!P206)</f>
        <v>201</v>
      </c>
    </row>
    <row r="171" spans="1:16" x14ac:dyDescent="0.25">
      <c r="A171" t="str">
        <f>IF([1]Sheet1!A207="","",[1]Sheet1!A207)</f>
        <v>e15</v>
      </c>
      <c r="B171" t="str">
        <f>IF([1]Sheet1!B207="","",[1]Sheet1!B207)</f>
        <v>4</v>
      </c>
      <c r="C171" t="str">
        <f>IF([1]Sheet1!C207="","",[1]Sheet1!C207)</f>
        <v/>
      </c>
      <c r="D171" t="str">
        <f>IF([1]Sheet1!D207="","",[1]Sheet1!D207)</f>
        <v>200</v>
      </c>
      <c r="E171" t="str">
        <f>IF([1]Sheet1!E207="","",[1]Sheet1!E207)</f>
        <v/>
      </c>
      <c r="F171" t="str">
        <f>IF([1]Sheet1!F207="","",[1]Sheet1!F207)</f>
        <v>0</v>
      </c>
      <c r="G171" t="str">
        <f>IF([1]Sheet1!G207="","",[1]Sheet1!G207)</f>
        <v>7</v>
      </c>
      <c r="H171" t="str">
        <f>IF([1]Sheet1!H207="","",[1]Sheet1!H207)</f>
        <v>D</v>
      </c>
      <c r="I171" t="str">
        <f>IF([1]Sheet1!I207="","",[1]Sheet1!I207)</f>
        <v>89</v>
      </c>
      <c r="J171" t="str">
        <f>IF([1]Sheet1!J207="","",[1]Sheet1!J207)</f>
        <v>39</v>
      </c>
      <c r="K171" t="str">
        <f>IF([1]Sheet1!K207="","",[1]Sheet1!K207)</f>
        <v/>
      </c>
      <c r="L171" t="str">
        <f>IF([1]Sheet1!L207="","",[1]Sheet1!L207)</f>
        <v>2000</v>
      </c>
      <c r="M171" t="str">
        <f>IF([1]Sheet1!M207="","",[1]Sheet1!M207)</f>
        <v/>
      </c>
      <c r="N171" t="str">
        <f>IF([1]Sheet1!N207="","",[1]Sheet1!N207)</f>
        <v>179,396</v>
      </c>
      <c r="O171" t="str">
        <f>IF([1]Sheet1!O207="","",[1]Sheet1!O207)</f>
        <v/>
      </c>
      <c r="P171" t="str">
        <f>IF([1]Sheet1!P207="","",[1]Sheet1!P207)</f>
        <v>202</v>
      </c>
    </row>
    <row r="172" spans="1:16" x14ac:dyDescent="0.25">
      <c r="A172" t="str">
        <f>IF([1]Sheet1!A208="","",[1]Sheet1!A208)</f>
        <v>e15</v>
      </c>
      <c r="B172" t="str">
        <f>IF([1]Sheet1!B208="","",[1]Sheet1!B208)</f>
        <v>5</v>
      </c>
      <c r="C172" t="str">
        <f>IF([1]Sheet1!C208="","",[1]Sheet1!C208)</f>
        <v/>
      </c>
      <c r="D172" t="str">
        <f>IF([1]Sheet1!D208="","",[1]Sheet1!D208)</f>
        <v>200</v>
      </c>
      <c r="E172" t="str">
        <f>IF([1]Sheet1!E208="","",[1]Sheet1!E208)</f>
        <v/>
      </c>
      <c r="F172" t="str">
        <f>IF([1]Sheet1!F208="","",[1]Sheet1!F208)</f>
        <v>0</v>
      </c>
      <c r="G172" t="str">
        <f>IF([1]Sheet1!G208="","",[1]Sheet1!G208)</f>
        <v>7</v>
      </c>
      <c r="H172" t="str">
        <f>IF([1]Sheet1!H208="","",[1]Sheet1!H208)</f>
        <v>D</v>
      </c>
      <c r="I172" t="str">
        <f>IF([1]Sheet1!I208="","",[1]Sheet1!I208)</f>
        <v>89</v>
      </c>
      <c r="J172" t="str">
        <f>IF([1]Sheet1!J208="","",[1]Sheet1!J208)</f>
        <v>23</v>
      </c>
      <c r="K172" t="str">
        <f>IF([1]Sheet1!K208="","",[1]Sheet1!K208)</f>
        <v/>
      </c>
      <c r="L172" t="str">
        <f>IF([1]Sheet1!L208="","",[1]Sheet1!L208)</f>
        <v>2000</v>
      </c>
      <c r="M172" t="str">
        <f>IF([1]Sheet1!M208="","",[1]Sheet1!M208)</f>
        <v/>
      </c>
      <c r="N172" t="str">
        <f>IF([1]Sheet1!N208="","",[1]Sheet1!N208)</f>
        <v>200,998</v>
      </c>
      <c r="O172" t="str">
        <f>IF([1]Sheet1!O208="","",[1]Sheet1!O208)</f>
        <v>Poste</v>
      </c>
      <c r="P172" t="str">
        <f>IF([1]Sheet1!P208="","",[1]Sheet1!P208)</f>
        <v>203</v>
      </c>
    </row>
    <row r="173" spans="1:16" x14ac:dyDescent="0.25">
      <c r="A173" t="str">
        <f>IF([1]Sheet1!A209="","",[1]Sheet1!A209)</f>
        <v>e15</v>
      </c>
      <c r="B173" t="str">
        <f>IF([1]Sheet1!B209="","",[1]Sheet1!B209)</f>
        <v>6</v>
      </c>
      <c r="C173" t="str">
        <f>IF([1]Sheet1!C209="","",[1]Sheet1!C209)</f>
        <v/>
      </c>
      <c r="D173" t="str">
        <f>IF([1]Sheet1!D209="","",[1]Sheet1!D209)</f>
        <v>200</v>
      </c>
      <c r="E173" t="str">
        <f>IF([1]Sheet1!E209="","",[1]Sheet1!E209)</f>
        <v/>
      </c>
      <c r="F173" t="str">
        <f>IF([1]Sheet1!F209="","",[1]Sheet1!F209)</f>
        <v>0</v>
      </c>
      <c r="G173" t="str">
        <f>IF([1]Sheet1!G209="","",[1]Sheet1!G209)</f>
        <v>7</v>
      </c>
      <c r="H173" t="str">
        <f>IF([1]Sheet1!H209="","",[1]Sheet1!H209)</f>
        <v>D</v>
      </c>
      <c r="I173" t="str">
        <f>IF([1]Sheet1!I209="","",[1]Sheet1!I209)</f>
        <v>89</v>
      </c>
      <c r="J173" t="str">
        <f>IF([1]Sheet1!J209="","",[1]Sheet1!J209)</f>
        <v>48</v>
      </c>
      <c r="K173" t="str">
        <f>IF([1]Sheet1!K209="","",[1]Sheet1!K209)</f>
        <v/>
      </c>
      <c r="L173" t="str">
        <f>IF([1]Sheet1!L209="","",[1]Sheet1!L209)</f>
        <v>2000</v>
      </c>
      <c r="M173" t="str">
        <f>IF([1]Sheet1!M209="","",[1]Sheet1!M209)</f>
        <v/>
      </c>
      <c r="N173" t="str">
        <f>IF([1]Sheet1!N209="","",[1]Sheet1!N209)</f>
        <v>242,279</v>
      </c>
      <c r="O173" t="str">
        <f>IF([1]Sheet1!O209="","",[1]Sheet1!O209)</f>
        <v/>
      </c>
      <c r="P173" t="str">
        <f>IF([1]Sheet1!P209="","",[1]Sheet1!P209)</f>
        <v>204</v>
      </c>
    </row>
    <row r="174" spans="1:16" x14ac:dyDescent="0.25">
      <c r="A174" t="str">
        <f>IF([1]Sheet1!A210="","",[1]Sheet1!A210)</f>
        <v>e15</v>
      </c>
      <c r="B174" t="str">
        <f>IF([1]Sheet1!B210="","",[1]Sheet1!B210)</f>
        <v>7</v>
      </c>
      <c r="C174" t="str">
        <f>IF([1]Sheet1!C210="","",[1]Sheet1!C210)</f>
        <v/>
      </c>
      <c r="D174" t="str">
        <f>IF([1]Sheet1!D210="","",[1]Sheet1!D210)</f>
        <v>200</v>
      </c>
      <c r="E174" t="str">
        <f>IF([1]Sheet1!E210="","",[1]Sheet1!E210)</f>
        <v/>
      </c>
      <c r="F174" t="str">
        <f>IF([1]Sheet1!F210="","",[1]Sheet1!F210)</f>
        <v>0</v>
      </c>
      <c r="G174" t="str">
        <f>IF([1]Sheet1!G210="","",[1]Sheet1!G210)</f>
        <v>7</v>
      </c>
      <c r="H174" t="str">
        <f>IF([1]Sheet1!H210="","",[1]Sheet1!H210)</f>
        <v>D</v>
      </c>
      <c r="I174" t="str">
        <f>IF([1]Sheet1!I210="","",[1]Sheet1!I210)</f>
        <v>89</v>
      </c>
      <c r="J174" t="str">
        <f>IF([1]Sheet1!J210="","",[1]Sheet1!J210)</f>
        <v>52</v>
      </c>
      <c r="K174" t="str">
        <f>IF([1]Sheet1!K210="","",[1]Sheet1!K210)</f>
        <v/>
      </c>
      <c r="L174" t="str">
        <f>IF([1]Sheet1!L210="","",[1]Sheet1!L210)</f>
        <v>2000</v>
      </c>
      <c r="M174" t="str">
        <f>IF([1]Sheet1!M210="","",[1]Sheet1!M210)</f>
        <v/>
      </c>
      <c r="N174" t="str">
        <f>IF([1]Sheet1!N210="","",[1]Sheet1!N210)</f>
        <v>278,809</v>
      </c>
      <c r="O174" t="str">
        <f>IF([1]Sheet1!O210="","",[1]Sheet1!O210)</f>
        <v/>
      </c>
      <c r="P174" t="str">
        <f>IF([1]Sheet1!P210="","",[1]Sheet1!P210)</f>
        <v>205</v>
      </c>
    </row>
    <row r="175" spans="1:16" x14ac:dyDescent="0.25">
      <c r="A175" t="str">
        <f>IF([1]Sheet1!A211="","",[1]Sheet1!A211)</f>
        <v>e15</v>
      </c>
      <c r="B175" t="str">
        <f>IF([1]Sheet1!B211="","",[1]Sheet1!B211)</f>
        <v>e16</v>
      </c>
      <c r="C175" t="str">
        <f>IF([1]Sheet1!C211="","",[1]Sheet1!C211)</f>
        <v/>
      </c>
      <c r="D175" t="str">
        <f>IF([1]Sheet1!D211="","",[1]Sheet1!D211)</f>
        <v>200</v>
      </c>
      <c r="E175" t="str">
        <f>IF([1]Sheet1!E211="","",[1]Sheet1!E211)</f>
        <v/>
      </c>
      <c r="F175" t="str">
        <f>IF([1]Sheet1!F211="","",[1]Sheet1!F211)</f>
        <v>0</v>
      </c>
      <c r="G175" t="str">
        <f>IF([1]Sheet1!G211="","",[1]Sheet1!G211)</f>
        <v>7</v>
      </c>
      <c r="H175" t="str">
        <f>IF([1]Sheet1!H211="","",[1]Sheet1!H211)</f>
        <v>D</v>
      </c>
      <c r="I175" t="str">
        <f>IF([1]Sheet1!I211="","",[1]Sheet1!I211)</f>
        <v>89</v>
      </c>
      <c r="J175" t="str">
        <f>IF([1]Sheet1!J211="","",[1]Sheet1!J211)</f>
        <v>54</v>
      </c>
      <c r="K175" t="str">
        <f>IF([1]Sheet1!K211="","",[1]Sheet1!K211)</f>
        <v/>
      </c>
      <c r="L175" t="str">
        <f>IF([1]Sheet1!L211="","",[1]Sheet1!L211)</f>
        <v>2000</v>
      </c>
      <c r="M175" t="str">
        <f>IF([1]Sheet1!M211="","",[1]Sheet1!M211)</f>
        <v/>
      </c>
      <c r="N175" t="str">
        <f>IF([1]Sheet1!N211="","",[1]Sheet1!N211)</f>
        <v>305,598</v>
      </c>
      <c r="O175" t="str">
        <f>IF([1]Sheet1!O211="","",[1]Sheet1!O211)</f>
        <v>Poste</v>
      </c>
      <c r="P175" t="str">
        <f>IF([1]Sheet1!P211="","",[1]Sheet1!P211)</f>
        <v>206</v>
      </c>
    </row>
    <row r="176" spans="1:16" x14ac:dyDescent="0.25">
      <c r="A176" t="str">
        <f>IF([1]Sheet1!A212="","",[1]Sheet1!A212)</f>
        <v>e16</v>
      </c>
      <c r="B176" t="str">
        <f>IF([1]Sheet1!B212="","",[1]Sheet1!B212)</f>
        <v>e15</v>
      </c>
      <c r="C176" t="str">
        <f>IF([1]Sheet1!C212="","",[1]Sheet1!C212)</f>
        <v/>
      </c>
      <c r="D176" t="str">
        <f>IF([1]Sheet1!D212="","",[1]Sheet1!D212)</f>
        <v>200</v>
      </c>
      <c r="E176" t="str">
        <f>IF([1]Sheet1!E212="","",[1]Sheet1!E212)</f>
        <v>20</v>
      </c>
      <c r="F176" t="str">
        <f>IF([1]Sheet1!F212="","",[1]Sheet1!F212)</f>
        <v>180</v>
      </c>
      <c r="G176" t="str">
        <f>IF([1]Sheet1!G212="","",[1]Sheet1!G212)</f>
        <v>0</v>
      </c>
      <c r="H176" t="str">
        <f>IF([1]Sheet1!H212="","",[1]Sheet1!H212)</f>
        <v>D</v>
      </c>
      <c r="I176" t="str">
        <f>IF([1]Sheet1!I212="","",[1]Sheet1!I212)</f>
        <v/>
      </c>
      <c r="J176" t="str">
        <f>IF([1]Sheet1!J212="","",[1]Sheet1!J212)</f>
        <v/>
      </c>
      <c r="K176" t="str">
        <f>IF([1]Sheet1!K212="","",[1]Sheet1!K212)</f>
        <v/>
      </c>
      <c r="L176" t="str">
        <f>IF([1]Sheet1!L212="","",[1]Sheet1!L212)</f>
        <v/>
      </c>
      <c r="M176" t="str">
        <f>IF([1]Sheet1!M212="","",[1]Sheet1!M212)</f>
        <v/>
      </c>
      <c r="N176" t="str">
        <f>IF([1]Sheet1!N212="","",[1]Sheet1!N212)</f>
        <v/>
      </c>
      <c r="O176" t="str">
        <f>IF([1]Sheet1!O212="","",[1]Sheet1!O212)</f>
        <v>RÉ</v>
      </c>
      <c r="P176" t="str">
        <f>IF([1]Sheet1!P212="","",[1]Sheet1!P212)</f>
        <v>207</v>
      </c>
    </row>
    <row r="177" spans="1:16" x14ac:dyDescent="0.25">
      <c r="A177" t="str">
        <f>IF([1]Sheet1!A213="","",[1]Sheet1!A213)</f>
        <v>e16</v>
      </c>
      <c r="B177" t="str">
        <f>IF([1]Sheet1!B213="","",[1]Sheet1!B213)</f>
        <v>1</v>
      </c>
      <c r="C177" t="str">
        <f>IF([1]Sheet1!C213="","",[1]Sheet1!C213)</f>
        <v/>
      </c>
      <c r="D177" t="str">
        <f>IF([1]Sheet1!D213="","",[1]Sheet1!D213)</f>
        <v>200</v>
      </c>
      <c r="E177" t="str">
        <f>IF([1]Sheet1!E213="","",[1]Sheet1!E213)</f>
        <v/>
      </c>
      <c r="F177" t="str">
        <f>IF([1]Sheet1!F213="","",[1]Sheet1!F213)</f>
        <v>0</v>
      </c>
      <c r="G177" t="str">
        <f>IF([1]Sheet1!G213="","",[1]Sheet1!G213)</f>
        <v>1</v>
      </c>
      <c r="H177" t="str">
        <f>IF([1]Sheet1!H213="","",[1]Sheet1!H213)</f>
        <v>D</v>
      </c>
      <c r="I177" t="str">
        <f>IF([1]Sheet1!I213="","",[1]Sheet1!I213)</f>
        <v>90</v>
      </c>
      <c r="J177" t="str">
        <f>IF([1]Sheet1!J213="","",[1]Sheet1!J213)</f>
        <v>57</v>
      </c>
      <c r="K177" t="str">
        <f>IF([1]Sheet1!K213="","",[1]Sheet1!K213)</f>
        <v/>
      </c>
      <c r="L177" t="str">
        <f>IF([1]Sheet1!L213="","",[1]Sheet1!L213)</f>
        <v>2000</v>
      </c>
      <c r="M177" t="str">
        <f>IF([1]Sheet1!M213="","",[1]Sheet1!M213)</f>
        <v/>
      </c>
      <c r="N177" t="str">
        <f>IF([1]Sheet1!N213="","",[1]Sheet1!N213)</f>
        <v>44,441</v>
      </c>
      <c r="O177" t="str">
        <f>IF([1]Sheet1!O213="","",[1]Sheet1!O213)</f>
        <v/>
      </c>
      <c r="P177" t="str">
        <f>IF([1]Sheet1!P213="","",[1]Sheet1!P213)</f>
        <v>208</v>
      </c>
    </row>
    <row r="178" spans="1:16" x14ac:dyDescent="0.25">
      <c r="A178" t="str">
        <f>IF([1]Sheet1!A214="","",[1]Sheet1!A214)</f>
        <v>e16</v>
      </c>
      <c r="B178" t="str">
        <f>IF([1]Sheet1!B214="","",[1]Sheet1!B214)</f>
        <v>2</v>
      </c>
      <c r="C178" t="str">
        <f>IF([1]Sheet1!C214="","",[1]Sheet1!C214)</f>
        <v/>
      </c>
      <c r="D178" t="str">
        <f>IF([1]Sheet1!D214="","",[1]Sheet1!D214)</f>
        <v>200</v>
      </c>
      <c r="E178" t="str">
        <f>IF([1]Sheet1!E214="","",[1]Sheet1!E214)</f>
        <v/>
      </c>
      <c r="F178" t="str">
        <f>IF([1]Sheet1!F214="","",[1]Sheet1!F214)</f>
        <v>0</v>
      </c>
      <c r="G178" t="str">
        <f>IF([1]Sheet1!G214="","",[1]Sheet1!G214)</f>
        <v>1</v>
      </c>
      <c r="H178" t="str">
        <f>IF([1]Sheet1!H214="","",[1]Sheet1!H214)</f>
        <v>D</v>
      </c>
      <c r="I178" t="str">
        <f>IF([1]Sheet1!I214="","",[1]Sheet1!I214)</f>
        <v>90</v>
      </c>
      <c r="J178" t="str">
        <f>IF([1]Sheet1!J214="","",[1]Sheet1!J214)</f>
        <v>37</v>
      </c>
      <c r="K178" t="str">
        <f>IF([1]Sheet1!K214="","",[1]Sheet1!K214)</f>
        <v/>
      </c>
      <c r="L178" t="str">
        <f>IF([1]Sheet1!L214="","",[1]Sheet1!L214)</f>
        <v>2000</v>
      </c>
      <c r="M178" t="str">
        <f>IF([1]Sheet1!M214="","",[1]Sheet1!M214)</f>
        <v/>
      </c>
      <c r="N178" t="str">
        <f>IF([1]Sheet1!N214="","",[1]Sheet1!N214)</f>
        <v>96,061</v>
      </c>
      <c r="O178" t="str">
        <f>IF([1]Sheet1!O214="","",[1]Sheet1!O214)</f>
        <v>Poste brt</v>
      </c>
      <c r="P178" t="str">
        <f>IF([1]Sheet1!P214="","",[1]Sheet1!P214)</f>
        <v>209</v>
      </c>
    </row>
    <row r="179" spans="1:16" x14ac:dyDescent="0.25">
      <c r="A179" t="str">
        <f>IF([1]Sheet1!A215="","",[1]Sheet1!A215)</f>
        <v>e16</v>
      </c>
      <c r="B179" t="str">
        <f>IF([1]Sheet1!B215="","",[1]Sheet1!B215)</f>
        <v>3</v>
      </c>
      <c r="C179" t="str">
        <f>IF([1]Sheet1!C215="","",[1]Sheet1!C215)</f>
        <v/>
      </c>
      <c r="D179" t="str">
        <f>IF([1]Sheet1!D215="","",[1]Sheet1!D215)</f>
        <v>200</v>
      </c>
      <c r="E179" t="str">
        <f>IF([1]Sheet1!E215="","",[1]Sheet1!E215)</f>
        <v/>
      </c>
      <c r="F179" t="str">
        <f>IF([1]Sheet1!F215="","",[1]Sheet1!F215)</f>
        <v>0</v>
      </c>
      <c r="G179" t="str">
        <f>IF([1]Sheet1!G215="","",[1]Sheet1!G215)</f>
        <v>1</v>
      </c>
      <c r="H179" t="str">
        <f>IF([1]Sheet1!H215="","",[1]Sheet1!H215)</f>
        <v>D</v>
      </c>
      <c r="I179" t="str">
        <f>IF([1]Sheet1!I215="","",[1]Sheet1!I215)</f>
        <v>90</v>
      </c>
      <c r="J179" t="str">
        <f>IF([1]Sheet1!J215="","",[1]Sheet1!J215)</f>
        <v>47</v>
      </c>
      <c r="K179" t="str">
        <f>IF([1]Sheet1!K215="","",[1]Sheet1!K215)</f>
        <v/>
      </c>
      <c r="L179" t="str">
        <f>IF([1]Sheet1!L215="","",[1]Sheet1!L215)</f>
        <v>2000</v>
      </c>
      <c r="M179" t="str">
        <f>IF([1]Sheet1!M215="","",[1]Sheet1!M215)</f>
        <v/>
      </c>
      <c r="N179" t="str">
        <f>IF([1]Sheet1!N215="","",[1]Sheet1!N215)</f>
        <v>141,323</v>
      </c>
      <c r="O179" t="str">
        <f>IF([1]Sheet1!O215="","",[1]Sheet1!O215)</f>
        <v/>
      </c>
      <c r="P179" t="str">
        <f>IF([1]Sheet1!P215="","",[1]Sheet1!P215)</f>
        <v>210</v>
      </c>
    </row>
    <row r="180" spans="1:16" x14ac:dyDescent="0.25">
      <c r="A180" t="str">
        <f>IF([1]Sheet1!A216="","",[1]Sheet1!A216)</f>
        <v>e16</v>
      </c>
      <c r="B180" t="str">
        <f>IF([1]Sheet1!B216="","",[1]Sheet1!B216)</f>
        <v>4</v>
      </c>
      <c r="C180" t="str">
        <f>IF([1]Sheet1!C216="","",[1]Sheet1!C216)</f>
        <v/>
      </c>
      <c r="D180" t="str">
        <f>IF([1]Sheet1!D216="","",[1]Sheet1!D216)</f>
        <v>200</v>
      </c>
      <c r="E180" t="str">
        <f>IF([1]Sheet1!E216="","",[1]Sheet1!E216)</f>
        <v/>
      </c>
      <c r="F180" t="str">
        <f>IF([1]Sheet1!F216="","",[1]Sheet1!F216)</f>
        <v>0</v>
      </c>
      <c r="G180" t="str">
        <f>IF([1]Sheet1!G216="","",[1]Sheet1!G216)</f>
        <v>1</v>
      </c>
      <c r="H180" t="str">
        <f>IF([1]Sheet1!H216="","",[1]Sheet1!H216)</f>
        <v>D</v>
      </c>
      <c r="I180" t="str">
        <f>IF([1]Sheet1!I216="","",[1]Sheet1!I216)</f>
        <v>90</v>
      </c>
      <c r="J180" t="str">
        <f>IF([1]Sheet1!J216="","",[1]Sheet1!J216)</f>
        <v>43</v>
      </c>
      <c r="K180" t="str">
        <f>IF([1]Sheet1!K216="","",[1]Sheet1!K216)</f>
        <v/>
      </c>
      <c r="L180" t="str">
        <f>IF([1]Sheet1!L216="","",[1]Sheet1!L216)</f>
        <v>2000</v>
      </c>
      <c r="M180" t="str">
        <f>IF([1]Sheet1!M216="","",[1]Sheet1!M216)</f>
        <v/>
      </c>
      <c r="N180" t="str">
        <f>IF([1]Sheet1!N216="","",[1]Sheet1!N216)</f>
        <v>166,658</v>
      </c>
      <c r="O180" t="str">
        <f>IF([1]Sheet1!O216="","",[1]Sheet1!O216)</f>
        <v/>
      </c>
      <c r="P180" t="str">
        <f>IF([1]Sheet1!P216="","",[1]Sheet1!P216)</f>
        <v>211</v>
      </c>
    </row>
    <row r="181" spans="1:16" x14ac:dyDescent="0.25">
      <c r="A181" t="str">
        <f>IF([1]Sheet1!A217="","",[1]Sheet1!A217)</f>
        <v>e16</v>
      </c>
      <c r="B181" t="str">
        <f>IF([1]Sheet1!B217="","",[1]Sheet1!B217)</f>
        <v>5</v>
      </c>
      <c r="C181" t="str">
        <f>IF([1]Sheet1!C217="","",[1]Sheet1!C217)</f>
        <v/>
      </c>
      <c r="D181" t="str">
        <f>IF([1]Sheet1!D217="","",[1]Sheet1!D217)</f>
        <v>200</v>
      </c>
      <c r="E181" t="str">
        <f>IF([1]Sheet1!E217="","",[1]Sheet1!E217)</f>
        <v/>
      </c>
      <c r="F181" t="str">
        <f>IF([1]Sheet1!F217="","",[1]Sheet1!F217)</f>
        <v>0</v>
      </c>
      <c r="G181" t="str">
        <f>IF([1]Sheet1!G217="","",[1]Sheet1!G217)</f>
        <v>1</v>
      </c>
      <c r="H181" t="str">
        <f>IF([1]Sheet1!H217="","",[1]Sheet1!H217)</f>
        <v>D</v>
      </c>
      <c r="I181" t="str">
        <f>IF([1]Sheet1!I217="","",[1]Sheet1!I217)</f>
        <v>90</v>
      </c>
      <c r="J181" t="str">
        <f>IF([1]Sheet1!J217="","",[1]Sheet1!J217)</f>
        <v>28</v>
      </c>
      <c r="K181" t="str">
        <f>IF([1]Sheet1!K217="","",[1]Sheet1!K217)</f>
        <v/>
      </c>
      <c r="L181" t="str">
        <f>IF([1]Sheet1!L217="","",[1]Sheet1!L217)</f>
        <v>2000</v>
      </c>
      <c r="M181" t="str">
        <f>IF([1]Sheet1!M217="","",[1]Sheet1!M217)</f>
        <v/>
      </c>
      <c r="N181" t="str">
        <f>IF([1]Sheet1!N217="","",[1]Sheet1!N217)</f>
        <v>196,061</v>
      </c>
      <c r="O181" t="str">
        <f>IF([1]Sheet1!O217="","",[1]Sheet1!O217)</f>
        <v>Poste</v>
      </c>
      <c r="P181" t="str">
        <f>IF([1]Sheet1!P217="","",[1]Sheet1!P217)</f>
        <v>212</v>
      </c>
    </row>
    <row r="182" spans="1:16" x14ac:dyDescent="0.25">
      <c r="A182" t="str">
        <f>IF([1]Sheet1!A218="","",[1]Sheet1!A218)</f>
        <v>e16</v>
      </c>
      <c r="B182" t="str">
        <f>IF([1]Sheet1!B218="","",[1]Sheet1!B218)</f>
        <v>6</v>
      </c>
      <c r="C182" t="str">
        <f>IF([1]Sheet1!C218="","",[1]Sheet1!C218)</f>
        <v/>
      </c>
      <c r="D182" t="str">
        <f>IF([1]Sheet1!D218="","",[1]Sheet1!D218)</f>
        <v>200</v>
      </c>
      <c r="E182" t="str">
        <f>IF([1]Sheet1!E218="","",[1]Sheet1!E218)</f>
        <v/>
      </c>
      <c r="F182" t="str">
        <f>IF([1]Sheet1!F218="","",[1]Sheet1!F218)</f>
        <v>0</v>
      </c>
      <c r="G182" t="str">
        <f>IF([1]Sheet1!G218="","",[1]Sheet1!G218)</f>
        <v>1</v>
      </c>
      <c r="H182" t="str">
        <f>IF([1]Sheet1!H218="","",[1]Sheet1!H218)</f>
        <v>D</v>
      </c>
      <c r="I182" t="str">
        <f>IF([1]Sheet1!I218="","",[1]Sheet1!I218)</f>
        <v>90</v>
      </c>
      <c r="J182" t="str">
        <f>IF([1]Sheet1!J218="","",[1]Sheet1!J218)</f>
        <v>41</v>
      </c>
      <c r="K182" t="str">
        <f>IF([1]Sheet1!K218="","",[1]Sheet1!K218)</f>
        <v/>
      </c>
      <c r="L182" t="str">
        <f>IF([1]Sheet1!L218="","",[1]Sheet1!L218)</f>
        <v>2000</v>
      </c>
      <c r="M182" t="str">
        <f>IF([1]Sheet1!M218="","",[1]Sheet1!M218)</f>
        <v/>
      </c>
      <c r="N182" t="str">
        <f>IF([1]Sheet1!N218="","",[1]Sheet1!N218)</f>
        <v>245,494</v>
      </c>
      <c r="O182" t="str">
        <f>IF([1]Sheet1!O218="","",[1]Sheet1!O218)</f>
        <v/>
      </c>
      <c r="P182" t="str">
        <f>IF([1]Sheet1!P218="","",[1]Sheet1!P218)</f>
        <v>213</v>
      </c>
    </row>
    <row r="183" spans="1:16" x14ac:dyDescent="0.25">
      <c r="A183" t="str">
        <f>IF([1]Sheet1!A219="","",[1]Sheet1!A219)</f>
        <v>e16</v>
      </c>
      <c r="B183" t="str">
        <f>IF([1]Sheet1!B219="","",[1]Sheet1!B219)</f>
        <v>7</v>
      </c>
      <c r="C183" t="str">
        <f>IF([1]Sheet1!C219="","",[1]Sheet1!C219)</f>
        <v/>
      </c>
      <c r="D183" t="str">
        <f>IF([1]Sheet1!D219="","",[1]Sheet1!D219)</f>
        <v>200</v>
      </c>
      <c r="E183" t="str">
        <f>IF([1]Sheet1!E219="","",[1]Sheet1!E219)</f>
        <v/>
      </c>
      <c r="F183" t="str">
        <f>IF([1]Sheet1!F219="","",[1]Sheet1!F219)</f>
        <v>0</v>
      </c>
      <c r="G183" t="str">
        <f>IF([1]Sheet1!G219="","",[1]Sheet1!G219)</f>
        <v>1</v>
      </c>
      <c r="H183" t="str">
        <f>IF([1]Sheet1!H219="","",[1]Sheet1!H219)</f>
        <v>D</v>
      </c>
      <c r="I183" t="str">
        <f>IF([1]Sheet1!I219="","",[1]Sheet1!I219)</f>
        <v>90</v>
      </c>
      <c r="J183" t="str">
        <f>IF([1]Sheet1!J219="","",[1]Sheet1!J219)</f>
        <v>36</v>
      </c>
      <c r="K183" t="str">
        <f>IF([1]Sheet1!K219="","",[1]Sheet1!K219)</f>
        <v/>
      </c>
      <c r="L183" t="str">
        <f>IF([1]Sheet1!L219="","",[1]Sheet1!L219)</f>
        <v>2000</v>
      </c>
      <c r="M183" t="str">
        <f>IF([1]Sheet1!M219="","",[1]Sheet1!M219)</f>
        <v/>
      </c>
      <c r="N183" t="str">
        <f>IF([1]Sheet1!N219="","",[1]Sheet1!N219)</f>
        <v>297,859</v>
      </c>
      <c r="O183" t="str">
        <f>IF([1]Sheet1!O219="","",[1]Sheet1!O219)</f>
        <v>Poste</v>
      </c>
      <c r="P183" t="str">
        <f>IF([1]Sheet1!P219="","",[1]Sheet1!P219)</f>
        <v>214</v>
      </c>
    </row>
    <row r="184" spans="1:16" x14ac:dyDescent="0.25">
      <c r="A184" t="str">
        <f>IF([1]Sheet1!A220="","",[1]Sheet1!A220)</f>
        <v>e16</v>
      </c>
      <c r="B184" t="str">
        <f>IF([1]Sheet1!B220="","",[1]Sheet1!B220)</f>
        <v>8</v>
      </c>
      <c r="C184" t="str">
        <f>IF([1]Sheet1!C220="","",[1]Sheet1!C220)</f>
        <v/>
      </c>
      <c r="D184" t="str">
        <f>IF([1]Sheet1!D220="","",[1]Sheet1!D220)</f>
        <v>200</v>
      </c>
      <c r="E184" t="str">
        <f>IF([1]Sheet1!E220="","",[1]Sheet1!E220)</f>
        <v/>
      </c>
      <c r="F184" t="str">
        <f>IF([1]Sheet1!F220="","",[1]Sheet1!F220)</f>
        <v>0</v>
      </c>
      <c r="G184" t="str">
        <f>IF([1]Sheet1!G220="","",[1]Sheet1!G220)</f>
        <v>1</v>
      </c>
      <c r="H184" t="str">
        <f>IF([1]Sheet1!H220="","",[1]Sheet1!H220)</f>
        <v>D</v>
      </c>
      <c r="I184" t="str">
        <f>IF([1]Sheet1!I220="","",[1]Sheet1!I220)</f>
        <v>90</v>
      </c>
      <c r="J184" t="str">
        <f>IF([1]Sheet1!J220="","",[1]Sheet1!J220)</f>
        <v>37</v>
      </c>
      <c r="K184" t="str">
        <f>IF([1]Sheet1!K220="","",[1]Sheet1!K220)</f>
        <v/>
      </c>
      <c r="L184" t="str">
        <f>IF([1]Sheet1!L220="","",[1]Sheet1!L220)</f>
        <v>2000</v>
      </c>
      <c r="M184" t="str">
        <f>IF([1]Sheet1!M220="","",[1]Sheet1!M220)</f>
        <v/>
      </c>
      <c r="N184" t="str">
        <f>IF([1]Sheet1!N220="","",[1]Sheet1!N220)</f>
        <v>308,958</v>
      </c>
      <c r="O184" t="str">
        <f>IF([1]Sheet1!O220="","",[1]Sheet1!O220)</f>
        <v xml:space="preserve">inicio estrada </v>
      </c>
      <c r="P184" t="str">
        <f>IF([1]Sheet1!P220="","",[1]Sheet1!P220)</f>
        <v>215</v>
      </c>
    </row>
    <row r="185" spans="1:16" x14ac:dyDescent="0.25">
      <c r="A185" t="str">
        <f>IF([1]Sheet1!A221="","",[1]Sheet1!A221)</f>
        <v>e16</v>
      </c>
      <c r="B185" t="str">
        <f>IF([1]Sheet1!B221="","",[1]Sheet1!B221)</f>
        <v>9</v>
      </c>
      <c r="C185" t="str">
        <f>IF([1]Sheet1!C221="","",[1]Sheet1!C221)</f>
        <v/>
      </c>
      <c r="D185" t="str">
        <f>IF([1]Sheet1!D221="","",[1]Sheet1!D221)</f>
        <v>200</v>
      </c>
      <c r="E185" t="str">
        <f>IF([1]Sheet1!E221="","",[1]Sheet1!E221)</f>
        <v/>
      </c>
      <c r="F185" t="str">
        <f>IF([1]Sheet1!F221="","",[1]Sheet1!F221)</f>
        <v>0</v>
      </c>
      <c r="G185" t="str">
        <f>IF([1]Sheet1!G221="","",[1]Sheet1!G221)</f>
        <v>1</v>
      </c>
      <c r="H185" t="str">
        <f>IF([1]Sheet1!H221="","",[1]Sheet1!H221)</f>
        <v>D</v>
      </c>
      <c r="I185" t="str">
        <f>IF([1]Sheet1!I221="","",[1]Sheet1!I221)</f>
        <v>90</v>
      </c>
      <c r="J185" t="str">
        <f>IF([1]Sheet1!J221="","",[1]Sheet1!J221)</f>
        <v>35</v>
      </c>
      <c r="K185" t="str">
        <f>IF([1]Sheet1!K221="","",[1]Sheet1!K221)</f>
        <v/>
      </c>
      <c r="L185" t="str">
        <f>IF([1]Sheet1!L221="","",[1]Sheet1!L221)</f>
        <v>2000</v>
      </c>
      <c r="M185" t="str">
        <f>IF([1]Sheet1!M221="","",[1]Sheet1!M221)</f>
        <v/>
      </c>
      <c r="N185" t="str">
        <f>IF([1]Sheet1!N221="","",[1]Sheet1!N221)</f>
        <v>314,891</v>
      </c>
      <c r="O185" t="str">
        <f>IF([1]Sheet1!O221="","",[1]Sheet1!O221)</f>
        <v>fim</v>
      </c>
      <c r="P185" t="str">
        <f>IF([1]Sheet1!P221="","",[1]Sheet1!P221)</f>
        <v>216</v>
      </c>
    </row>
    <row r="186" spans="1:16" x14ac:dyDescent="0.25">
      <c r="A186" t="str">
        <f>IF([1]Sheet1!A222="","",[1]Sheet1!A222)</f>
        <v>e16</v>
      </c>
      <c r="B186" t="str">
        <f>IF([1]Sheet1!B222="","",[1]Sheet1!B222)</f>
        <v>10</v>
      </c>
      <c r="C186" t="str">
        <f>IF([1]Sheet1!C222="","",[1]Sheet1!C222)</f>
        <v/>
      </c>
      <c r="D186" t="str">
        <f>IF([1]Sheet1!D222="","",[1]Sheet1!D222)</f>
        <v>200</v>
      </c>
      <c r="E186" t="str">
        <f>IF([1]Sheet1!E222="","",[1]Sheet1!E222)</f>
        <v/>
      </c>
      <c r="F186" t="str">
        <f>IF([1]Sheet1!F222="","",[1]Sheet1!F222)</f>
        <v>0</v>
      </c>
      <c r="G186" t="str">
        <f>IF([1]Sheet1!G222="","",[1]Sheet1!G222)</f>
        <v>1</v>
      </c>
      <c r="H186" t="str">
        <f>IF([1]Sheet1!H222="","",[1]Sheet1!H222)</f>
        <v>D</v>
      </c>
      <c r="I186" t="str">
        <f>IF([1]Sheet1!I222="","",[1]Sheet1!I222)</f>
        <v>90</v>
      </c>
      <c r="J186" t="str">
        <f>IF([1]Sheet1!J222="","",[1]Sheet1!J222)</f>
        <v>36</v>
      </c>
      <c r="K186" t="str">
        <f>IF([1]Sheet1!K222="","",[1]Sheet1!K222)</f>
        <v/>
      </c>
      <c r="L186" t="str">
        <f>IF([1]Sheet1!L222="","",[1]Sheet1!L222)</f>
        <v>2000</v>
      </c>
      <c r="M186" t="str">
        <f>IF([1]Sheet1!M222="","",[1]Sheet1!M222)</f>
        <v/>
      </c>
      <c r="N186" t="str">
        <f>IF([1]Sheet1!N222="","",[1]Sheet1!N222)</f>
        <v>354,126</v>
      </c>
      <c r="O186" t="str">
        <f>IF([1]Sheet1!O222="","",[1]Sheet1!O222)</f>
        <v/>
      </c>
      <c r="P186" t="str">
        <f>IF([1]Sheet1!P222="","",[1]Sheet1!P222)</f>
        <v>217</v>
      </c>
    </row>
    <row r="187" spans="1:16" x14ac:dyDescent="0.25">
      <c r="A187" t="str">
        <f>IF([1]Sheet1!A223="","",[1]Sheet1!A223)</f>
        <v>e16</v>
      </c>
      <c r="B187" t="str">
        <f>IF([1]Sheet1!B223="","",[1]Sheet1!B223)</f>
        <v>11</v>
      </c>
      <c r="C187" t="str">
        <f>IF([1]Sheet1!C223="","",[1]Sheet1!C223)</f>
        <v/>
      </c>
      <c r="D187" t="str">
        <f>IF([1]Sheet1!D223="","",[1]Sheet1!D223)</f>
        <v>200</v>
      </c>
      <c r="E187" t="str">
        <f>IF([1]Sheet1!E223="","",[1]Sheet1!E223)</f>
        <v/>
      </c>
      <c r="F187" t="str">
        <f>IF([1]Sheet1!F223="","",[1]Sheet1!F223)</f>
        <v>0</v>
      </c>
      <c r="G187" t="str">
        <f>IF([1]Sheet1!G223="","",[1]Sheet1!G223)</f>
        <v>1</v>
      </c>
      <c r="H187" t="str">
        <f>IF([1]Sheet1!H223="","",[1]Sheet1!H223)</f>
        <v>D</v>
      </c>
      <c r="I187" t="str">
        <f>IF([1]Sheet1!I223="","",[1]Sheet1!I223)</f>
        <v>90</v>
      </c>
      <c r="J187" t="str">
        <f>IF([1]Sheet1!J223="","",[1]Sheet1!J223)</f>
        <v>27</v>
      </c>
      <c r="K187" t="str">
        <f>IF([1]Sheet1!K223="","",[1]Sheet1!K223)</f>
        <v/>
      </c>
      <c r="L187" t="str">
        <f>IF([1]Sheet1!L223="","",[1]Sheet1!L223)</f>
        <v>2000</v>
      </c>
      <c r="M187" t="str">
        <f>IF([1]Sheet1!M223="","",[1]Sheet1!M223)</f>
        <v/>
      </c>
      <c r="N187" t="str">
        <f>IF([1]Sheet1!N223="","",[1]Sheet1!N223)</f>
        <v>394,479</v>
      </c>
      <c r="O187" t="str">
        <f>IF([1]Sheet1!O223="","",[1]Sheet1!O223)</f>
        <v>Poste</v>
      </c>
      <c r="P187" t="str">
        <f>IF([1]Sheet1!P223="","",[1]Sheet1!P223)</f>
        <v>218</v>
      </c>
    </row>
    <row r="188" spans="1:16" x14ac:dyDescent="0.25">
      <c r="A188" t="str">
        <f>IF([1]Sheet1!A224="","",[1]Sheet1!A224)</f>
        <v>e16</v>
      </c>
      <c r="B188" t="str">
        <f>IF([1]Sheet1!B224="","",[1]Sheet1!B224)</f>
        <v>12</v>
      </c>
      <c r="C188" t="str">
        <f>IF([1]Sheet1!C224="","",[1]Sheet1!C224)</f>
        <v/>
      </c>
      <c r="D188" t="str">
        <f>IF([1]Sheet1!D224="","",[1]Sheet1!D224)</f>
        <v>200</v>
      </c>
      <c r="E188" t="str">
        <f>IF([1]Sheet1!E224="","",[1]Sheet1!E224)</f>
        <v/>
      </c>
      <c r="F188" t="str">
        <f>IF([1]Sheet1!F224="","",[1]Sheet1!F224)</f>
        <v>0</v>
      </c>
      <c r="G188" t="str">
        <f>IF([1]Sheet1!G224="","",[1]Sheet1!G224)</f>
        <v>1</v>
      </c>
      <c r="H188" t="str">
        <f>IF([1]Sheet1!H224="","",[1]Sheet1!H224)</f>
        <v>D</v>
      </c>
      <c r="I188" t="str">
        <f>IF([1]Sheet1!I224="","",[1]Sheet1!I224)</f>
        <v>90</v>
      </c>
      <c r="J188" t="str">
        <f>IF([1]Sheet1!J224="","",[1]Sheet1!J224)</f>
        <v>36</v>
      </c>
      <c r="K188" t="str">
        <f>IF([1]Sheet1!K224="","",[1]Sheet1!K224)</f>
        <v/>
      </c>
      <c r="L188" t="str">
        <f>IF([1]Sheet1!L224="","",[1]Sheet1!L224)</f>
        <v>2000</v>
      </c>
      <c r="M188" t="str">
        <f>IF([1]Sheet1!M224="","",[1]Sheet1!M224)</f>
        <v/>
      </c>
      <c r="N188" t="str">
        <f>IF([1]Sheet1!N224="","",[1]Sheet1!N224)</f>
        <v>471,97</v>
      </c>
      <c r="O188" t="str">
        <f>IF([1]Sheet1!O224="","",[1]Sheet1!O224)</f>
        <v xml:space="preserve">poste religador </v>
      </c>
      <c r="P188" t="str">
        <f>IF([1]Sheet1!P224="","",[1]Sheet1!P224)</f>
        <v>219</v>
      </c>
    </row>
    <row r="189" spans="1:16" x14ac:dyDescent="0.25">
      <c r="A189" t="str">
        <f>IF([1]Sheet1!A225="","",[1]Sheet1!A225)</f>
        <v>e16</v>
      </c>
      <c r="B189" t="str">
        <f>IF([1]Sheet1!B225="","",[1]Sheet1!B225)</f>
        <v>13</v>
      </c>
      <c r="C189" t="str">
        <f>IF([1]Sheet1!C225="","",[1]Sheet1!C225)</f>
        <v/>
      </c>
      <c r="D189" t="str">
        <f>IF([1]Sheet1!D225="","",[1]Sheet1!D225)</f>
        <v>200</v>
      </c>
      <c r="E189" t="str">
        <f>IF([1]Sheet1!E225="","",[1]Sheet1!E225)</f>
        <v/>
      </c>
      <c r="F189" t="str">
        <f>IF([1]Sheet1!F225="","",[1]Sheet1!F225)</f>
        <v>0</v>
      </c>
      <c r="G189" t="str">
        <f>IF([1]Sheet1!G225="","",[1]Sheet1!G225)</f>
        <v>1</v>
      </c>
      <c r="H189" t="str">
        <f>IF([1]Sheet1!H225="","",[1]Sheet1!H225)</f>
        <v>D</v>
      </c>
      <c r="I189" t="str">
        <f>IF([1]Sheet1!I225="","",[1]Sheet1!I225)</f>
        <v>90</v>
      </c>
      <c r="J189" t="str">
        <f>IF([1]Sheet1!J225="","",[1]Sheet1!J225)</f>
        <v>36</v>
      </c>
      <c r="K189" t="str">
        <f>IF([1]Sheet1!K225="","",[1]Sheet1!K225)</f>
        <v/>
      </c>
      <c r="L189" t="str">
        <f>IF([1]Sheet1!L225="","",[1]Sheet1!L225)</f>
        <v>2000</v>
      </c>
      <c r="M189" t="str">
        <f>IF([1]Sheet1!M225="","",[1]Sheet1!M225)</f>
        <v/>
      </c>
      <c r="N189" t="str">
        <f>IF([1]Sheet1!N225="","",[1]Sheet1!N225)</f>
        <v>475,484</v>
      </c>
      <c r="O189" t="str">
        <f>IF([1]Sheet1!O225="","",[1]Sheet1!O225)</f>
        <v xml:space="preserve">inicio estrada </v>
      </c>
      <c r="P189" t="str">
        <f>IF([1]Sheet1!P225="","",[1]Sheet1!P225)</f>
        <v>220</v>
      </c>
    </row>
    <row r="190" spans="1:16" x14ac:dyDescent="0.25">
      <c r="A190" t="str">
        <f>IF([1]Sheet1!A226="","",[1]Sheet1!A226)</f>
        <v>e16</v>
      </c>
      <c r="B190" t="str">
        <f>IF([1]Sheet1!B226="","",[1]Sheet1!B226)</f>
        <v>14</v>
      </c>
      <c r="C190" t="str">
        <f>IF([1]Sheet1!C226="","",[1]Sheet1!C226)</f>
        <v/>
      </c>
      <c r="D190" t="str">
        <f>IF([1]Sheet1!D226="","",[1]Sheet1!D226)</f>
        <v>200</v>
      </c>
      <c r="E190" t="str">
        <f>IF([1]Sheet1!E226="","",[1]Sheet1!E226)</f>
        <v/>
      </c>
      <c r="F190" t="str">
        <f>IF([1]Sheet1!F226="","",[1]Sheet1!F226)</f>
        <v>0</v>
      </c>
      <c r="G190" t="str">
        <f>IF([1]Sheet1!G226="","",[1]Sheet1!G226)</f>
        <v>1</v>
      </c>
      <c r="H190" t="str">
        <f>IF([1]Sheet1!H226="","",[1]Sheet1!H226)</f>
        <v>D</v>
      </c>
      <c r="I190" t="str">
        <f>IF([1]Sheet1!I226="","",[1]Sheet1!I226)</f>
        <v>90</v>
      </c>
      <c r="J190" t="str">
        <f>IF([1]Sheet1!J226="","",[1]Sheet1!J226)</f>
        <v>32</v>
      </c>
      <c r="K190" t="str">
        <f>IF([1]Sheet1!K226="","",[1]Sheet1!K226)</f>
        <v/>
      </c>
      <c r="L190" t="str">
        <f>IF([1]Sheet1!L226="","",[1]Sheet1!L226)</f>
        <v>2000</v>
      </c>
      <c r="M190" t="str">
        <f>IF([1]Sheet1!M226="","",[1]Sheet1!M226)</f>
        <v/>
      </c>
      <c r="N190" t="str">
        <f>IF([1]Sheet1!N226="","",[1]Sheet1!N226)</f>
        <v>483,132</v>
      </c>
      <c r="O190" t="str">
        <f>IF([1]Sheet1!O226="","",[1]Sheet1!O226)</f>
        <v>fim</v>
      </c>
      <c r="P190" t="str">
        <f>IF([1]Sheet1!P226="","",[1]Sheet1!P226)</f>
        <v>221</v>
      </c>
    </row>
    <row r="191" spans="1:16" x14ac:dyDescent="0.25">
      <c r="A191" t="str">
        <f>IF([1]Sheet1!A227="","",[1]Sheet1!A227)</f>
        <v>e16</v>
      </c>
      <c r="B191" t="str">
        <f>IF([1]Sheet1!B227="","",[1]Sheet1!B227)</f>
        <v>15</v>
      </c>
      <c r="C191" t="str">
        <f>IF([1]Sheet1!C227="","",[1]Sheet1!C227)</f>
        <v/>
      </c>
      <c r="D191" t="str">
        <f>IF([1]Sheet1!D227="","",[1]Sheet1!D227)</f>
        <v>200</v>
      </c>
      <c r="E191" t="str">
        <f>IF([1]Sheet1!E227="","",[1]Sheet1!E227)</f>
        <v/>
      </c>
      <c r="F191" t="str">
        <f>IF([1]Sheet1!F227="","",[1]Sheet1!F227)</f>
        <v>0</v>
      </c>
      <c r="G191" t="str">
        <f>IF([1]Sheet1!G227="","",[1]Sheet1!G227)</f>
        <v>1</v>
      </c>
      <c r="H191" t="str">
        <f>IF([1]Sheet1!H227="","",[1]Sheet1!H227)</f>
        <v>D</v>
      </c>
      <c r="I191" t="str">
        <f>IF([1]Sheet1!I227="","",[1]Sheet1!I227)</f>
        <v>90</v>
      </c>
      <c r="J191" t="str">
        <f>IF([1]Sheet1!J227="","",[1]Sheet1!J227)</f>
        <v>36</v>
      </c>
      <c r="K191" t="str">
        <f>IF([1]Sheet1!K227="","",[1]Sheet1!K227)</f>
        <v/>
      </c>
      <c r="L191" t="str">
        <f>IF([1]Sheet1!L227="","",[1]Sheet1!L227)</f>
        <v>2000</v>
      </c>
      <c r="M191" t="str">
        <f>IF([1]Sheet1!M227="","",[1]Sheet1!M227)</f>
        <v/>
      </c>
      <c r="N191" t="str">
        <f>IF([1]Sheet1!N227="","",[1]Sheet1!N227)</f>
        <v>486,049</v>
      </c>
      <c r="O191" t="str">
        <f>IF([1]Sheet1!O227="","",[1]Sheet1!O227)</f>
        <v>5 fl</v>
      </c>
      <c r="P191" t="str">
        <f>IF([1]Sheet1!P227="","",[1]Sheet1!P227)</f>
        <v>222</v>
      </c>
    </row>
    <row r="192" spans="1:16" x14ac:dyDescent="0.25">
      <c r="A192" t="str">
        <f>IF([1]Sheet1!A228="","",[1]Sheet1!A228)</f>
        <v>e16</v>
      </c>
      <c r="B192" t="str">
        <f>IF([1]Sheet1!B228="","",[1]Sheet1!B228)</f>
        <v>16</v>
      </c>
      <c r="C192" t="str">
        <f>IF([1]Sheet1!C228="","",[1]Sheet1!C228)</f>
        <v/>
      </c>
      <c r="D192" t="str">
        <f>IF([1]Sheet1!D228="","",[1]Sheet1!D228)</f>
        <v>200</v>
      </c>
      <c r="E192" t="str">
        <f>IF([1]Sheet1!E228="","",[1]Sheet1!E228)</f>
        <v/>
      </c>
      <c r="F192" t="str">
        <f>IF([1]Sheet1!F228="","",[1]Sheet1!F228)</f>
        <v>0</v>
      </c>
      <c r="G192" t="str">
        <f>IF([1]Sheet1!G228="","",[1]Sheet1!G228)</f>
        <v>1</v>
      </c>
      <c r="H192" t="str">
        <f>IF([1]Sheet1!H228="","",[1]Sheet1!H228)</f>
        <v>D</v>
      </c>
      <c r="I192" t="str">
        <f>IF([1]Sheet1!I228="","",[1]Sheet1!I228)</f>
        <v>90</v>
      </c>
      <c r="J192" t="str">
        <f>IF([1]Sheet1!J228="","",[1]Sheet1!J228)</f>
        <v>35</v>
      </c>
      <c r="K192" t="str">
        <f>IF([1]Sheet1!K228="","",[1]Sheet1!K228)</f>
        <v/>
      </c>
      <c r="L192" t="str">
        <f>IF([1]Sheet1!L228="","",[1]Sheet1!L228)</f>
        <v>2000</v>
      </c>
      <c r="M192" t="str">
        <f>IF([1]Sheet1!M228="","",[1]Sheet1!M228)</f>
        <v/>
      </c>
      <c r="N192" t="str">
        <f>IF([1]Sheet1!N228="","",[1]Sheet1!N228)</f>
        <v>491,46</v>
      </c>
      <c r="O192" t="str">
        <f>IF([1]Sheet1!O228="","",[1]Sheet1!O228)</f>
        <v>Poste</v>
      </c>
      <c r="P192" t="str">
        <f>IF([1]Sheet1!P228="","",[1]Sheet1!P228)</f>
        <v>223</v>
      </c>
    </row>
    <row r="193" spans="1:16" x14ac:dyDescent="0.25">
      <c r="A193" t="str">
        <f>IF([1]Sheet1!A229="","",[1]Sheet1!A229)</f>
        <v/>
      </c>
      <c r="B193" t="str">
        <f>IF([1]Sheet1!B229="","",[1]Sheet1!B229)</f>
        <v/>
      </c>
      <c r="C193" t="str">
        <f>IF([1]Sheet1!C229="","",[1]Sheet1!C229)</f>
        <v/>
      </c>
      <c r="D193" t="str">
        <f>IF([1]Sheet1!D229="","",[1]Sheet1!D229)</f>
        <v/>
      </c>
      <c r="E193" t="str">
        <f>IF([1]Sheet1!E229="","",[1]Sheet1!E229)</f>
        <v/>
      </c>
      <c r="F193" t="str">
        <f>IF([1]Sheet1!F229="","",[1]Sheet1!F229)</f>
        <v/>
      </c>
      <c r="G193" t="str">
        <f>IF([1]Sheet1!G229="","",[1]Sheet1!G229)</f>
        <v/>
      </c>
      <c r="H193" t="str">
        <f>IF([1]Sheet1!H229="","",[1]Sheet1!H229)</f>
        <v/>
      </c>
      <c r="I193" t="str">
        <f>IF([1]Sheet1!I229="","",[1]Sheet1!I229)</f>
        <v/>
      </c>
      <c r="J193" t="str">
        <f>IF([1]Sheet1!J229="","",[1]Sheet1!J229)</f>
        <v/>
      </c>
      <c r="K193" t="str">
        <f>IF([1]Sheet1!K229="","",[1]Sheet1!K229)</f>
        <v/>
      </c>
      <c r="L193" t="str">
        <f>IF([1]Sheet1!L229="","",[1]Sheet1!L229)</f>
        <v/>
      </c>
      <c r="M193" t="str">
        <f>IF([1]Sheet1!M229="","",[1]Sheet1!M229)</f>
        <v/>
      </c>
      <c r="N193" t="str">
        <f>IF([1]Sheet1!N229="","",[1]Sheet1!N229)</f>
        <v/>
      </c>
      <c r="O193" t="str">
        <f>IF([1]Sheet1!O229="","",[1]Sheet1!O229)</f>
        <v/>
      </c>
      <c r="P193" t="str">
        <f>IF([1]Sheet1!P229="","",[1]Sheet1!P229)</f>
        <v/>
      </c>
    </row>
    <row r="194" spans="1:16" x14ac:dyDescent="0.25">
      <c r="A194" t="str">
        <f>IF([1]Sheet1!A230="","",[1]Sheet1!A230)</f>
        <v/>
      </c>
      <c r="B194" t="str">
        <f>IF([1]Sheet1!B230="","",[1]Sheet1!B230)</f>
        <v/>
      </c>
      <c r="C194" t="str">
        <f>IF([1]Sheet1!C230="","",[1]Sheet1!C230)</f>
        <v/>
      </c>
      <c r="D194" t="str">
        <f>IF([1]Sheet1!D230="","",[1]Sheet1!D230)</f>
        <v/>
      </c>
      <c r="E194" t="str">
        <f>IF([1]Sheet1!E230="","",[1]Sheet1!E230)</f>
        <v/>
      </c>
      <c r="F194" t="str">
        <f>IF([1]Sheet1!F230="","",[1]Sheet1!F230)</f>
        <v/>
      </c>
      <c r="G194" t="str">
        <f>IF([1]Sheet1!G230="","",[1]Sheet1!G230)</f>
        <v/>
      </c>
      <c r="H194" t="str">
        <f>IF([1]Sheet1!H230="","",[1]Sheet1!H230)</f>
        <v/>
      </c>
      <c r="I194" t="str">
        <f>IF([1]Sheet1!I230="","",[1]Sheet1!I230)</f>
        <v/>
      </c>
      <c r="J194" t="str">
        <f>IF([1]Sheet1!J230="","",[1]Sheet1!J230)</f>
        <v/>
      </c>
      <c r="K194" t="str">
        <f>IF([1]Sheet1!K230="","",[1]Sheet1!K230)</f>
        <v/>
      </c>
      <c r="L194" t="str">
        <f>IF([1]Sheet1!L230="","",[1]Sheet1!L230)</f>
        <v/>
      </c>
      <c r="M194" t="str">
        <f>IF([1]Sheet1!M230="","",[1]Sheet1!M230)</f>
        <v/>
      </c>
      <c r="N194" t="str">
        <f>IF([1]Sheet1!N230="","",[1]Sheet1!N230)</f>
        <v/>
      </c>
      <c r="O194" t="str">
        <f>IF([1]Sheet1!O230="","",[1]Sheet1!O230)</f>
        <v/>
      </c>
      <c r="P194" t="str">
        <f>IF([1]Sheet1!P230="","",[1]Sheet1!P230)</f>
        <v/>
      </c>
    </row>
    <row r="195" spans="1:16" x14ac:dyDescent="0.25">
      <c r="A195" t="str">
        <f>IF([1]Sheet1!A231="","",[1]Sheet1!A231)</f>
        <v/>
      </c>
      <c r="B195" t="str">
        <f>IF([1]Sheet1!B231="","",[1]Sheet1!B231)</f>
        <v/>
      </c>
      <c r="C195" t="str">
        <f>IF([1]Sheet1!C231="","",[1]Sheet1!C231)</f>
        <v/>
      </c>
      <c r="D195" t="str">
        <f>IF([1]Sheet1!D231="","",[1]Sheet1!D231)</f>
        <v/>
      </c>
      <c r="E195" t="str">
        <f>IF([1]Sheet1!E231="","",[1]Sheet1!E231)</f>
        <v/>
      </c>
      <c r="F195" t="str">
        <f>IF([1]Sheet1!F231="","",[1]Sheet1!F231)</f>
        <v/>
      </c>
      <c r="G195" t="str">
        <f>IF([1]Sheet1!G231="","",[1]Sheet1!G231)</f>
        <v/>
      </c>
      <c r="H195" t="str">
        <f>IF([1]Sheet1!H231="","",[1]Sheet1!H231)</f>
        <v/>
      </c>
      <c r="I195" t="str">
        <f>IF([1]Sheet1!I231="","",[1]Sheet1!I231)</f>
        <v/>
      </c>
      <c r="J195" t="str">
        <f>IF([1]Sheet1!J231="","",[1]Sheet1!J231)</f>
        <v/>
      </c>
      <c r="K195" t="str">
        <f>IF([1]Sheet1!K231="","",[1]Sheet1!K231)</f>
        <v/>
      </c>
      <c r="L195" t="str">
        <f>IF([1]Sheet1!L231="","",[1]Sheet1!L231)</f>
        <v/>
      </c>
      <c r="M195" t="str">
        <f>IF([1]Sheet1!M231="","",[1]Sheet1!M231)</f>
        <v/>
      </c>
      <c r="N195" t="str">
        <f>IF([1]Sheet1!N231="","",[1]Sheet1!N231)</f>
        <v/>
      </c>
      <c r="O195" t="str">
        <f>IF([1]Sheet1!O231="","",[1]Sheet1!O231)</f>
        <v/>
      </c>
      <c r="P195" t="str">
        <f>IF([1]Sheet1!P231="","",[1]Sheet1!P231)</f>
        <v/>
      </c>
    </row>
    <row r="196" spans="1:16" x14ac:dyDescent="0.25">
      <c r="A196" t="str">
        <f>IF([1]Sheet1!A232="","",[1]Sheet1!A232)</f>
        <v/>
      </c>
      <c r="B196" t="str">
        <f>IF([1]Sheet1!B232="","",[1]Sheet1!B232)</f>
        <v/>
      </c>
      <c r="C196" t="str">
        <f>IF([1]Sheet1!C232="","",[1]Sheet1!C232)</f>
        <v/>
      </c>
      <c r="D196" t="str">
        <f>IF([1]Sheet1!D232="","",[1]Sheet1!D232)</f>
        <v/>
      </c>
      <c r="E196" t="str">
        <f>IF([1]Sheet1!E232="","",[1]Sheet1!E232)</f>
        <v/>
      </c>
      <c r="F196" t="str">
        <f>IF([1]Sheet1!F232="","",[1]Sheet1!F232)</f>
        <v/>
      </c>
      <c r="G196" t="str">
        <f>IF([1]Sheet1!G232="","",[1]Sheet1!G232)</f>
        <v/>
      </c>
      <c r="H196" t="str">
        <f>IF([1]Sheet1!H232="","",[1]Sheet1!H232)</f>
        <v/>
      </c>
      <c r="I196" t="str">
        <f>IF([1]Sheet1!I232="","",[1]Sheet1!I232)</f>
        <v/>
      </c>
      <c r="J196" t="str">
        <f>IF([1]Sheet1!J232="","",[1]Sheet1!J232)</f>
        <v/>
      </c>
      <c r="K196" t="str">
        <f>IF([1]Sheet1!K232="","",[1]Sheet1!K232)</f>
        <v/>
      </c>
      <c r="L196" t="str">
        <f>IF([1]Sheet1!L232="","",[1]Sheet1!L232)</f>
        <v/>
      </c>
      <c r="M196" t="str">
        <f>IF([1]Sheet1!M232="","",[1]Sheet1!M232)</f>
        <v/>
      </c>
      <c r="N196" t="str">
        <f>IF([1]Sheet1!N232="","",[1]Sheet1!N232)</f>
        <v/>
      </c>
      <c r="O196" t="str">
        <f>IF([1]Sheet1!O232="","",[1]Sheet1!O232)</f>
        <v/>
      </c>
      <c r="P196" t="str">
        <f>IF([1]Sheet1!P232="","",[1]Sheet1!P232)</f>
        <v/>
      </c>
    </row>
    <row r="197" spans="1:16" x14ac:dyDescent="0.25">
      <c r="A197" t="str">
        <f>IF([1]Sheet1!A233="","",[1]Sheet1!A233)</f>
        <v/>
      </c>
      <c r="B197" t="str">
        <f>IF([1]Sheet1!B233="","",[1]Sheet1!B233)</f>
        <v/>
      </c>
      <c r="C197" t="str">
        <f>IF([1]Sheet1!C233="","",[1]Sheet1!C233)</f>
        <v/>
      </c>
      <c r="D197" t="str">
        <f>IF([1]Sheet1!D233="","",[1]Sheet1!D233)</f>
        <v/>
      </c>
      <c r="E197" t="str">
        <f>IF([1]Sheet1!E233="","",[1]Sheet1!E233)</f>
        <v/>
      </c>
      <c r="F197" t="str">
        <f>IF([1]Sheet1!F233="","",[1]Sheet1!F233)</f>
        <v/>
      </c>
      <c r="G197" t="str">
        <f>IF([1]Sheet1!G233="","",[1]Sheet1!G233)</f>
        <v/>
      </c>
      <c r="H197" t="str">
        <f>IF([1]Sheet1!H233="","",[1]Sheet1!H233)</f>
        <v/>
      </c>
      <c r="I197" t="str">
        <f>IF([1]Sheet1!I233="","",[1]Sheet1!I233)</f>
        <v/>
      </c>
      <c r="J197" t="str">
        <f>IF([1]Sheet1!J233="","",[1]Sheet1!J233)</f>
        <v/>
      </c>
      <c r="K197" t="str">
        <f>IF([1]Sheet1!K233="","",[1]Sheet1!K233)</f>
        <v/>
      </c>
      <c r="L197" t="str">
        <f>IF([1]Sheet1!L233="","",[1]Sheet1!L233)</f>
        <v/>
      </c>
      <c r="M197" t="str">
        <f>IF([1]Sheet1!M233="","",[1]Sheet1!M233)</f>
        <v/>
      </c>
      <c r="N197" t="str">
        <f>IF([1]Sheet1!N233="","",[1]Sheet1!N233)</f>
        <v/>
      </c>
      <c r="O197" t="str">
        <f>IF([1]Sheet1!O233="","",[1]Sheet1!O233)</f>
        <v/>
      </c>
      <c r="P197" t="str">
        <f>IF([1]Sheet1!P233="","",[1]Sheet1!P233)</f>
        <v/>
      </c>
    </row>
    <row r="198" spans="1:16" x14ac:dyDescent="0.25">
      <c r="A198" t="str">
        <f>IF([1]Sheet1!A234="","",[1]Sheet1!A234)</f>
        <v/>
      </c>
      <c r="B198" t="str">
        <f>IF([1]Sheet1!B234="","",[1]Sheet1!B234)</f>
        <v/>
      </c>
      <c r="C198" t="str">
        <f>IF([1]Sheet1!C234="","",[1]Sheet1!C234)</f>
        <v/>
      </c>
      <c r="D198" t="str">
        <f>IF([1]Sheet1!D234="","",[1]Sheet1!D234)</f>
        <v/>
      </c>
      <c r="E198" t="str">
        <f>IF([1]Sheet1!E234="","",[1]Sheet1!E234)</f>
        <v/>
      </c>
      <c r="F198" t="str">
        <f>IF([1]Sheet1!F234="","",[1]Sheet1!F234)</f>
        <v/>
      </c>
      <c r="G198" t="str">
        <f>IF([1]Sheet1!G234="","",[1]Sheet1!G234)</f>
        <v/>
      </c>
      <c r="H198" t="str">
        <f>IF([1]Sheet1!H234="","",[1]Sheet1!H234)</f>
        <v/>
      </c>
      <c r="I198" t="str">
        <f>IF([1]Sheet1!I234="","",[1]Sheet1!I234)</f>
        <v/>
      </c>
      <c r="J198" t="str">
        <f>IF([1]Sheet1!J234="","",[1]Sheet1!J234)</f>
        <v/>
      </c>
      <c r="K198" t="str">
        <f>IF([1]Sheet1!K234="","",[1]Sheet1!K234)</f>
        <v/>
      </c>
      <c r="L198" t="str">
        <f>IF([1]Sheet1!L234="","",[1]Sheet1!L234)</f>
        <v/>
      </c>
      <c r="M198" t="str">
        <f>IF([1]Sheet1!M234="","",[1]Sheet1!M234)</f>
        <v/>
      </c>
      <c r="N198" t="str">
        <f>IF([1]Sheet1!N234="","",[1]Sheet1!N234)</f>
        <v/>
      </c>
      <c r="O198" t="str">
        <f>IF([1]Sheet1!O234="","",[1]Sheet1!O234)</f>
        <v/>
      </c>
      <c r="P198" t="str">
        <f>IF([1]Sheet1!P234="","",[1]Sheet1!P234)</f>
        <v/>
      </c>
    </row>
    <row r="199" spans="1:16" x14ac:dyDescent="0.25">
      <c r="A199" t="str">
        <f>IF([1]Sheet1!A235="","",[1]Sheet1!A235)</f>
        <v/>
      </c>
      <c r="B199" t="str">
        <f>IF([1]Sheet1!B235="","",[1]Sheet1!B235)</f>
        <v/>
      </c>
      <c r="C199" t="str">
        <f>IF([1]Sheet1!C235="","",[1]Sheet1!C235)</f>
        <v/>
      </c>
      <c r="D199" t="str">
        <f>IF([1]Sheet1!D235="","",[1]Sheet1!D235)</f>
        <v/>
      </c>
      <c r="E199" t="str">
        <f>IF([1]Sheet1!E235="","",[1]Sheet1!E235)</f>
        <v/>
      </c>
      <c r="F199" t="str">
        <f>IF([1]Sheet1!F235="","",[1]Sheet1!F235)</f>
        <v/>
      </c>
      <c r="G199" t="str">
        <f>IF([1]Sheet1!G235="","",[1]Sheet1!G235)</f>
        <v/>
      </c>
      <c r="H199" t="str">
        <f>IF([1]Sheet1!H235="","",[1]Sheet1!H235)</f>
        <v/>
      </c>
      <c r="I199" t="str">
        <f>IF([1]Sheet1!I235="","",[1]Sheet1!I235)</f>
        <v/>
      </c>
      <c r="J199" t="str">
        <f>IF([1]Sheet1!J235="","",[1]Sheet1!J235)</f>
        <v/>
      </c>
      <c r="K199" t="str">
        <f>IF([1]Sheet1!K235="","",[1]Sheet1!K235)</f>
        <v/>
      </c>
      <c r="L199" t="str">
        <f>IF([1]Sheet1!L235="","",[1]Sheet1!L235)</f>
        <v/>
      </c>
      <c r="M199" t="str">
        <f>IF([1]Sheet1!M235="","",[1]Sheet1!M235)</f>
        <v/>
      </c>
      <c r="N199" t="str">
        <f>IF([1]Sheet1!N235="","",[1]Sheet1!N235)</f>
        <v/>
      </c>
      <c r="O199" t="str">
        <f>IF([1]Sheet1!O235="","",[1]Sheet1!O235)</f>
        <v/>
      </c>
      <c r="P199" t="str">
        <f>IF([1]Sheet1!P235="","",[1]Sheet1!P235)</f>
        <v/>
      </c>
    </row>
    <row r="200" spans="1:16" x14ac:dyDescent="0.25">
      <c r="A200" t="str">
        <f>IF([1]Sheet1!A236="","",[1]Sheet1!A236)</f>
        <v/>
      </c>
      <c r="B200" t="str">
        <f>IF([1]Sheet1!B236="","",[1]Sheet1!B236)</f>
        <v/>
      </c>
      <c r="C200" t="str">
        <f>IF([1]Sheet1!C236="","",[1]Sheet1!C236)</f>
        <v/>
      </c>
      <c r="D200" t="str">
        <f>IF([1]Sheet1!D236="","",[1]Sheet1!D236)</f>
        <v/>
      </c>
      <c r="E200" t="str">
        <f>IF([1]Sheet1!E236="","",[1]Sheet1!E236)</f>
        <v/>
      </c>
      <c r="F200" t="str">
        <f>IF([1]Sheet1!F236="","",[1]Sheet1!F236)</f>
        <v/>
      </c>
      <c r="G200" t="str">
        <f>IF([1]Sheet1!G236="","",[1]Sheet1!G236)</f>
        <v/>
      </c>
      <c r="H200" t="str">
        <f>IF([1]Sheet1!H236="","",[1]Sheet1!H236)</f>
        <v/>
      </c>
      <c r="I200" t="str">
        <f>IF([1]Sheet1!I236="","",[1]Sheet1!I236)</f>
        <v/>
      </c>
      <c r="J200" t="str">
        <f>IF([1]Sheet1!J236="","",[1]Sheet1!J236)</f>
        <v/>
      </c>
      <c r="K200" t="str">
        <f>IF([1]Sheet1!K236="","",[1]Sheet1!K236)</f>
        <v/>
      </c>
      <c r="L200" t="str">
        <f>IF([1]Sheet1!L236="","",[1]Sheet1!L236)</f>
        <v/>
      </c>
      <c r="M200" t="str">
        <f>IF([1]Sheet1!M236="","",[1]Sheet1!M236)</f>
        <v/>
      </c>
      <c r="N200" t="str">
        <f>IF([1]Sheet1!N236="","",[1]Sheet1!N236)</f>
        <v/>
      </c>
      <c r="O200" t="str">
        <f>IF([1]Sheet1!O236="","",[1]Sheet1!O236)</f>
        <v/>
      </c>
      <c r="P200" t="str">
        <f>IF([1]Sheet1!P236="","",[1]Sheet1!P236)</f>
        <v/>
      </c>
    </row>
    <row r="201" spans="1:16" x14ac:dyDescent="0.25">
      <c r="A201" t="str">
        <f>IF([1]Sheet1!A237="","",[1]Sheet1!A237)</f>
        <v/>
      </c>
      <c r="B201" t="str">
        <f>IF([1]Sheet1!B237="","",[1]Sheet1!B237)</f>
        <v/>
      </c>
      <c r="C201" t="str">
        <f>IF([1]Sheet1!C237="","",[1]Sheet1!C237)</f>
        <v/>
      </c>
      <c r="D201" t="str">
        <f>IF([1]Sheet1!D237="","",[1]Sheet1!D237)</f>
        <v/>
      </c>
      <c r="E201" t="str">
        <f>IF([1]Sheet1!E237="","",[1]Sheet1!E237)</f>
        <v/>
      </c>
      <c r="F201" t="str">
        <f>IF([1]Sheet1!F237="","",[1]Sheet1!F237)</f>
        <v/>
      </c>
      <c r="G201" t="str">
        <f>IF([1]Sheet1!G237="","",[1]Sheet1!G237)</f>
        <v/>
      </c>
      <c r="H201" t="str">
        <f>IF([1]Sheet1!H237="","",[1]Sheet1!H237)</f>
        <v/>
      </c>
      <c r="I201" t="str">
        <f>IF([1]Sheet1!I237="","",[1]Sheet1!I237)</f>
        <v/>
      </c>
      <c r="J201" t="str">
        <f>IF([1]Sheet1!J237="","",[1]Sheet1!J237)</f>
        <v/>
      </c>
      <c r="K201" t="str">
        <f>IF([1]Sheet1!K237="","",[1]Sheet1!K237)</f>
        <v/>
      </c>
      <c r="L201" t="str">
        <f>IF([1]Sheet1!L237="","",[1]Sheet1!L237)</f>
        <v/>
      </c>
      <c r="M201" t="str">
        <f>IF([1]Sheet1!M237="","",[1]Sheet1!M237)</f>
        <v/>
      </c>
      <c r="N201" t="str">
        <f>IF([1]Sheet1!N237="","",[1]Sheet1!N237)</f>
        <v/>
      </c>
      <c r="O201" t="str">
        <f>IF([1]Sheet1!O237="","",[1]Sheet1!O237)</f>
        <v/>
      </c>
      <c r="P201" t="str">
        <f>IF([1]Sheet1!P237="","",[1]Sheet1!P237)</f>
        <v/>
      </c>
    </row>
    <row r="202" spans="1:16" x14ac:dyDescent="0.25">
      <c r="A202" t="str">
        <f>IF([1]Sheet1!A238="","",[1]Sheet1!A238)</f>
        <v/>
      </c>
      <c r="B202" t="str">
        <f>IF([1]Sheet1!B238="","",[1]Sheet1!B238)</f>
        <v/>
      </c>
      <c r="C202" t="str">
        <f>IF([1]Sheet1!C238="","",[1]Sheet1!C238)</f>
        <v/>
      </c>
      <c r="D202" t="str">
        <f>IF([1]Sheet1!D238="","",[1]Sheet1!D238)</f>
        <v/>
      </c>
      <c r="E202" t="str">
        <f>IF([1]Sheet1!E238="","",[1]Sheet1!E238)</f>
        <v/>
      </c>
      <c r="F202" t="str">
        <f>IF([1]Sheet1!F238="","",[1]Sheet1!F238)</f>
        <v/>
      </c>
      <c r="G202" t="str">
        <f>IF([1]Sheet1!G238="","",[1]Sheet1!G238)</f>
        <v/>
      </c>
      <c r="H202" t="str">
        <f>IF([1]Sheet1!H238="","",[1]Sheet1!H238)</f>
        <v/>
      </c>
      <c r="I202" t="str">
        <f>IF([1]Sheet1!I238="","",[1]Sheet1!I238)</f>
        <v/>
      </c>
      <c r="J202" t="str">
        <f>IF([1]Sheet1!J238="","",[1]Sheet1!J238)</f>
        <v/>
      </c>
      <c r="K202" t="str">
        <f>IF([1]Sheet1!K238="","",[1]Sheet1!K238)</f>
        <v/>
      </c>
      <c r="L202" t="str">
        <f>IF([1]Sheet1!L238="","",[1]Sheet1!L238)</f>
        <v/>
      </c>
      <c r="M202" t="str">
        <f>IF([1]Sheet1!M238="","",[1]Sheet1!M238)</f>
        <v/>
      </c>
      <c r="N202" t="str">
        <f>IF([1]Sheet1!N238="","",[1]Sheet1!N238)</f>
        <v/>
      </c>
      <c r="O202" t="str">
        <f>IF([1]Sheet1!O238="","",[1]Sheet1!O238)</f>
        <v/>
      </c>
      <c r="P202" t="str">
        <f>IF([1]Sheet1!P238="","",[1]Sheet1!P238)</f>
        <v/>
      </c>
    </row>
    <row r="203" spans="1:16" x14ac:dyDescent="0.25">
      <c r="A203" t="str">
        <f>IF([1]Sheet1!A239="","",[1]Sheet1!A239)</f>
        <v/>
      </c>
      <c r="B203" t="str">
        <f>IF([1]Sheet1!B239="","",[1]Sheet1!B239)</f>
        <v/>
      </c>
      <c r="C203" t="str">
        <f>IF([1]Sheet1!C239="","",[1]Sheet1!C239)</f>
        <v/>
      </c>
      <c r="D203" t="str">
        <f>IF([1]Sheet1!D239="","",[1]Sheet1!D239)</f>
        <v/>
      </c>
      <c r="E203" t="str">
        <f>IF([1]Sheet1!E239="","",[1]Sheet1!E239)</f>
        <v/>
      </c>
      <c r="F203" t="str">
        <f>IF([1]Sheet1!F239="","",[1]Sheet1!F239)</f>
        <v/>
      </c>
      <c r="G203" t="str">
        <f>IF([1]Sheet1!G239="","",[1]Sheet1!G239)</f>
        <v/>
      </c>
      <c r="H203" t="str">
        <f>IF([1]Sheet1!H239="","",[1]Sheet1!H239)</f>
        <v/>
      </c>
      <c r="I203" t="str">
        <f>IF([1]Sheet1!I239="","",[1]Sheet1!I239)</f>
        <v/>
      </c>
      <c r="J203" t="str">
        <f>IF([1]Sheet1!J239="","",[1]Sheet1!J239)</f>
        <v/>
      </c>
      <c r="K203" t="str">
        <f>IF([1]Sheet1!K239="","",[1]Sheet1!K239)</f>
        <v/>
      </c>
      <c r="L203" t="str">
        <f>IF([1]Sheet1!L239="","",[1]Sheet1!L239)</f>
        <v/>
      </c>
      <c r="M203" t="str">
        <f>IF([1]Sheet1!M239="","",[1]Sheet1!M239)</f>
        <v/>
      </c>
      <c r="N203" t="str">
        <f>IF([1]Sheet1!N239="","",[1]Sheet1!N239)</f>
        <v/>
      </c>
      <c r="O203" t="str">
        <f>IF([1]Sheet1!O239="","",[1]Sheet1!O239)</f>
        <v/>
      </c>
      <c r="P203" t="str">
        <f>IF([1]Sheet1!P239="","",[1]Sheet1!P239)</f>
        <v/>
      </c>
    </row>
    <row r="204" spans="1:16" x14ac:dyDescent="0.25">
      <c r="A204" t="str">
        <f>IF([1]Sheet1!A240="","",[1]Sheet1!A240)</f>
        <v/>
      </c>
      <c r="B204" t="str">
        <f>IF([1]Sheet1!B240="","",[1]Sheet1!B240)</f>
        <v/>
      </c>
      <c r="C204" t="str">
        <f>IF([1]Sheet1!C240="","",[1]Sheet1!C240)</f>
        <v/>
      </c>
      <c r="D204" t="str">
        <f>IF([1]Sheet1!D240="","",[1]Sheet1!D240)</f>
        <v/>
      </c>
      <c r="E204" t="str">
        <f>IF([1]Sheet1!E240="","",[1]Sheet1!E240)</f>
        <v/>
      </c>
      <c r="F204" t="str">
        <f>IF([1]Sheet1!F240="","",[1]Sheet1!F240)</f>
        <v/>
      </c>
      <c r="G204" t="str">
        <f>IF([1]Sheet1!G240="","",[1]Sheet1!G240)</f>
        <v/>
      </c>
      <c r="H204" t="str">
        <f>IF([1]Sheet1!H240="","",[1]Sheet1!H240)</f>
        <v/>
      </c>
      <c r="I204" t="str">
        <f>IF([1]Sheet1!I240="","",[1]Sheet1!I240)</f>
        <v/>
      </c>
      <c r="J204" t="str">
        <f>IF([1]Sheet1!J240="","",[1]Sheet1!J240)</f>
        <v/>
      </c>
      <c r="K204" t="str">
        <f>IF([1]Sheet1!K240="","",[1]Sheet1!K240)</f>
        <v/>
      </c>
      <c r="L204" t="str">
        <f>IF([1]Sheet1!L240="","",[1]Sheet1!L240)</f>
        <v/>
      </c>
      <c r="M204" t="str">
        <f>IF([1]Sheet1!M240="","",[1]Sheet1!M240)</f>
        <v/>
      </c>
      <c r="N204" t="str">
        <f>IF([1]Sheet1!N240="","",[1]Sheet1!N240)</f>
        <v/>
      </c>
      <c r="O204" t="str">
        <f>IF([1]Sheet1!O240="","",[1]Sheet1!O240)</f>
        <v/>
      </c>
      <c r="P204" t="str">
        <f>IF([1]Sheet1!P240="","",[1]Sheet1!P240)</f>
        <v/>
      </c>
    </row>
    <row r="205" spans="1:16" x14ac:dyDescent="0.25">
      <c r="A205" t="str">
        <f>IF([1]Sheet1!A241="","",[1]Sheet1!A241)</f>
        <v/>
      </c>
      <c r="B205" t="str">
        <f>IF([1]Sheet1!B241="","",[1]Sheet1!B241)</f>
        <v/>
      </c>
      <c r="C205" t="str">
        <f>IF([1]Sheet1!C241="","",[1]Sheet1!C241)</f>
        <v/>
      </c>
      <c r="D205" t="str">
        <f>IF([1]Sheet1!D241="","",[1]Sheet1!D241)</f>
        <v/>
      </c>
      <c r="E205" t="str">
        <f>IF([1]Sheet1!E241="","",[1]Sheet1!E241)</f>
        <v/>
      </c>
      <c r="F205" t="str">
        <f>IF([1]Sheet1!F241="","",[1]Sheet1!F241)</f>
        <v/>
      </c>
      <c r="G205" t="str">
        <f>IF([1]Sheet1!G241="","",[1]Sheet1!G241)</f>
        <v/>
      </c>
      <c r="H205" t="str">
        <f>IF([1]Sheet1!H241="","",[1]Sheet1!H241)</f>
        <v/>
      </c>
      <c r="I205" t="str">
        <f>IF([1]Sheet1!I241="","",[1]Sheet1!I241)</f>
        <v/>
      </c>
      <c r="J205" t="str">
        <f>IF([1]Sheet1!J241="","",[1]Sheet1!J241)</f>
        <v/>
      </c>
      <c r="K205" t="str">
        <f>IF([1]Sheet1!K241="","",[1]Sheet1!K241)</f>
        <v/>
      </c>
      <c r="L205" t="str">
        <f>IF([1]Sheet1!L241="","",[1]Sheet1!L241)</f>
        <v/>
      </c>
      <c r="M205" t="str">
        <f>IF([1]Sheet1!M241="","",[1]Sheet1!M241)</f>
        <v/>
      </c>
      <c r="N205" t="str">
        <f>IF([1]Sheet1!N241="","",[1]Sheet1!N241)</f>
        <v/>
      </c>
      <c r="O205" t="str">
        <f>IF([1]Sheet1!O241="","",[1]Sheet1!O241)</f>
        <v/>
      </c>
      <c r="P205" t="str">
        <f>IF([1]Sheet1!P241="","",[1]Sheet1!P241)</f>
        <v/>
      </c>
    </row>
    <row r="206" spans="1:16" x14ac:dyDescent="0.25">
      <c r="A206" t="str">
        <f>IF([1]Sheet1!A242="","",[1]Sheet1!A242)</f>
        <v/>
      </c>
      <c r="B206" t="str">
        <f>IF([1]Sheet1!B242="","",[1]Sheet1!B242)</f>
        <v/>
      </c>
      <c r="C206" t="str">
        <f>IF([1]Sheet1!C242="","",[1]Sheet1!C242)</f>
        <v/>
      </c>
      <c r="D206" t="str">
        <f>IF([1]Sheet1!D242="","",[1]Sheet1!D242)</f>
        <v/>
      </c>
      <c r="E206" t="str">
        <f>IF([1]Sheet1!E242="","",[1]Sheet1!E242)</f>
        <v/>
      </c>
      <c r="F206" t="str">
        <f>IF([1]Sheet1!F242="","",[1]Sheet1!F242)</f>
        <v/>
      </c>
      <c r="G206" t="str">
        <f>IF([1]Sheet1!G242="","",[1]Sheet1!G242)</f>
        <v/>
      </c>
      <c r="H206" t="str">
        <f>IF([1]Sheet1!H242="","",[1]Sheet1!H242)</f>
        <v/>
      </c>
      <c r="I206" t="str">
        <f>IF([1]Sheet1!I242="","",[1]Sheet1!I242)</f>
        <v/>
      </c>
      <c r="J206" t="str">
        <f>IF([1]Sheet1!J242="","",[1]Sheet1!J242)</f>
        <v/>
      </c>
      <c r="K206" t="str">
        <f>IF([1]Sheet1!K242="","",[1]Sheet1!K242)</f>
        <v/>
      </c>
      <c r="L206" t="str">
        <f>IF([1]Sheet1!L242="","",[1]Sheet1!L242)</f>
        <v/>
      </c>
      <c r="M206" t="str">
        <f>IF([1]Sheet1!M242="","",[1]Sheet1!M242)</f>
        <v/>
      </c>
      <c r="N206" t="str">
        <f>IF([1]Sheet1!N242="","",[1]Sheet1!N242)</f>
        <v/>
      </c>
      <c r="O206" t="str">
        <f>IF([1]Sheet1!O242="","",[1]Sheet1!O242)</f>
        <v/>
      </c>
      <c r="P206" t="str">
        <f>IF([1]Sheet1!P242="","",[1]Sheet1!P242)</f>
        <v/>
      </c>
    </row>
    <row r="207" spans="1:16" x14ac:dyDescent="0.25">
      <c r="A207" t="str">
        <f>IF([1]Sheet1!A243="","",[1]Sheet1!A243)</f>
        <v/>
      </c>
      <c r="B207" t="str">
        <f>IF([1]Sheet1!B243="","",[1]Sheet1!B243)</f>
        <v/>
      </c>
      <c r="C207" t="str">
        <f>IF([1]Sheet1!C243="","",[1]Sheet1!C243)</f>
        <v/>
      </c>
      <c r="D207" t="str">
        <f>IF([1]Sheet1!D243="","",[1]Sheet1!D243)</f>
        <v/>
      </c>
      <c r="E207" t="str">
        <f>IF([1]Sheet1!E243="","",[1]Sheet1!E243)</f>
        <v/>
      </c>
      <c r="F207" t="str">
        <f>IF([1]Sheet1!F243="","",[1]Sheet1!F243)</f>
        <v/>
      </c>
      <c r="G207" t="str">
        <f>IF([1]Sheet1!G243="","",[1]Sheet1!G243)</f>
        <v/>
      </c>
      <c r="H207" t="str">
        <f>IF([1]Sheet1!H243="","",[1]Sheet1!H243)</f>
        <v/>
      </c>
      <c r="I207" t="str">
        <f>IF([1]Sheet1!I243="","",[1]Sheet1!I243)</f>
        <v/>
      </c>
      <c r="J207" t="str">
        <f>IF([1]Sheet1!J243="","",[1]Sheet1!J243)</f>
        <v/>
      </c>
      <c r="K207" t="str">
        <f>IF([1]Sheet1!K243="","",[1]Sheet1!K243)</f>
        <v/>
      </c>
      <c r="L207" t="str">
        <f>IF([1]Sheet1!L243="","",[1]Sheet1!L243)</f>
        <v/>
      </c>
      <c r="M207" t="str">
        <f>IF([1]Sheet1!M243="","",[1]Sheet1!M243)</f>
        <v/>
      </c>
      <c r="N207" t="str">
        <f>IF([1]Sheet1!N243="","",[1]Sheet1!N243)</f>
        <v/>
      </c>
      <c r="O207" t="str">
        <f>IF([1]Sheet1!O243="","",[1]Sheet1!O243)</f>
        <v/>
      </c>
      <c r="P207" t="str">
        <f>IF([1]Sheet1!P243="","",[1]Sheet1!P243)</f>
        <v/>
      </c>
    </row>
    <row r="208" spans="1:16" x14ac:dyDescent="0.25">
      <c r="A208" t="str">
        <f>IF([1]Sheet1!A244="","",[1]Sheet1!A244)</f>
        <v/>
      </c>
      <c r="B208" t="str">
        <f>IF([1]Sheet1!B244="","",[1]Sheet1!B244)</f>
        <v/>
      </c>
      <c r="C208" t="str">
        <f>IF([1]Sheet1!C244="","",[1]Sheet1!C244)</f>
        <v/>
      </c>
      <c r="D208" t="str">
        <f>IF([1]Sheet1!D244="","",[1]Sheet1!D244)</f>
        <v/>
      </c>
      <c r="E208" t="str">
        <f>IF([1]Sheet1!E244="","",[1]Sheet1!E244)</f>
        <v/>
      </c>
      <c r="F208" t="str">
        <f>IF([1]Sheet1!F244="","",[1]Sheet1!F244)</f>
        <v/>
      </c>
      <c r="G208" t="str">
        <f>IF([1]Sheet1!G244="","",[1]Sheet1!G244)</f>
        <v/>
      </c>
      <c r="H208" t="str">
        <f>IF([1]Sheet1!H244="","",[1]Sheet1!H244)</f>
        <v/>
      </c>
      <c r="I208" t="str">
        <f>IF([1]Sheet1!I244="","",[1]Sheet1!I244)</f>
        <v/>
      </c>
      <c r="J208" t="str">
        <f>IF([1]Sheet1!J244="","",[1]Sheet1!J244)</f>
        <v/>
      </c>
      <c r="K208" t="str">
        <f>IF([1]Sheet1!K244="","",[1]Sheet1!K244)</f>
        <v/>
      </c>
      <c r="L208" t="str">
        <f>IF([1]Sheet1!L244="","",[1]Sheet1!L244)</f>
        <v/>
      </c>
      <c r="M208" t="str">
        <f>IF([1]Sheet1!M244="","",[1]Sheet1!M244)</f>
        <v/>
      </c>
      <c r="N208" t="str">
        <f>IF([1]Sheet1!N244="","",[1]Sheet1!N244)</f>
        <v/>
      </c>
      <c r="O208" t="str">
        <f>IF([1]Sheet1!O244="","",[1]Sheet1!O244)</f>
        <v/>
      </c>
      <c r="P208" t="str">
        <f>IF([1]Sheet1!P244="","",[1]Sheet1!P244)</f>
        <v/>
      </c>
    </row>
    <row r="209" spans="1:16" x14ac:dyDescent="0.25">
      <c r="A209" t="str">
        <f>IF([1]Sheet1!A245="","",[1]Sheet1!A245)</f>
        <v/>
      </c>
      <c r="B209" t="str">
        <f>IF([1]Sheet1!B245="","",[1]Sheet1!B245)</f>
        <v/>
      </c>
      <c r="C209" t="str">
        <f>IF([1]Sheet1!C245="","",[1]Sheet1!C245)</f>
        <v/>
      </c>
      <c r="D209" t="str">
        <f>IF([1]Sheet1!D245="","",[1]Sheet1!D245)</f>
        <v/>
      </c>
      <c r="E209" t="str">
        <f>IF([1]Sheet1!E245="","",[1]Sheet1!E245)</f>
        <v/>
      </c>
      <c r="F209" t="str">
        <f>IF([1]Sheet1!F245="","",[1]Sheet1!F245)</f>
        <v/>
      </c>
      <c r="G209" t="str">
        <f>IF([1]Sheet1!G245="","",[1]Sheet1!G245)</f>
        <v/>
      </c>
      <c r="H209" t="str">
        <f>IF([1]Sheet1!H245="","",[1]Sheet1!H245)</f>
        <v/>
      </c>
      <c r="I209" t="str">
        <f>IF([1]Sheet1!I245="","",[1]Sheet1!I245)</f>
        <v/>
      </c>
      <c r="J209" t="str">
        <f>IF([1]Sheet1!J245="","",[1]Sheet1!J245)</f>
        <v/>
      </c>
      <c r="K209" t="str">
        <f>IF([1]Sheet1!K245="","",[1]Sheet1!K245)</f>
        <v/>
      </c>
      <c r="L209" t="str">
        <f>IF([1]Sheet1!L245="","",[1]Sheet1!L245)</f>
        <v/>
      </c>
      <c r="M209" t="str">
        <f>IF([1]Sheet1!M245="","",[1]Sheet1!M245)</f>
        <v/>
      </c>
      <c r="N209" t="str">
        <f>IF([1]Sheet1!N245="","",[1]Sheet1!N245)</f>
        <v/>
      </c>
      <c r="O209" t="str">
        <f>IF([1]Sheet1!O245="","",[1]Sheet1!O245)</f>
        <v/>
      </c>
      <c r="P209" t="str">
        <f>IF([1]Sheet1!P245="","",[1]Sheet1!P245)</f>
        <v/>
      </c>
    </row>
    <row r="210" spans="1:16" x14ac:dyDescent="0.25">
      <c r="A210" t="str">
        <f>IF([1]Sheet1!A246="","",[1]Sheet1!A246)</f>
        <v/>
      </c>
      <c r="B210" t="str">
        <f>IF([1]Sheet1!B246="","",[1]Sheet1!B246)</f>
        <v/>
      </c>
      <c r="C210" t="str">
        <f>IF([1]Sheet1!C246="","",[1]Sheet1!C246)</f>
        <v/>
      </c>
      <c r="D210" t="str">
        <f>IF([1]Sheet1!D246="","",[1]Sheet1!D246)</f>
        <v/>
      </c>
      <c r="E210" t="str">
        <f>IF([1]Sheet1!E246="","",[1]Sheet1!E246)</f>
        <v/>
      </c>
      <c r="F210" t="str">
        <f>IF([1]Sheet1!F246="","",[1]Sheet1!F246)</f>
        <v/>
      </c>
      <c r="G210" t="str">
        <f>IF([1]Sheet1!G246="","",[1]Sheet1!G246)</f>
        <v/>
      </c>
      <c r="H210" t="str">
        <f>IF([1]Sheet1!H246="","",[1]Sheet1!H246)</f>
        <v/>
      </c>
      <c r="I210" t="str">
        <f>IF([1]Sheet1!I246="","",[1]Sheet1!I246)</f>
        <v/>
      </c>
      <c r="J210" t="str">
        <f>IF([1]Sheet1!J246="","",[1]Sheet1!J246)</f>
        <v/>
      </c>
      <c r="K210" t="str">
        <f>IF([1]Sheet1!K246="","",[1]Sheet1!K246)</f>
        <v/>
      </c>
      <c r="L210" t="str">
        <f>IF([1]Sheet1!L246="","",[1]Sheet1!L246)</f>
        <v/>
      </c>
      <c r="M210" t="str">
        <f>IF([1]Sheet1!M246="","",[1]Sheet1!M246)</f>
        <v/>
      </c>
      <c r="N210" t="str">
        <f>IF([1]Sheet1!N246="","",[1]Sheet1!N246)</f>
        <v/>
      </c>
      <c r="O210" t="str">
        <f>IF([1]Sheet1!O246="","",[1]Sheet1!O246)</f>
        <v/>
      </c>
      <c r="P210" t="str">
        <f>IF([1]Sheet1!P246="","",[1]Sheet1!P246)</f>
        <v/>
      </c>
    </row>
    <row r="211" spans="1:16" x14ac:dyDescent="0.25">
      <c r="A211" t="str">
        <f>IF([1]Sheet1!A247="","",[1]Sheet1!A247)</f>
        <v/>
      </c>
      <c r="B211" t="str">
        <f>IF([1]Sheet1!B247="","",[1]Sheet1!B247)</f>
        <v/>
      </c>
      <c r="C211" t="str">
        <f>IF([1]Sheet1!C247="","",[1]Sheet1!C247)</f>
        <v/>
      </c>
      <c r="D211" t="str">
        <f>IF([1]Sheet1!D247="","",[1]Sheet1!D247)</f>
        <v/>
      </c>
      <c r="E211" t="str">
        <f>IF([1]Sheet1!E247="","",[1]Sheet1!E247)</f>
        <v/>
      </c>
      <c r="F211" t="str">
        <f>IF([1]Sheet1!F247="","",[1]Sheet1!F247)</f>
        <v/>
      </c>
      <c r="G211" t="str">
        <f>IF([1]Sheet1!G247="","",[1]Sheet1!G247)</f>
        <v/>
      </c>
      <c r="H211" t="str">
        <f>IF([1]Sheet1!H247="","",[1]Sheet1!H247)</f>
        <v/>
      </c>
      <c r="I211" t="str">
        <f>IF([1]Sheet1!I247="","",[1]Sheet1!I247)</f>
        <v/>
      </c>
      <c r="J211" t="str">
        <f>IF([1]Sheet1!J247="","",[1]Sheet1!J247)</f>
        <v/>
      </c>
      <c r="K211" t="str">
        <f>IF([1]Sheet1!K247="","",[1]Sheet1!K247)</f>
        <v/>
      </c>
      <c r="L211" t="str">
        <f>IF([1]Sheet1!L247="","",[1]Sheet1!L247)</f>
        <v/>
      </c>
      <c r="M211" t="str">
        <f>IF([1]Sheet1!M247="","",[1]Sheet1!M247)</f>
        <v/>
      </c>
      <c r="N211" t="str">
        <f>IF([1]Sheet1!N247="","",[1]Sheet1!N247)</f>
        <v/>
      </c>
      <c r="O211" t="str">
        <f>IF([1]Sheet1!O247="","",[1]Sheet1!O247)</f>
        <v/>
      </c>
      <c r="P211" t="str">
        <f>IF([1]Sheet1!P247="","",[1]Sheet1!P247)</f>
        <v/>
      </c>
    </row>
    <row r="212" spans="1:16" x14ac:dyDescent="0.25">
      <c r="A212" t="str">
        <f>IF([1]Sheet1!A248="","",[1]Sheet1!A248)</f>
        <v/>
      </c>
      <c r="B212" t="str">
        <f>IF([1]Sheet1!B248="","",[1]Sheet1!B248)</f>
        <v/>
      </c>
      <c r="C212" t="str">
        <f>IF([1]Sheet1!C248="","",[1]Sheet1!C248)</f>
        <v/>
      </c>
      <c r="D212" t="str">
        <f>IF([1]Sheet1!D248="","",[1]Sheet1!D248)</f>
        <v/>
      </c>
      <c r="E212" t="str">
        <f>IF([1]Sheet1!E248="","",[1]Sheet1!E248)</f>
        <v/>
      </c>
      <c r="F212" t="str">
        <f>IF([1]Sheet1!F248="","",[1]Sheet1!F248)</f>
        <v/>
      </c>
      <c r="G212" t="str">
        <f>IF([1]Sheet1!G248="","",[1]Sheet1!G248)</f>
        <v/>
      </c>
      <c r="H212" t="str">
        <f>IF([1]Sheet1!H248="","",[1]Sheet1!H248)</f>
        <v/>
      </c>
      <c r="I212" t="str">
        <f>IF([1]Sheet1!I248="","",[1]Sheet1!I248)</f>
        <v/>
      </c>
      <c r="J212" t="str">
        <f>IF([1]Sheet1!J248="","",[1]Sheet1!J248)</f>
        <v/>
      </c>
      <c r="K212" t="str">
        <f>IF([1]Sheet1!K248="","",[1]Sheet1!K248)</f>
        <v/>
      </c>
      <c r="L212" t="str">
        <f>IF([1]Sheet1!L248="","",[1]Sheet1!L248)</f>
        <v/>
      </c>
      <c r="M212" t="str">
        <f>IF([1]Sheet1!M248="","",[1]Sheet1!M248)</f>
        <v/>
      </c>
      <c r="N212" t="str">
        <f>IF([1]Sheet1!N248="","",[1]Sheet1!N248)</f>
        <v/>
      </c>
      <c r="O212" t="str">
        <f>IF([1]Sheet1!O248="","",[1]Sheet1!O248)</f>
        <v/>
      </c>
      <c r="P212" t="str">
        <f>IF([1]Sheet1!P248="","",[1]Sheet1!P248)</f>
        <v/>
      </c>
    </row>
    <row r="213" spans="1:16" x14ac:dyDescent="0.25">
      <c r="A213" t="str">
        <f>IF([1]Sheet1!A249="","",[1]Sheet1!A249)</f>
        <v/>
      </c>
      <c r="B213" t="str">
        <f>IF([1]Sheet1!B249="","",[1]Sheet1!B249)</f>
        <v/>
      </c>
      <c r="C213" t="str">
        <f>IF([1]Sheet1!C249="","",[1]Sheet1!C249)</f>
        <v/>
      </c>
      <c r="D213" t="str">
        <f>IF([1]Sheet1!D249="","",[1]Sheet1!D249)</f>
        <v/>
      </c>
      <c r="E213" t="str">
        <f>IF([1]Sheet1!E249="","",[1]Sheet1!E249)</f>
        <v/>
      </c>
      <c r="F213" t="str">
        <f>IF([1]Sheet1!F249="","",[1]Sheet1!F249)</f>
        <v/>
      </c>
      <c r="G213" t="str">
        <f>IF([1]Sheet1!G249="","",[1]Sheet1!G249)</f>
        <v/>
      </c>
      <c r="H213" t="str">
        <f>IF([1]Sheet1!H249="","",[1]Sheet1!H249)</f>
        <v/>
      </c>
      <c r="I213" t="str">
        <f>IF([1]Sheet1!I249="","",[1]Sheet1!I249)</f>
        <v/>
      </c>
      <c r="J213" t="str">
        <f>IF([1]Sheet1!J249="","",[1]Sheet1!J249)</f>
        <v/>
      </c>
      <c r="K213" t="str">
        <f>IF([1]Sheet1!K249="","",[1]Sheet1!K249)</f>
        <v/>
      </c>
      <c r="L213" t="str">
        <f>IF([1]Sheet1!L249="","",[1]Sheet1!L249)</f>
        <v/>
      </c>
      <c r="M213" t="str">
        <f>IF([1]Sheet1!M249="","",[1]Sheet1!M249)</f>
        <v/>
      </c>
      <c r="N213" t="str">
        <f>IF([1]Sheet1!N249="","",[1]Sheet1!N249)</f>
        <v/>
      </c>
      <c r="O213" t="str">
        <f>IF([1]Sheet1!O249="","",[1]Sheet1!O249)</f>
        <v/>
      </c>
      <c r="P213" t="str">
        <f>IF([1]Sheet1!P249="","",[1]Sheet1!P249)</f>
        <v/>
      </c>
    </row>
    <row r="214" spans="1:16" x14ac:dyDescent="0.25">
      <c r="A214" t="str">
        <f>IF([1]Sheet1!A250="","",[1]Sheet1!A250)</f>
        <v/>
      </c>
      <c r="B214" t="str">
        <f>IF([1]Sheet1!B250="","",[1]Sheet1!B250)</f>
        <v/>
      </c>
      <c r="C214" t="str">
        <f>IF([1]Sheet1!C250="","",[1]Sheet1!C250)</f>
        <v/>
      </c>
      <c r="D214" t="str">
        <f>IF([1]Sheet1!D250="","",[1]Sheet1!D250)</f>
        <v/>
      </c>
      <c r="E214" t="str">
        <f>IF([1]Sheet1!E250="","",[1]Sheet1!E250)</f>
        <v/>
      </c>
      <c r="F214" t="str">
        <f>IF([1]Sheet1!F250="","",[1]Sheet1!F250)</f>
        <v/>
      </c>
      <c r="G214" t="str">
        <f>IF([1]Sheet1!G250="","",[1]Sheet1!G250)</f>
        <v/>
      </c>
      <c r="H214" t="str">
        <f>IF([1]Sheet1!H250="","",[1]Sheet1!H250)</f>
        <v/>
      </c>
      <c r="I214" t="str">
        <f>IF([1]Sheet1!I250="","",[1]Sheet1!I250)</f>
        <v/>
      </c>
      <c r="J214" t="str">
        <f>IF([1]Sheet1!J250="","",[1]Sheet1!J250)</f>
        <v/>
      </c>
      <c r="K214" t="str">
        <f>IF([1]Sheet1!K250="","",[1]Sheet1!K250)</f>
        <v/>
      </c>
      <c r="L214" t="str">
        <f>IF([1]Sheet1!L250="","",[1]Sheet1!L250)</f>
        <v/>
      </c>
      <c r="M214" t="str">
        <f>IF([1]Sheet1!M250="","",[1]Sheet1!M250)</f>
        <v/>
      </c>
      <c r="N214" t="str">
        <f>IF([1]Sheet1!N250="","",[1]Sheet1!N250)</f>
        <v/>
      </c>
      <c r="O214" t="str">
        <f>IF([1]Sheet1!O250="","",[1]Sheet1!O250)</f>
        <v/>
      </c>
      <c r="P214" t="str">
        <f>IF([1]Sheet1!P250="","",[1]Sheet1!P250)</f>
        <v/>
      </c>
    </row>
    <row r="215" spans="1:16" x14ac:dyDescent="0.25">
      <c r="A215" t="str">
        <f>IF([1]Sheet1!A251="","",[1]Sheet1!A251)</f>
        <v/>
      </c>
      <c r="B215" t="str">
        <f>IF([1]Sheet1!B251="","",[1]Sheet1!B251)</f>
        <v/>
      </c>
      <c r="C215" t="str">
        <f>IF([1]Sheet1!C251="","",[1]Sheet1!C251)</f>
        <v/>
      </c>
      <c r="D215" t="str">
        <f>IF([1]Sheet1!D251="","",[1]Sheet1!D251)</f>
        <v/>
      </c>
      <c r="E215" t="str">
        <f>IF([1]Sheet1!E251="","",[1]Sheet1!E251)</f>
        <v/>
      </c>
      <c r="F215" t="str">
        <f>IF([1]Sheet1!F251="","",[1]Sheet1!F251)</f>
        <v/>
      </c>
      <c r="G215" t="str">
        <f>IF([1]Sheet1!G251="","",[1]Sheet1!G251)</f>
        <v/>
      </c>
      <c r="H215" t="str">
        <f>IF([1]Sheet1!H251="","",[1]Sheet1!H251)</f>
        <v/>
      </c>
      <c r="I215" t="str">
        <f>IF([1]Sheet1!I251="","",[1]Sheet1!I251)</f>
        <v/>
      </c>
      <c r="J215" t="str">
        <f>IF([1]Sheet1!J251="","",[1]Sheet1!J251)</f>
        <v/>
      </c>
      <c r="K215" t="str">
        <f>IF([1]Sheet1!K251="","",[1]Sheet1!K251)</f>
        <v/>
      </c>
      <c r="L215" t="str">
        <f>IF([1]Sheet1!L251="","",[1]Sheet1!L251)</f>
        <v/>
      </c>
      <c r="M215" t="str">
        <f>IF([1]Sheet1!M251="","",[1]Sheet1!M251)</f>
        <v/>
      </c>
      <c r="N215" t="str">
        <f>IF([1]Sheet1!N251="","",[1]Sheet1!N251)</f>
        <v/>
      </c>
      <c r="O215" t="str">
        <f>IF([1]Sheet1!O251="","",[1]Sheet1!O251)</f>
        <v/>
      </c>
      <c r="P215" t="str">
        <f>IF([1]Sheet1!P251="","",[1]Sheet1!P251)</f>
        <v/>
      </c>
    </row>
    <row r="216" spans="1:16" x14ac:dyDescent="0.25">
      <c r="A216" t="str">
        <f>IF([1]Sheet1!A252="","",[1]Sheet1!A252)</f>
        <v/>
      </c>
      <c r="B216" t="str">
        <f>IF([1]Sheet1!B252="","",[1]Sheet1!B252)</f>
        <v/>
      </c>
      <c r="C216" t="str">
        <f>IF([1]Sheet1!C252="","",[1]Sheet1!C252)</f>
        <v/>
      </c>
      <c r="D216" t="str">
        <f>IF([1]Sheet1!D252="","",[1]Sheet1!D252)</f>
        <v/>
      </c>
      <c r="E216" t="str">
        <f>IF([1]Sheet1!E252="","",[1]Sheet1!E252)</f>
        <v/>
      </c>
      <c r="F216" t="str">
        <f>IF([1]Sheet1!F252="","",[1]Sheet1!F252)</f>
        <v/>
      </c>
      <c r="G216" t="str">
        <f>IF([1]Sheet1!G252="","",[1]Sheet1!G252)</f>
        <v/>
      </c>
      <c r="H216" t="str">
        <f>IF([1]Sheet1!H252="","",[1]Sheet1!H252)</f>
        <v/>
      </c>
      <c r="I216" t="str">
        <f>IF([1]Sheet1!I252="","",[1]Sheet1!I252)</f>
        <v/>
      </c>
      <c r="J216" t="str">
        <f>IF([1]Sheet1!J252="","",[1]Sheet1!J252)</f>
        <v/>
      </c>
      <c r="K216" t="str">
        <f>IF([1]Sheet1!K252="","",[1]Sheet1!K252)</f>
        <v/>
      </c>
      <c r="L216" t="str">
        <f>IF([1]Sheet1!L252="","",[1]Sheet1!L252)</f>
        <v/>
      </c>
      <c r="M216" t="str">
        <f>IF([1]Sheet1!M252="","",[1]Sheet1!M252)</f>
        <v/>
      </c>
      <c r="N216" t="str">
        <f>IF([1]Sheet1!N252="","",[1]Sheet1!N252)</f>
        <v/>
      </c>
      <c r="O216" t="str">
        <f>IF([1]Sheet1!O252="","",[1]Sheet1!O252)</f>
        <v/>
      </c>
      <c r="P216" t="str">
        <f>IF([1]Sheet1!P252="","",[1]Sheet1!P252)</f>
        <v/>
      </c>
    </row>
    <row r="217" spans="1:16" x14ac:dyDescent="0.25">
      <c r="A217" t="str">
        <f>IF([1]Sheet1!A253="","",[1]Sheet1!A253)</f>
        <v/>
      </c>
      <c r="B217" t="str">
        <f>IF([1]Sheet1!B253="","",[1]Sheet1!B253)</f>
        <v/>
      </c>
      <c r="C217" t="str">
        <f>IF([1]Sheet1!C253="","",[1]Sheet1!C253)</f>
        <v/>
      </c>
      <c r="D217" t="str">
        <f>IF([1]Sheet1!D253="","",[1]Sheet1!D253)</f>
        <v/>
      </c>
      <c r="E217" t="str">
        <f>IF([1]Sheet1!E253="","",[1]Sheet1!E253)</f>
        <v/>
      </c>
      <c r="F217" t="str">
        <f>IF([1]Sheet1!F253="","",[1]Sheet1!F253)</f>
        <v/>
      </c>
      <c r="G217" t="str">
        <f>IF([1]Sheet1!G253="","",[1]Sheet1!G253)</f>
        <v/>
      </c>
      <c r="H217" t="str">
        <f>IF([1]Sheet1!H253="","",[1]Sheet1!H253)</f>
        <v/>
      </c>
      <c r="I217" t="str">
        <f>IF([1]Sheet1!I253="","",[1]Sheet1!I253)</f>
        <v/>
      </c>
      <c r="J217" t="str">
        <f>IF([1]Sheet1!J253="","",[1]Sheet1!J253)</f>
        <v/>
      </c>
      <c r="K217" t="str">
        <f>IF([1]Sheet1!K253="","",[1]Sheet1!K253)</f>
        <v/>
      </c>
      <c r="L217" t="str">
        <f>IF([1]Sheet1!L253="","",[1]Sheet1!L253)</f>
        <v/>
      </c>
      <c r="M217" t="str">
        <f>IF([1]Sheet1!M253="","",[1]Sheet1!M253)</f>
        <v/>
      </c>
      <c r="N217" t="str">
        <f>IF([1]Sheet1!N253="","",[1]Sheet1!N253)</f>
        <v/>
      </c>
      <c r="O217" t="str">
        <f>IF([1]Sheet1!O253="","",[1]Sheet1!O253)</f>
        <v/>
      </c>
      <c r="P217" t="str">
        <f>IF([1]Sheet1!P253="","",[1]Sheet1!P253)</f>
        <v/>
      </c>
    </row>
    <row r="218" spans="1:16" x14ac:dyDescent="0.25">
      <c r="A218" t="str">
        <f>IF([1]Sheet1!A254="","",[1]Sheet1!A254)</f>
        <v/>
      </c>
      <c r="B218" t="str">
        <f>IF([1]Sheet1!B254="","",[1]Sheet1!B254)</f>
        <v/>
      </c>
      <c r="C218" t="str">
        <f>IF([1]Sheet1!C254="","",[1]Sheet1!C254)</f>
        <v/>
      </c>
      <c r="D218" t="str">
        <f>IF([1]Sheet1!D254="","",[1]Sheet1!D254)</f>
        <v/>
      </c>
      <c r="E218" t="str">
        <f>IF([1]Sheet1!E254="","",[1]Sheet1!E254)</f>
        <v/>
      </c>
      <c r="F218" t="str">
        <f>IF([1]Sheet1!F254="","",[1]Sheet1!F254)</f>
        <v/>
      </c>
      <c r="G218" t="str">
        <f>IF([1]Sheet1!G254="","",[1]Sheet1!G254)</f>
        <v/>
      </c>
      <c r="H218" t="str">
        <f>IF([1]Sheet1!H254="","",[1]Sheet1!H254)</f>
        <v/>
      </c>
      <c r="I218" t="str">
        <f>IF([1]Sheet1!I254="","",[1]Sheet1!I254)</f>
        <v/>
      </c>
      <c r="J218" t="str">
        <f>IF([1]Sheet1!J254="","",[1]Sheet1!J254)</f>
        <v/>
      </c>
      <c r="K218" t="str">
        <f>IF([1]Sheet1!K254="","",[1]Sheet1!K254)</f>
        <v/>
      </c>
      <c r="L218" t="str">
        <f>IF([1]Sheet1!L254="","",[1]Sheet1!L254)</f>
        <v/>
      </c>
      <c r="M218" t="str">
        <f>IF([1]Sheet1!M254="","",[1]Sheet1!M254)</f>
        <v/>
      </c>
      <c r="N218" t="str">
        <f>IF([1]Sheet1!N254="","",[1]Sheet1!N254)</f>
        <v/>
      </c>
      <c r="O218" t="str">
        <f>IF([1]Sheet1!O254="","",[1]Sheet1!O254)</f>
        <v/>
      </c>
      <c r="P218" t="str">
        <f>IF([1]Sheet1!P254="","",[1]Sheet1!P254)</f>
        <v/>
      </c>
    </row>
    <row r="219" spans="1:16" x14ac:dyDescent="0.25">
      <c r="A219" t="str">
        <f>IF([1]Sheet1!A255="","",[1]Sheet1!A255)</f>
        <v/>
      </c>
      <c r="B219" t="str">
        <f>IF([1]Sheet1!B255="","",[1]Sheet1!B255)</f>
        <v/>
      </c>
      <c r="C219" t="str">
        <f>IF([1]Sheet1!C255="","",[1]Sheet1!C255)</f>
        <v/>
      </c>
      <c r="D219" t="str">
        <f>IF([1]Sheet1!D255="","",[1]Sheet1!D255)</f>
        <v/>
      </c>
      <c r="E219" t="str">
        <f>IF([1]Sheet1!E255="","",[1]Sheet1!E255)</f>
        <v/>
      </c>
      <c r="F219" t="str">
        <f>IF([1]Sheet1!F255="","",[1]Sheet1!F255)</f>
        <v/>
      </c>
      <c r="G219" t="str">
        <f>IF([1]Sheet1!G255="","",[1]Sheet1!G255)</f>
        <v/>
      </c>
      <c r="H219" t="str">
        <f>IF([1]Sheet1!H255="","",[1]Sheet1!H255)</f>
        <v/>
      </c>
      <c r="I219" t="str">
        <f>IF([1]Sheet1!I255="","",[1]Sheet1!I255)</f>
        <v/>
      </c>
      <c r="J219" t="str">
        <f>IF([1]Sheet1!J255="","",[1]Sheet1!J255)</f>
        <v/>
      </c>
      <c r="K219" t="str">
        <f>IF([1]Sheet1!K255="","",[1]Sheet1!K255)</f>
        <v/>
      </c>
      <c r="L219" t="str">
        <f>IF([1]Sheet1!L255="","",[1]Sheet1!L255)</f>
        <v/>
      </c>
      <c r="M219" t="str">
        <f>IF([1]Sheet1!M255="","",[1]Sheet1!M255)</f>
        <v/>
      </c>
      <c r="N219" t="str">
        <f>IF([1]Sheet1!N255="","",[1]Sheet1!N255)</f>
        <v/>
      </c>
      <c r="O219" t="str">
        <f>IF([1]Sheet1!O255="","",[1]Sheet1!O255)</f>
        <v/>
      </c>
      <c r="P219" t="str">
        <f>IF([1]Sheet1!P255="","",[1]Sheet1!P255)</f>
        <v/>
      </c>
    </row>
    <row r="220" spans="1:16" x14ac:dyDescent="0.25">
      <c r="A220" t="str">
        <f>IF([1]Sheet1!A256="","",[1]Sheet1!A256)</f>
        <v/>
      </c>
      <c r="B220" t="str">
        <f>IF([1]Sheet1!B256="","",[1]Sheet1!B256)</f>
        <v/>
      </c>
      <c r="C220" t="str">
        <f>IF([1]Sheet1!C256="","",[1]Sheet1!C256)</f>
        <v/>
      </c>
      <c r="D220" t="str">
        <f>IF([1]Sheet1!D256="","",[1]Sheet1!D256)</f>
        <v/>
      </c>
      <c r="E220" t="str">
        <f>IF([1]Sheet1!E256="","",[1]Sheet1!E256)</f>
        <v/>
      </c>
      <c r="F220" t="str">
        <f>IF([1]Sheet1!F256="","",[1]Sheet1!F256)</f>
        <v/>
      </c>
      <c r="G220" t="str">
        <f>IF([1]Sheet1!G256="","",[1]Sheet1!G256)</f>
        <v/>
      </c>
      <c r="H220" t="str">
        <f>IF([1]Sheet1!H256="","",[1]Sheet1!H256)</f>
        <v/>
      </c>
      <c r="I220" t="str">
        <f>IF([1]Sheet1!I256="","",[1]Sheet1!I256)</f>
        <v/>
      </c>
      <c r="J220" t="str">
        <f>IF([1]Sheet1!J256="","",[1]Sheet1!J256)</f>
        <v/>
      </c>
      <c r="K220" t="str">
        <f>IF([1]Sheet1!K256="","",[1]Sheet1!K256)</f>
        <v/>
      </c>
      <c r="L220" t="str">
        <f>IF([1]Sheet1!L256="","",[1]Sheet1!L256)</f>
        <v/>
      </c>
      <c r="M220" t="str">
        <f>IF([1]Sheet1!M256="","",[1]Sheet1!M256)</f>
        <v/>
      </c>
      <c r="N220" t="str">
        <f>IF([1]Sheet1!N256="","",[1]Sheet1!N256)</f>
        <v/>
      </c>
      <c r="O220" t="str">
        <f>IF([1]Sheet1!O256="","",[1]Sheet1!O256)</f>
        <v/>
      </c>
      <c r="P220" t="str">
        <f>IF([1]Sheet1!P256="","",[1]Sheet1!P256)</f>
        <v/>
      </c>
    </row>
    <row r="221" spans="1:16" x14ac:dyDescent="0.25">
      <c r="A221" t="str">
        <f>IF([1]Sheet1!A257="","",[1]Sheet1!A257)</f>
        <v/>
      </c>
      <c r="B221" t="str">
        <f>IF([1]Sheet1!B257="","",[1]Sheet1!B257)</f>
        <v/>
      </c>
      <c r="C221" t="str">
        <f>IF([1]Sheet1!C257="","",[1]Sheet1!C257)</f>
        <v/>
      </c>
      <c r="D221" t="str">
        <f>IF([1]Sheet1!D257="","",[1]Sheet1!D257)</f>
        <v/>
      </c>
      <c r="E221" t="str">
        <f>IF([1]Sheet1!E257="","",[1]Sheet1!E257)</f>
        <v/>
      </c>
      <c r="F221" t="str">
        <f>IF([1]Sheet1!F257="","",[1]Sheet1!F257)</f>
        <v/>
      </c>
      <c r="G221" t="str">
        <f>IF([1]Sheet1!G257="","",[1]Sheet1!G257)</f>
        <v/>
      </c>
      <c r="H221" t="str">
        <f>IF([1]Sheet1!H257="","",[1]Sheet1!H257)</f>
        <v/>
      </c>
      <c r="I221" t="str">
        <f>IF([1]Sheet1!I257="","",[1]Sheet1!I257)</f>
        <v/>
      </c>
      <c r="J221" t="str">
        <f>IF([1]Sheet1!J257="","",[1]Sheet1!J257)</f>
        <v/>
      </c>
      <c r="K221" t="str">
        <f>IF([1]Sheet1!K257="","",[1]Sheet1!K257)</f>
        <v/>
      </c>
      <c r="L221" t="str">
        <f>IF([1]Sheet1!L257="","",[1]Sheet1!L257)</f>
        <v/>
      </c>
      <c r="M221" t="str">
        <f>IF([1]Sheet1!M257="","",[1]Sheet1!M257)</f>
        <v/>
      </c>
      <c r="N221" t="str">
        <f>IF([1]Sheet1!N257="","",[1]Sheet1!N257)</f>
        <v/>
      </c>
      <c r="O221" t="str">
        <f>IF([1]Sheet1!O257="","",[1]Sheet1!O257)</f>
        <v/>
      </c>
      <c r="P221" t="str">
        <f>IF([1]Sheet1!P257="","",[1]Sheet1!P257)</f>
        <v/>
      </c>
    </row>
    <row r="222" spans="1:16" x14ac:dyDescent="0.25">
      <c r="A222" t="str">
        <f>IF([1]Sheet1!A258="","",[1]Sheet1!A258)</f>
        <v/>
      </c>
      <c r="B222" t="str">
        <f>IF([1]Sheet1!B258="","",[1]Sheet1!B258)</f>
        <v/>
      </c>
      <c r="C222" t="str">
        <f>IF([1]Sheet1!C258="","",[1]Sheet1!C258)</f>
        <v/>
      </c>
      <c r="D222" t="str">
        <f>IF([1]Sheet1!D258="","",[1]Sheet1!D258)</f>
        <v/>
      </c>
      <c r="E222" t="str">
        <f>IF([1]Sheet1!E258="","",[1]Sheet1!E258)</f>
        <v/>
      </c>
      <c r="F222" t="str">
        <f>IF([1]Sheet1!F258="","",[1]Sheet1!F258)</f>
        <v/>
      </c>
      <c r="G222" t="str">
        <f>IF([1]Sheet1!G258="","",[1]Sheet1!G258)</f>
        <v/>
      </c>
      <c r="H222" t="str">
        <f>IF([1]Sheet1!H258="","",[1]Sheet1!H258)</f>
        <v/>
      </c>
      <c r="I222" t="str">
        <f>IF([1]Sheet1!I258="","",[1]Sheet1!I258)</f>
        <v/>
      </c>
      <c r="J222" t="str">
        <f>IF([1]Sheet1!J258="","",[1]Sheet1!J258)</f>
        <v/>
      </c>
      <c r="K222" t="str">
        <f>IF([1]Sheet1!K258="","",[1]Sheet1!K258)</f>
        <v/>
      </c>
      <c r="L222" t="str">
        <f>IF([1]Sheet1!L258="","",[1]Sheet1!L258)</f>
        <v/>
      </c>
      <c r="M222" t="str">
        <f>IF([1]Sheet1!M258="","",[1]Sheet1!M258)</f>
        <v/>
      </c>
      <c r="N222" t="str">
        <f>IF([1]Sheet1!N258="","",[1]Sheet1!N258)</f>
        <v/>
      </c>
      <c r="O222" t="str">
        <f>IF([1]Sheet1!O258="","",[1]Sheet1!O258)</f>
        <v/>
      </c>
      <c r="P222" t="str">
        <f>IF([1]Sheet1!P258="","",[1]Sheet1!P258)</f>
        <v/>
      </c>
    </row>
    <row r="223" spans="1:16" x14ac:dyDescent="0.25">
      <c r="A223" t="str">
        <f>IF([1]Sheet1!A259="","",[1]Sheet1!A259)</f>
        <v/>
      </c>
      <c r="B223" t="str">
        <f>IF([1]Sheet1!B259="","",[1]Sheet1!B259)</f>
        <v/>
      </c>
      <c r="C223" t="str">
        <f>IF([1]Sheet1!C259="","",[1]Sheet1!C259)</f>
        <v/>
      </c>
      <c r="D223" t="str">
        <f>IF([1]Sheet1!D259="","",[1]Sheet1!D259)</f>
        <v/>
      </c>
      <c r="E223" t="str">
        <f>IF([1]Sheet1!E259="","",[1]Sheet1!E259)</f>
        <v/>
      </c>
      <c r="F223" t="str">
        <f>IF([1]Sheet1!F259="","",[1]Sheet1!F259)</f>
        <v/>
      </c>
      <c r="G223" t="str">
        <f>IF([1]Sheet1!G259="","",[1]Sheet1!G259)</f>
        <v/>
      </c>
      <c r="H223" t="str">
        <f>IF([1]Sheet1!H259="","",[1]Sheet1!H259)</f>
        <v/>
      </c>
      <c r="I223" t="str">
        <f>IF([1]Sheet1!I259="","",[1]Sheet1!I259)</f>
        <v/>
      </c>
      <c r="J223" t="str">
        <f>IF([1]Sheet1!J259="","",[1]Sheet1!J259)</f>
        <v/>
      </c>
      <c r="K223" t="str">
        <f>IF([1]Sheet1!K259="","",[1]Sheet1!K259)</f>
        <v/>
      </c>
      <c r="L223" t="str">
        <f>IF([1]Sheet1!L259="","",[1]Sheet1!L259)</f>
        <v/>
      </c>
      <c r="M223" t="str">
        <f>IF([1]Sheet1!M259="","",[1]Sheet1!M259)</f>
        <v/>
      </c>
      <c r="N223" t="str">
        <f>IF([1]Sheet1!N259="","",[1]Sheet1!N259)</f>
        <v/>
      </c>
      <c r="O223" t="str">
        <f>IF([1]Sheet1!O259="","",[1]Sheet1!O259)</f>
        <v/>
      </c>
      <c r="P223" t="str">
        <f>IF([1]Sheet1!P259="","",[1]Sheet1!P259)</f>
        <v/>
      </c>
    </row>
    <row r="224" spans="1:16" x14ac:dyDescent="0.25">
      <c r="A224" t="str">
        <f>IF([1]Sheet1!A260="","",[1]Sheet1!A260)</f>
        <v/>
      </c>
      <c r="B224" t="str">
        <f>IF([1]Sheet1!B260="","",[1]Sheet1!B260)</f>
        <v/>
      </c>
      <c r="C224" t="str">
        <f>IF([1]Sheet1!C260="","",[1]Sheet1!C260)</f>
        <v/>
      </c>
      <c r="D224" t="str">
        <f>IF([1]Sheet1!D260="","",[1]Sheet1!D260)</f>
        <v/>
      </c>
      <c r="E224" t="str">
        <f>IF([1]Sheet1!E260="","",[1]Sheet1!E260)</f>
        <v/>
      </c>
      <c r="F224" t="str">
        <f>IF([1]Sheet1!F260="","",[1]Sheet1!F260)</f>
        <v/>
      </c>
      <c r="G224" t="str">
        <f>IF([1]Sheet1!G260="","",[1]Sheet1!G260)</f>
        <v/>
      </c>
      <c r="H224" t="str">
        <f>IF([1]Sheet1!H260="","",[1]Sheet1!H260)</f>
        <v/>
      </c>
      <c r="I224" t="str">
        <f>IF([1]Sheet1!I260="","",[1]Sheet1!I260)</f>
        <v/>
      </c>
      <c r="J224" t="str">
        <f>IF([1]Sheet1!J260="","",[1]Sheet1!J260)</f>
        <v/>
      </c>
      <c r="K224" t="str">
        <f>IF([1]Sheet1!K260="","",[1]Sheet1!K260)</f>
        <v/>
      </c>
      <c r="L224" t="str">
        <f>IF([1]Sheet1!L260="","",[1]Sheet1!L260)</f>
        <v/>
      </c>
      <c r="M224" t="str">
        <f>IF([1]Sheet1!M260="","",[1]Sheet1!M260)</f>
        <v/>
      </c>
      <c r="N224" t="str">
        <f>IF([1]Sheet1!N260="","",[1]Sheet1!N260)</f>
        <v/>
      </c>
      <c r="O224" t="str">
        <f>IF([1]Sheet1!O260="","",[1]Sheet1!O260)</f>
        <v/>
      </c>
      <c r="P224" t="str">
        <f>IF([1]Sheet1!P260="","",[1]Sheet1!P260)</f>
        <v/>
      </c>
    </row>
    <row r="225" spans="1:16" x14ac:dyDescent="0.25">
      <c r="A225" t="str">
        <f>IF([1]Sheet1!A261="","",[1]Sheet1!A261)</f>
        <v/>
      </c>
      <c r="B225" t="str">
        <f>IF([1]Sheet1!B261="","",[1]Sheet1!B261)</f>
        <v/>
      </c>
      <c r="C225" t="str">
        <f>IF([1]Sheet1!C261="","",[1]Sheet1!C261)</f>
        <v/>
      </c>
      <c r="D225" t="str">
        <f>IF([1]Sheet1!D261="","",[1]Sheet1!D261)</f>
        <v/>
      </c>
      <c r="E225" t="str">
        <f>IF([1]Sheet1!E261="","",[1]Sheet1!E261)</f>
        <v/>
      </c>
      <c r="F225" t="str">
        <f>IF([1]Sheet1!F261="","",[1]Sheet1!F261)</f>
        <v/>
      </c>
      <c r="G225" t="str">
        <f>IF([1]Sheet1!G261="","",[1]Sheet1!G261)</f>
        <v/>
      </c>
      <c r="H225" t="str">
        <f>IF([1]Sheet1!H261="","",[1]Sheet1!H261)</f>
        <v/>
      </c>
      <c r="I225" t="str">
        <f>IF([1]Sheet1!I261="","",[1]Sheet1!I261)</f>
        <v/>
      </c>
      <c r="J225" t="str">
        <f>IF([1]Sheet1!J261="","",[1]Sheet1!J261)</f>
        <v/>
      </c>
      <c r="K225" t="str">
        <f>IF([1]Sheet1!K261="","",[1]Sheet1!K261)</f>
        <v/>
      </c>
      <c r="L225" t="str">
        <f>IF([1]Sheet1!L261="","",[1]Sheet1!L261)</f>
        <v/>
      </c>
      <c r="M225" t="str">
        <f>IF([1]Sheet1!M261="","",[1]Sheet1!M261)</f>
        <v/>
      </c>
      <c r="N225" t="str">
        <f>IF([1]Sheet1!N261="","",[1]Sheet1!N261)</f>
        <v/>
      </c>
      <c r="O225" t="str">
        <f>IF([1]Sheet1!O261="","",[1]Sheet1!O261)</f>
        <v/>
      </c>
      <c r="P225" t="str">
        <f>IF([1]Sheet1!P261="","",[1]Sheet1!P261)</f>
        <v/>
      </c>
    </row>
    <row r="226" spans="1:16" x14ac:dyDescent="0.25">
      <c r="A226" t="str">
        <f>IF([1]Sheet1!A262="","",[1]Sheet1!A262)</f>
        <v/>
      </c>
      <c r="B226" t="str">
        <f>IF([1]Sheet1!B262="","",[1]Sheet1!B262)</f>
        <v/>
      </c>
      <c r="C226" t="str">
        <f>IF([1]Sheet1!C262="","",[1]Sheet1!C262)</f>
        <v/>
      </c>
      <c r="D226" t="str">
        <f>IF([1]Sheet1!D262="","",[1]Sheet1!D262)</f>
        <v/>
      </c>
      <c r="E226" t="str">
        <f>IF([1]Sheet1!E262="","",[1]Sheet1!E262)</f>
        <v/>
      </c>
      <c r="F226" t="str">
        <f>IF([1]Sheet1!F262="","",[1]Sheet1!F262)</f>
        <v/>
      </c>
      <c r="G226" t="str">
        <f>IF([1]Sheet1!G262="","",[1]Sheet1!G262)</f>
        <v/>
      </c>
      <c r="H226" t="str">
        <f>IF([1]Sheet1!H262="","",[1]Sheet1!H262)</f>
        <v/>
      </c>
      <c r="I226" t="str">
        <f>IF([1]Sheet1!I262="","",[1]Sheet1!I262)</f>
        <v/>
      </c>
      <c r="J226" t="str">
        <f>IF([1]Sheet1!J262="","",[1]Sheet1!J262)</f>
        <v/>
      </c>
      <c r="K226" t="str">
        <f>IF([1]Sheet1!K262="","",[1]Sheet1!K262)</f>
        <v/>
      </c>
      <c r="L226" t="str">
        <f>IF([1]Sheet1!L262="","",[1]Sheet1!L262)</f>
        <v/>
      </c>
      <c r="M226" t="str">
        <f>IF([1]Sheet1!M262="","",[1]Sheet1!M262)</f>
        <v/>
      </c>
      <c r="N226" t="str">
        <f>IF([1]Sheet1!N262="","",[1]Sheet1!N262)</f>
        <v/>
      </c>
      <c r="O226" t="str">
        <f>IF([1]Sheet1!O262="","",[1]Sheet1!O262)</f>
        <v/>
      </c>
      <c r="P226" t="str">
        <f>IF([1]Sheet1!P262="","",[1]Sheet1!P262)</f>
        <v/>
      </c>
    </row>
    <row r="227" spans="1:16" x14ac:dyDescent="0.25">
      <c r="A227" t="str">
        <f>IF([1]Sheet1!A263="","",[1]Sheet1!A263)</f>
        <v/>
      </c>
      <c r="B227" t="str">
        <f>IF([1]Sheet1!B263="","",[1]Sheet1!B263)</f>
        <v/>
      </c>
      <c r="C227" t="str">
        <f>IF([1]Sheet1!C263="","",[1]Sheet1!C263)</f>
        <v/>
      </c>
      <c r="D227" t="str">
        <f>IF([1]Sheet1!D263="","",[1]Sheet1!D263)</f>
        <v/>
      </c>
      <c r="E227" t="str">
        <f>IF([1]Sheet1!E263="","",[1]Sheet1!E263)</f>
        <v/>
      </c>
      <c r="F227" t="str">
        <f>IF([1]Sheet1!F263="","",[1]Sheet1!F263)</f>
        <v/>
      </c>
      <c r="G227" t="str">
        <f>IF([1]Sheet1!G263="","",[1]Sheet1!G263)</f>
        <v/>
      </c>
      <c r="H227" t="str">
        <f>IF([1]Sheet1!H263="","",[1]Sheet1!H263)</f>
        <v/>
      </c>
      <c r="I227" t="str">
        <f>IF([1]Sheet1!I263="","",[1]Sheet1!I263)</f>
        <v/>
      </c>
      <c r="J227" t="str">
        <f>IF([1]Sheet1!J263="","",[1]Sheet1!J263)</f>
        <v/>
      </c>
      <c r="K227" t="str">
        <f>IF([1]Sheet1!K263="","",[1]Sheet1!K263)</f>
        <v/>
      </c>
      <c r="L227" t="str">
        <f>IF([1]Sheet1!L263="","",[1]Sheet1!L263)</f>
        <v/>
      </c>
      <c r="M227" t="str">
        <f>IF([1]Sheet1!M263="","",[1]Sheet1!M263)</f>
        <v/>
      </c>
      <c r="N227" t="str">
        <f>IF([1]Sheet1!N263="","",[1]Sheet1!N263)</f>
        <v/>
      </c>
      <c r="O227" t="str">
        <f>IF([1]Sheet1!O263="","",[1]Sheet1!O263)</f>
        <v/>
      </c>
      <c r="P227" t="str">
        <f>IF([1]Sheet1!P263="","",[1]Sheet1!P263)</f>
        <v/>
      </c>
    </row>
    <row r="228" spans="1:16" x14ac:dyDescent="0.25">
      <c r="A228" t="str">
        <f>IF([1]Sheet1!A264="","",[1]Sheet1!A264)</f>
        <v/>
      </c>
      <c r="B228" t="str">
        <f>IF([1]Sheet1!B264="","",[1]Sheet1!B264)</f>
        <v/>
      </c>
      <c r="C228" t="str">
        <f>IF([1]Sheet1!C264="","",[1]Sheet1!C264)</f>
        <v/>
      </c>
      <c r="D228" t="str">
        <f>IF([1]Sheet1!D264="","",[1]Sheet1!D264)</f>
        <v/>
      </c>
      <c r="E228" t="str">
        <f>IF([1]Sheet1!E264="","",[1]Sheet1!E264)</f>
        <v/>
      </c>
      <c r="F228" t="str">
        <f>IF([1]Sheet1!F264="","",[1]Sheet1!F264)</f>
        <v/>
      </c>
      <c r="G228" t="str">
        <f>IF([1]Sheet1!G264="","",[1]Sheet1!G264)</f>
        <v/>
      </c>
      <c r="H228" t="str">
        <f>IF([1]Sheet1!H264="","",[1]Sheet1!H264)</f>
        <v/>
      </c>
      <c r="I228" t="str">
        <f>IF([1]Sheet1!I264="","",[1]Sheet1!I264)</f>
        <v/>
      </c>
      <c r="J228" t="str">
        <f>IF([1]Sheet1!J264="","",[1]Sheet1!J264)</f>
        <v/>
      </c>
      <c r="K228" t="str">
        <f>IF([1]Sheet1!K264="","",[1]Sheet1!K264)</f>
        <v/>
      </c>
      <c r="L228" t="str">
        <f>IF([1]Sheet1!L264="","",[1]Sheet1!L264)</f>
        <v/>
      </c>
      <c r="M228" t="str">
        <f>IF([1]Sheet1!M264="","",[1]Sheet1!M264)</f>
        <v/>
      </c>
      <c r="N228" t="str">
        <f>IF([1]Sheet1!N264="","",[1]Sheet1!N264)</f>
        <v/>
      </c>
      <c r="O228" t="str">
        <f>IF([1]Sheet1!O264="","",[1]Sheet1!O264)</f>
        <v/>
      </c>
      <c r="P228" t="str">
        <f>IF([1]Sheet1!P264="","",[1]Sheet1!P264)</f>
        <v/>
      </c>
    </row>
    <row r="229" spans="1:16" x14ac:dyDescent="0.25">
      <c r="A229" t="str">
        <f>IF([1]Sheet1!A265="","",[1]Sheet1!A265)</f>
        <v/>
      </c>
      <c r="B229" t="str">
        <f>IF([1]Sheet1!B265="","",[1]Sheet1!B265)</f>
        <v/>
      </c>
      <c r="C229" t="str">
        <f>IF([1]Sheet1!C265="","",[1]Sheet1!C265)</f>
        <v/>
      </c>
      <c r="D229" t="str">
        <f>IF([1]Sheet1!D265="","",[1]Sheet1!D265)</f>
        <v/>
      </c>
      <c r="E229" t="str">
        <f>IF([1]Sheet1!E265="","",[1]Sheet1!E265)</f>
        <v/>
      </c>
      <c r="F229" t="str">
        <f>IF([1]Sheet1!F265="","",[1]Sheet1!F265)</f>
        <v/>
      </c>
      <c r="G229" t="str">
        <f>IF([1]Sheet1!G265="","",[1]Sheet1!G265)</f>
        <v/>
      </c>
      <c r="H229" t="str">
        <f>IF([1]Sheet1!H265="","",[1]Sheet1!H265)</f>
        <v/>
      </c>
      <c r="I229" t="str">
        <f>IF([1]Sheet1!I265="","",[1]Sheet1!I265)</f>
        <v/>
      </c>
      <c r="J229" t="str">
        <f>IF([1]Sheet1!J265="","",[1]Sheet1!J265)</f>
        <v/>
      </c>
      <c r="K229" t="str">
        <f>IF([1]Sheet1!K265="","",[1]Sheet1!K265)</f>
        <v/>
      </c>
      <c r="L229" t="str">
        <f>IF([1]Sheet1!L265="","",[1]Sheet1!L265)</f>
        <v/>
      </c>
      <c r="M229" t="str">
        <f>IF([1]Sheet1!M265="","",[1]Sheet1!M265)</f>
        <v/>
      </c>
      <c r="N229" t="str">
        <f>IF([1]Sheet1!N265="","",[1]Sheet1!N265)</f>
        <v/>
      </c>
      <c r="O229" t="str">
        <f>IF([1]Sheet1!O265="","",[1]Sheet1!O265)</f>
        <v/>
      </c>
      <c r="P229" t="str">
        <f>IF([1]Sheet1!P265="","",[1]Sheet1!P265)</f>
        <v/>
      </c>
    </row>
    <row r="230" spans="1:16" x14ac:dyDescent="0.25">
      <c r="A230" t="str">
        <f>IF([1]Sheet1!A266="","",[1]Sheet1!A266)</f>
        <v/>
      </c>
      <c r="B230" t="str">
        <f>IF([1]Sheet1!B266="","",[1]Sheet1!B266)</f>
        <v/>
      </c>
      <c r="C230" t="str">
        <f>IF([1]Sheet1!C266="","",[1]Sheet1!C266)</f>
        <v/>
      </c>
      <c r="D230" t="str">
        <f>IF([1]Sheet1!D266="","",[1]Sheet1!D266)</f>
        <v/>
      </c>
      <c r="E230" t="str">
        <f>IF([1]Sheet1!E266="","",[1]Sheet1!E266)</f>
        <v/>
      </c>
      <c r="F230" t="str">
        <f>IF([1]Sheet1!F266="","",[1]Sheet1!F266)</f>
        <v/>
      </c>
      <c r="G230" t="str">
        <f>IF([1]Sheet1!G266="","",[1]Sheet1!G266)</f>
        <v/>
      </c>
      <c r="H230" t="str">
        <f>IF([1]Sheet1!H266="","",[1]Sheet1!H266)</f>
        <v/>
      </c>
      <c r="I230" t="str">
        <f>IF([1]Sheet1!I266="","",[1]Sheet1!I266)</f>
        <v/>
      </c>
      <c r="J230" t="str">
        <f>IF([1]Sheet1!J266="","",[1]Sheet1!J266)</f>
        <v/>
      </c>
      <c r="K230" t="str">
        <f>IF([1]Sheet1!K266="","",[1]Sheet1!K266)</f>
        <v/>
      </c>
      <c r="L230" t="str">
        <f>IF([1]Sheet1!L266="","",[1]Sheet1!L266)</f>
        <v/>
      </c>
      <c r="M230" t="str">
        <f>IF([1]Sheet1!M266="","",[1]Sheet1!M266)</f>
        <v/>
      </c>
      <c r="N230" t="str">
        <f>IF([1]Sheet1!N266="","",[1]Sheet1!N266)</f>
        <v/>
      </c>
      <c r="O230" t="str">
        <f>IF([1]Sheet1!O266="","",[1]Sheet1!O266)</f>
        <v/>
      </c>
      <c r="P230" t="str">
        <f>IF([1]Sheet1!P266="","",[1]Sheet1!P266)</f>
        <v/>
      </c>
    </row>
    <row r="231" spans="1:16" x14ac:dyDescent="0.25">
      <c r="A231" t="str">
        <f>IF([1]Sheet1!A267="","",[1]Sheet1!A267)</f>
        <v/>
      </c>
      <c r="B231" t="str">
        <f>IF([1]Sheet1!B267="","",[1]Sheet1!B267)</f>
        <v/>
      </c>
      <c r="C231" t="str">
        <f>IF([1]Sheet1!C267="","",[1]Sheet1!C267)</f>
        <v/>
      </c>
      <c r="D231" t="str">
        <f>IF([1]Sheet1!D267="","",[1]Sheet1!D267)</f>
        <v/>
      </c>
      <c r="E231" t="str">
        <f>IF([1]Sheet1!E267="","",[1]Sheet1!E267)</f>
        <v/>
      </c>
      <c r="F231" t="str">
        <f>IF([1]Sheet1!F267="","",[1]Sheet1!F267)</f>
        <v/>
      </c>
      <c r="G231" t="str">
        <f>IF([1]Sheet1!G267="","",[1]Sheet1!G267)</f>
        <v/>
      </c>
      <c r="H231" t="str">
        <f>IF([1]Sheet1!H267="","",[1]Sheet1!H267)</f>
        <v/>
      </c>
      <c r="I231" t="str">
        <f>IF([1]Sheet1!I267="","",[1]Sheet1!I267)</f>
        <v/>
      </c>
      <c r="J231" t="str">
        <f>IF([1]Sheet1!J267="","",[1]Sheet1!J267)</f>
        <v/>
      </c>
      <c r="K231" t="str">
        <f>IF([1]Sheet1!K267="","",[1]Sheet1!K267)</f>
        <v/>
      </c>
      <c r="L231" t="str">
        <f>IF([1]Sheet1!L267="","",[1]Sheet1!L267)</f>
        <v/>
      </c>
      <c r="M231" t="str">
        <f>IF([1]Sheet1!M267="","",[1]Sheet1!M267)</f>
        <v/>
      </c>
      <c r="N231" t="str">
        <f>IF([1]Sheet1!N267="","",[1]Sheet1!N267)</f>
        <v/>
      </c>
      <c r="O231" t="str">
        <f>IF([1]Sheet1!O267="","",[1]Sheet1!O267)</f>
        <v/>
      </c>
      <c r="P231" t="str">
        <f>IF([1]Sheet1!P267="","",[1]Sheet1!P267)</f>
        <v/>
      </c>
    </row>
    <row r="232" spans="1:16" x14ac:dyDescent="0.25">
      <c r="A232" t="str">
        <f>IF([1]Sheet1!A268="","",[1]Sheet1!A268)</f>
        <v/>
      </c>
      <c r="B232" t="str">
        <f>IF([1]Sheet1!B268="","",[1]Sheet1!B268)</f>
        <v/>
      </c>
      <c r="C232" t="str">
        <f>IF([1]Sheet1!C268="","",[1]Sheet1!C268)</f>
        <v/>
      </c>
      <c r="D232" t="str">
        <f>IF([1]Sheet1!D268="","",[1]Sheet1!D268)</f>
        <v/>
      </c>
      <c r="E232" t="str">
        <f>IF([1]Sheet1!E268="","",[1]Sheet1!E268)</f>
        <v/>
      </c>
      <c r="F232" t="str">
        <f>IF([1]Sheet1!F268="","",[1]Sheet1!F268)</f>
        <v/>
      </c>
      <c r="G232" t="str">
        <f>IF([1]Sheet1!G268="","",[1]Sheet1!G268)</f>
        <v/>
      </c>
      <c r="H232" t="str">
        <f>IF([1]Sheet1!H268="","",[1]Sheet1!H268)</f>
        <v/>
      </c>
      <c r="I232" t="str">
        <f>IF([1]Sheet1!I268="","",[1]Sheet1!I268)</f>
        <v/>
      </c>
      <c r="J232" t="str">
        <f>IF([1]Sheet1!J268="","",[1]Sheet1!J268)</f>
        <v/>
      </c>
      <c r="K232" t="str">
        <f>IF([1]Sheet1!K268="","",[1]Sheet1!K268)</f>
        <v/>
      </c>
      <c r="L232" t="str">
        <f>IF([1]Sheet1!L268="","",[1]Sheet1!L268)</f>
        <v/>
      </c>
      <c r="M232" t="str">
        <f>IF([1]Sheet1!M268="","",[1]Sheet1!M268)</f>
        <v/>
      </c>
      <c r="N232" t="str">
        <f>IF([1]Sheet1!N268="","",[1]Sheet1!N268)</f>
        <v/>
      </c>
      <c r="O232" t="str">
        <f>IF([1]Sheet1!O268="","",[1]Sheet1!O268)</f>
        <v/>
      </c>
      <c r="P232" t="str">
        <f>IF([1]Sheet1!P268="","",[1]Sheet1!P268)</f>
        <v/>
      </c>
    </row>
    <row r="233" spans="1:16" x14ac:dyDescent="0.25">
      <c r="A233" t="str">
        <f>IF([1]Sheet1!A269="","",[1]Sheet1!A269)</f>
        <v/>
      </c>
      <c r="B233" t="str">
        <f>IF([1]Sheet1!B269="","",[1]Sheet1!B269)</f>
        <v/>
      </c>
      <c r="C233" t="str">
        <f>IF([1]Sheet1!C269="","",[1]Sheet1!C269)</f>
        <v/>
      </c>
      <c r="D233" t="str">
        <f>IF([1]Sheet1!D269="","",[1]Sheet1!D269)</f>
        <v/>
      </c>
      <c r="E233" t="str">
        <f>IF([1]Sheet1!E269="","",[1]Sheet1!E269)</f>
        <v/>
      </c>
      <c r="F233" t="str">
        <f>IF([1]Sheet1!F269="","",[1]Sheet1!F269)</f>
        <v/>
      </c>
      <c r="G233" t="str">
        <f>IF([1]Sheet1!G269="","",[1]Sheet1!G269)</f>
        <v/>
      </c>
      <c r="H233" t="str">
        <f>IF([1]Sheet1!H269="","",[1]Sheet1!H269)</f>
        <v/>
      </c>
      <c r="I233" t="str">
        <f>IF([1]Sheet1!I269="","",[1]Sheet1!I269)</f>
        <v/>
      </c>
      <c r="J233" t="str">
        <f>IF([1]Sheet1!J269="","",[1]Sheet1!J269)</f>
        <v/>
      </c>
      <c r="K233" t="str">
        <f>IF([1]Sheet1!K269="","",[1]Sheet1!K269)</f>
        <v/>
      </c>
      <c r="L233" t="str">
        <f>IF([1]Sheet1!L269="","",[1]Sheet1!L269)</f>
        <v/>
      </c>
      <c r="M233" t="str">
        <f>IF([1]Sheet1!M269="","",[1]Sheet1!M269)</f>
        <v/>
      </c>
      <c r="N233" t="str">
        <f>IF([1]Sheet1!N269="","",[1]Sheet1!N269)</f>
        <v/>
      </c>
      <c r="O233" t="str">
        <f>IF([1]Sheet1!O269="","",[1]Sheet1!O269)</f>
        <v/>
      </c>
      <c r="P233" t="str">
        <f>IF([1]Sheet1!P269="","",[1]Sheet1!P269)</f>
        <v/>
      </c>
    </row>
    <row r="234" spans="1:16" x14ac:dyDescent="0.25">
      <c r="A234" t="str">
        <f>IF([1]Sheet1!A270="","",[1]Sheet1!A270)</f>
        <v/>
      </c>
      <c r="B234" t="str">
        <f>IF([1]Sheet1!B270="","",[1]Sheet1!B270)</f>
        <v/>
      </c>
      <c r="C234" t="str">
        <f>IF([1]Sheet1!C270="","",[1]Sheet1!C270)</f>
        <v/>
      </c>
      <c r="D234" t="str">
        <f>IF([1]Sheet1!D270="","",[1]Sheet1!D270)</f>
        <v/>
      </c>
      <c r="E234" t="str">
        <f>IF([1]Sheet1!E270="","",[1]Sheet1!E270)</f>
        <v/>
      </c>
      <c r="F234" t="str">
        <f>IF([1]Sheet1!F270="","",[1]Sheet1!F270)</f>
        <v/>
      </c>
      <c r="G234" t="str">
        <f>IF([1]Sheet1!G270="","",[1]Sheet1!G270)</f>
        <v/>
      </c>
      <c r="H234" t="str">
        <f>IF([1]Sheet1!H270="","",[1]Sheet1!H270)</f>
        <v/>
      </c>
      <c r="I234" t="str">
        <f>IF([1]Sheet1!I270="","",[1]Sheet1!I270)</f>
        <v/>
      </c>
      <c r="J234" t="str">
        <f>IF([1]Sheet1!J270="","",[1]Sheet1!J270)</f>
        <v/>
      </c>
      <c r="K234" t="str">
        <f>IF([1]Sheet1!K270="","",[1]Sheet1!K270)</f>
        <v/>
      </c>
      <c r="L234" t="str">
        <f>IF([1]Sheet1!L270="","",[1]Sheet1!L270)</f>
        <v/>
      </c>
      <c r="M234" t="str">
        <f>IF([1]Sheet1!M270="","",[1]Sheet1!M270)</f>
        <v/>
      </c>
      <c r="N234" t="str">
        <f>IF([1]Sheet1!N270="","",[1]Sheet1!N270)</f>
        <v/>
      </c>
      <c r="O234" t="str">
        <f>IF([1]Sheet1!O270="","",[1]Sheet1!O270)</f>
        <v/>
      </c>
      <c r="P234" t="str">
        <f>IF([1]Sheet1!P270="","",[1]Sheet1!P270)</f>
        <v/>
      </c>
    </row>
    <row r="235" spans="1:16" x14ac:dyDescent="0.25">
      <c r="A235" t="str">
        <f>IF([1]Sheet1!A271="","",[1]Sheet1!A271)</f>
        <v/>
      </c>
      <c r="B235" t="str">
        <f>IF([1]Sheet1!B271="","",[1]Sheet1!B271)</f>
        <v/>
      </c>
      <c r="C235" t="str">
        <f>IF([1]Sheet1!C271="","",[1]Sheet1!C271)</f>
        <v/>
      </c>
      <c r="D235" t="str">
        <f>IF([1]Sheet1!D271="","",[1]Sheet1!D271)</f>
        <v/>
      </c>
      <c r="E235" t="str">
        <f>IF([1]Sheet1!E271="","",[1]Sheet1!E271)</f>
        <v/>
      </c>
      <c r="F235" t="str">
        <f>IF([1]Sheet1!F271="","",[1]Sheet1!F271)</f>
        <v/>
      </c>
      <c r="G235" t="str">
        <f>IF([1]Sheet1!G271="","",[1]Sheet1!G271)</f>
        <v/>
      </c>
      <c r="H235" t="str">
        <f>IF([1]Sheet1!H271="","",[1]Sheet1!H271)</f>
        <v/>
      </c>
      <c r="I235" t="str">
        <f>IF([1]Sheet1!I271="","",[1]Sheet1!I271)</f>
        <v/>
      </c>
      <c r="J235" t="str">
        <f>IF([1]Sheet1!J271="","",[1]Sheet1!J271)</f>
        <v/>
      </c>
      <c r="K235" t="str">
        <f>IF([1]Sheet1!K271="","",[1]Sheet1!K271)</f>
        <v/>
      </c>
      <c r="L235" t="str">
        <f>IF([1]Sheet1!L271="","",[1]Sheet1!L271)</f>
        <v/>
      </c>
      <c r="M235" t="str">
        <f>IF([1]Sheet1!M271="","",[1]Sheet1!M271)</f>
        <v/>
      </c>
      <c r="N235" t="str">
        <f>IF([1]Sheet1!N271="","",[1]Sheet1!N271)</f>
        <v/>
      </c>
      <c r="O235" t="str">
        <f>IF([1]Sheet1!O271="","",[1]Sheet1!O271)</f>
        <v/>
      </c>
      <c r="P235" t="str">
        <f>IF([1]Sheet1!P271="","",[1]Sheet1!P271)</f>
        <v/>
      </c>
    </row>
    <row r="236" spans="1:16" x14ac:dyDescent="0.25">
      <c r="A236" t="str">
        <f>IF([1]Sheet1!A272="","",[1]Sheet1!A272)</f>
        <v/>
      </c>
      <c r="B236" t="str">
        <f>IF([1]Sheet1!B272="","",[1]Sheet1!B272)</f>
        <v/>
      </c>
      <c r="C236" t="str">
        <f>IF([1]Sheet1!C272="","",[1]Sheet1!C272)</f>
        <v/>
      </c>
      <c r="D236" t="str">
        <f>IF([1]Sheet1!D272="","",[1]Sheet1!D272)</f>
        <v/>
      </c>
      <c r="E236" t="str">
        <f>IF([1]Sheet1!E272="","",[1]Sheet1!E272)</f>
        <v/>
      </c>
      <c r="F236" t="str">
        <f>IF([1]Sheet1!F272="","",[1]Sheet1!F272)</f>
        <v/>
      </c>
      <c r="G236" t="str">
        <f>IF([1]Sheet1!G272="","",[1]Sheet1!G272)</f>
        <v/>
      </c>
      <c r="H236" t="str">
        <f>IF([1]Sheet1!H272="","",[1]Sheet1!H272)</f>
        <v/>
      </c>
      <c r="I236" t="str">
        <f>IF([1]Sheet1!I272="","",[1]Sheet1!I272)</f>
        <v/>
      </c>
      <c r="J236" t="str">
        <f>IF([1]Sheet1!J272="","",[1]Sheet1!J272)</f>
        <v/>
      </c>
      <c r="K236" t="str">
        <f>IF([1]Sheet1!K272="","",[1]Sheet1!K272)</f>
        <v/>
      </c>
      <c r="L236" t="str">
        <f>IF([1]Sheet1!L272="","",[1]Sheet1!L272)</f>
        <v/>
      </c>
      <c r="M236" t="str">
        <f>IF([1]Sheet1!M272="","",[1]Sheet1!M272)</f>
        <v/>
      </c>
      <c r="N236" t="str">
        <f>IF([1]Sheet1!N272="","",[1]Sheet1!N272)</f>
        <v/>
      </c>
      <c r="O236" t="str">
        <f>IF([1]Sheet1!O272="","",[1]Sheet1!O272)</f>
        <v/>
      </c>
      <c r="P236" t="str">
        <f>IF([1]Sheet1!P272="","",[1]Sheet1!P272)</f>
        <v/>
      </c>
    </row>
    <row r="237" spans="1:16" x14ac:dyDescent="0.25">
      <c r="A237" t="str">
        <f>IF([1]Sheet1!A273="","",[1]Sheet1!A273)</f>
        <v/>
      </c>
      <c r="B237" t="str">
        <f>IF([1]Sheet1!B273="","",[1]Sheet1!B273)</f>
        <v/>
      </c>
      <c r="C237" t="str">
        <f>IF([1]Sheet1!C273="","",[1]Sheet1!C273)</f>
        <v/>
      </c>
      <c r="D237" t="str">
        <f>IF([1]Sheet1!D273="","",[1]Sheet1!D273)</f>
        <v/>
      </c>
      <c r="E237" t="str">
        <f>IF([1]Sheet1!E273="","",[1]Sheet1!E273)</f>
        <v/>
      </c>
      <c r="F237" t="str">
        <f>IF([1]Sheet1!F273="","",[1]Sheet1!F273)</f>
        <v/>
      </c>
      <c r="G237" t="str">
        <f>IF([1]Sheet1!G273="","",[1]Sheet1!G273)</f>
        <v/>
      </c>
      <c r="H237" t="str">
        <f>IF([1]Sheet1!H273="","",[1]Sheet1!H273)</f>
        <v/>
      </c>
      <c r="I237" t="str">
        <f>IF([1]Sheet1!I273="","",[1]Sheet1!I273)</f>
        <v/>
      </c>
      <c r="J237" t="str">
        <f>IF([1]Sheet1!J273="","",[1]Sheet1!J273)</f>
        <v/>
      </c>
      <c r="K237" t="str">
        <f>IF([1]Sheet1!K273="","",[1]Sheet1!K273)</f>
        <v/>
      </c>
      <c r="L237" t="str">
        <f>IF([1]Sheet1!L273="","",[1]Sheet1!L273)</f>
        <v/>
      </c>
      <c r="M237" t="str">
        <f>IF([1]Sheet1!M273="","",[1]Sheet1!M273)</f>
        <v/>
      </c>
      <c r="N237" t="str">
        <f>IF([1]Sheet1!N273="","",[1]Sheet1!N273)</f>
        <v/>
      </c>
      <c r="O237" t="str">
        <f>IF([1]Sheet1!O273="","",[1]Sheet1!O273)</f>
        <v/>
      </c>
      <c r="P237" t="str">
        <f>IF([1]Sheet1!P273="","",[1]Sheet1!P273)</f>
        <v/>
      </c>
    </row>
    <row r="238" spans="1:16" x14ac:dyDescent="0.25">
      <c r="A238" t="str">
        <f>IF([1]Sheet1!A274="","",[1]Sheet1!A274)</f>
        <v/>
      </c>
      <c r="B238" t="str">
        <f>IF([1]Sheet1!B274="","",[1]Sheet1!B274)</f>
        <v/>
      </c>
      <c r="C238" t="str">
        <f>IF([1]Sheet1!C274="","",[1]Sheet1!C274)</f>
        <v/>
      </c>
      <c r="D238" t="str">
        <f>IF([1]Sheet1!D274="","",[1]Sheet1!D274)</f>
        <v/>
      </c>
      <c r="E238" t="str">
        <f>IF([1]Sheet1!E274="","",[1]Sheet1!E274)</f>
        <v/>
      </c>
      <c r="F238" t="str">
        <f>IF([1]Sheet1!F274="","",[1]Sheet1!F274)</f>
        <v/>
      </c>
      <c r="G238" t="str">
        <f>IF([1]Sheet1!G274="","",[1]Sheet1!G274)</f>
        <v/>
      </c>
      <c r="H238" t="str">
        <f>IF([1]Sheet1!H274="","",[1]Sheet1!H274)</f>
        <v/>
      </c>
      <c r="I238" t="str">
        <f>IF([1]Sheet1!I274="","",[1]Sheet1!I274)</f>
        <v/>
      </c>
      <c r="J238" t="str">
        <f>IF([1]Sheet1!J274="","",[1]Sheet1!J274)</f>
        <v/>
      </c>
      <c r="K238" t="str">
        <f>IF([1]Sheet1!K274="","",[1]Sheet1!K274)</f>
        <v/>
      </c>
      <c r="L238" t="str">
        <f>IF([1]Sheet1!L274="","",[1]Sheet1!L274)</f>
        <v/>
      </c>
      <c r="M238" t="str">
        <f>IF([1]Sheet1!M274="","",[1]Sheet1!M274)</f>
        <v/>
      </c>
      <c r="N238" t="str">
        <f>IF([1]Sheet1!N274="","",[1]Sheet1!N274)</f>
        <v/>
      </c>
      <c r="O238" t="str">
        <f>IF([1]Sheet1!O274="","",[1]Sheet1!O274)</f>
        <v/>
      </c>
      <c r="P238" t="str">
        <f>IF([1]Sheet1!P274="","",[1]Sheet1!P274)</f>
        <v/>
      </c>
    </row>
    <row r="239" spans="1:16" x14ac:dyDescent="0.25">
      <c r="A239" t="str">
        <f>IF([1]Sheet1!A275="","",[1]Sheet1!A275)</f>
        <v/>
      </c>
      <c r="B239" t="str">
        <f>IF([1]Sheet1!B275="","",[1]Sheet1!B275)</f>
        <v/>
      </c>
      <c r="C239" t="str">
        <f>IF([1]Sheet1!C275="","",[1]Sheet1!C275)</f>
        <v/>
      </c>
      <c r="D239" t="str">
        <f>IF([1]Sheet1!D275="","",[1]Sheet1!D275)</f>
        <v/>
      </c>
      <c r="E239" t="str">
        <f>IF([1]Sheet1!E275="","",[1]Sheet1!E275)</f>
        <v/>
      </c>
      <c r="F239" t="str">
        <f>IF([1]Sheet1!F275="","",[1]Sheet1!F275)</f>
        <v/>
      </c>
      <c r="G239" t="str">
        <f>IF([1]Sheet1!G275="","",[1]Sheet1!G275)</f>
        <v/>
      </c>
      <c r="H239" t="str">
        <f>IF([1]Sheet1!H275="","",[1]Sheet1!H275)</f>
        <v/>
      </c>
      <c r="I239" t="str">
        <f>IF([1]Sheet1!I275="","",[1]Sheet1!I275)</f>
        <v/>
      </c>
      <c r="J239" t="str">
        <f>IF([1]Sheet1!J275="","",[1]Sheet1!J275)</f>
        <v/>
      </c>
      <c r="K239" t="str">
        <f>IF([1]Sheet1!K275="","",[1]Sheet1!K275)</f>
        <v/>
      </c>
      <c r="L239" t="str">
        <f>IF([1]Sheet1!L275="","",[1]Sheet1!L275)</f>
        <v/>
      </c>
      <c r="M239" t="str">
        <f>IF([1]Sheet1!M275="","",[1]Sheet1!M275)</f>
        <v/>
      </c>
      <c r="N239" t="str">
        <f>IF([1]Sheet1!N275="","",[1]Sheet1!N275)</f>
        <v/>
      </c>
      <c r="O239" t="str">
        <f>IF([1]Sheet1!O275="","",[1]Sheet1!O275)</f>
        <v/>
      </c>
      <c r="P239" t="str">
        <f>IF([1]Sheet1!P275="","",[1]Sheet1!P275)</f>
        <v/>
      </c>
    </row>
    <row r="240" spans="1:16" x14ac:dyDescent="0.25">
      <c r="A240" t="str">
        <f>IF([1]Sheet1!A276="","",[1]Sheet1!A276)</f>
        <v/>
      </c>
      <c r="B240" t="str">
        <f>IF([1]Sheet1!B276="","",[1]Sheet1!B276)</f>
        <v/>
      </c>
      <c r="C240" t="str">
        <f>IF([1]Sheet1!C276="","",[1]Sheet1!C276)</f>
        <v/>
      </c>
      <c r="D240" t="str">
        <f>IF([1]Sheet1!D276="","",[1]Sheet1!D276)</f>
        <v/>
      </c>
      <c r="E240" t="str">
        <f>IF([1]Sheet1!E276="","",[1]Sheet1!E276)</f>
        <v/>
      </c>
      <c r="F240" t="str">
        <f>IF([1]Sheet1!F276="","",[1]Sheet1!F276)</f>
        <v/>
      </c>
      <c r="G240" t="str">
        <f>IF([1]Sheet1!G276="","",[1]Sheet1!G276)</f>
        <v/>
      </c>
      <c r="H240" t="str">
        <f>IF([1]Sheet1!H276="","",[1]Sheet1!H276)</f>
        <v/>
      </c>
      <c r="I240" t="str">
        <f>IF([1]Sheet1!I276="","",[1]Sheet1!I276)</f>
        <v/>
      </c>
      <c r="J240" t="str">
        <f>IF([1]Sheet1!J276="","",[1]Sheet1!J276)</f>
        <v/>
      </c>
      <c r="K240" t="str">
        <f>IF([1]Sheet1!K276="","",[1]Sheet1!K276)</f>
        <v/>
      </c>
      <c r="L240" t="str">
        <f>IF([1]Sheet1!L276="","",[1]Sheet1!L276)</f>
        <v/>
      </c>
      <c r="M240" t="str">
        <f>IF([1]Sheet1!M276="","",[1]Sheet1!M276)</f>
        <v/>
      </c>
      <c r="N240" t="str">
        <f>IF([1]Sheet1!N276="","",[1]Sheet1!N276)</f>
        <v/>
      </c>
      <c r="O240" t="str">
        <f>IF([1]Sheet1!O276="","",[1]Sheet1!O276)</f>
        <v/>
      </c>
      <c r="P240" t="str">
        <f>IF([1]Sheet1!P276="","",[1]Sheet1!P276)</f>
        <v/>
      </c>
    </row>
    <row r="241" spans="1:16" x14ac:dyDescent="0.25">
      <c r="A241" t="str">
        <f>IF([1]Sheet1!A277="","",[1]Sheet1!A277)</f>
        <v/>
      </c>
      <c r="B241" t="str">
        <f>IF([1]Sheet1!B277="","",[1]Sheet1!B277)</f>
        <v/>
      </c>
      <c r="C241" t="str">
        <f>IF([1]Sheet1!C277="","",[1]Sheet1!C277)</f>
        <v/>
      </c>
      <c r="D241" t="str">
        <f>IF([1]Sheet1!D277="","",[1]Sheet1!D277)</f>
        <v/>
      </c>
      <c r="E241" t="str">
        <f>IF([1]Sheet1!E277="","",[1]Sheet1!E277)</f>
        <v/>
      </c>
      <c r="F241" t="str">
        <f>IF([1]Sheet1!F277="","",[1]Sheet1!F277)</f>
        <v/>
      </c>
      <c r="G241" t="str">
        <f>IF([1]Sheet1!G277="","",[1]Sheet1!G277)</f>
        <v/>
      </c>
      <c r="H241" t="str">
        <f>IF([1]Sheet1!H277="","",[1]Sheet1!H277)</f>
        <v/>
      </c>
      <c r="I241" t="str">
        <f>IF([1]Sheet1!I277="","",[1]Sheet1!I277)</f>
        <v/>
      </c>
      <c r="J241" t="str">
        <f>IF([1]Sheet1!J277="","",[1]Sheet1!J277)</f>
        <v/>
      </c>
      <c r="K241" t="str">
        <f>IF([1]Sheet1!K277="","",[1]Sheet1!K277)</f>
        <v/>
      </c>
      <c r="L241" t="str">
        <f>IF([1]Sheet1!L277="","",[1]Sheet1!L277)</f>
        <v/>
      </c>
      <c r="M241" t="str">
        <f>IF([1]Sheet1!M277="","",[1]Sheet1!M277)</f>
        <v/>
      </c>
      <c r="N241" t="str">
        <f>IF([1]Sheet1!N277="","",[1]Sheet1!N277)</f>
        <v/>
      </c>
      <c r="O241" t="str">
        <f>IF([1]Sheet1!O277="","",[1]Sheet1!O277)</f>
        <v/>
      </c>
      <c r="P241" t="str">
        <f>IF([1]Sheet1!P277="","",[1]Sheet1!P277)</f>
        <v/>
      </c>
    </row>
    <row r="242" spans="1:16" x14ac:dyDescent="0.25">
      <c r="A242" t="str">
        <f>IF([1]Sheet1!A278="","",[1]Sheet1!A278)</f>
        <v/>
      </c>
      <c r="B242" t="str">
        <f>IF([1]Sheet1!B278="","",[1]Sheet1!B278)</f>
        <v/>
      </c>
      <c r="C242" t="str">
        <f>IF([1]Sheet1!C278="","",[1]Sheet1!C278)</f>
        <v/>
      </c>
      <c r="D242" t="str">
        <f>IF([1]Sheet1!D278="","",[1]Sheet1!D278)</f>
        <v/>
      </c>
      <c r="E242" t="str">
        <f>IF([1]Sheet1!E278="","",[1]Sheet1!E278)</f>
        <v/>
      </c>
      <c r="F242" t="str">
        <f>IF([1]Sheet1!F278="","",[1]Sheet1!F278)</f>
        <v/>
      </c>
      <c r="G242" t="str">
        <f>IF([1]Sheet1!G278="","",[1]Sheet1!G278)</f>
        <v/>
      </c>
      <c r="H242" t="str">
        <f>IF([1]Sheet1!H278="","",[1]Sheet1!H278)</f>
        <v/>
      </c>
      <c r="I242" t="str">
        <f>IF([1]Sheet1!I278="","",[1]Sheet1!I278)</f>
        <v/>
      </c>
      <c r="J242" t="str">
        <f>IF([1]Sheet1!J278="","",[1]Sheet1!J278)</f>
        <v/>
      </c>
      <c r="K242" t="str">
        <f>IF([1]Sheet1!K278="","",[1]Sheet1!K278)</f>
        <v/>
      </c>
      <c r="L242" t="str">
        <f>IF([1]Sheet1!L278="","",[1]Sheet1!L278)</f>
        <v/>
      </c>
      <c r="M242" t="str">
        <f>IF([1]Sheet1!M278="","",[1]Sheet1!M278)</f>
        <v/>
      </c>
      <c r="N242" t="str">
        <f>IF([1]Sheet1!N278="","",[1]Sheet1!N278)</f>
        <v/>
      </c>
      <c r="O242" t="str">
        <f>IF([1]Sheet1!O278="","",[1]Sheet1!O278)</f>
        <v/>
      </c>
      <c r="P242" t="str">
        <f>IF([1]Sheet1!P278="","",[1]Sheet1!P278)</f>
        <v/>
      </c>
    </row>
    <row r="243" spans="1:16" x14ac:dyDescent="0.25">
      <c r="A243" t="str">
        <f>IF([1]Sheet1!A279="","",[1]Sheet1!A279)</f>
        <v/>
      </c>
      <c r="B243" t="str">
        <f>IF([1]Sheet1!B279="","",[1]Sheet1!B279)</f>
        <v/>
      </c>
      <c r="C243" t="str">
        <f>IF([1]Sheet1!C279="","",[1]Sheet1!C279)</f>
        <v/>
      </c>
      <c r="D243" t="str">
        <f>IF([1]Sheet1!D279="","",[1]Sheet1!D279)</f>
        <v/>
      </c>
      <c r="E243" t="str">
        <f>IF([1]Sheet1!E279="","",[1]Sheet1!E279)</f>
        <v/>
      </c>
      <c r="F243" t="str">
        <f>IF([1]Sheet1!F279="","",[1]Sheet1!F279)</f>
        <v/>
      </c>
      <c r="G243" t="str">
        <f>IF([1]Sheet1!G279="","",[1]Sheet1!G279)</f>
        <v/>
      </c>
      <c r="H243" t="str">
        <f>IF([1]Sheet1!H279="","",[1]Sheet1!H279)</f>
        <v/>
      </c>
      <c r="I243" t="str">
        <f>IF([1]Sheet1!I279="","",[1]Sheet1!I279)</f>
        <v/>
      </c>
      <c r="J243" t="str">
        <f>IF([1]Sheet1!J279="","",[1]Sheet1!J279)</f>
        <v/>
      </c>
      <c r="K243" t="str">
        <f>IF([1]Sheet1!K279="","",[1]Sheet1!K279)</f>
        <v/>
      </c>
      <c r="L243" t="str">
        <f>IF([1]Sheet1!L279="","",[1]Sheet1!L279)</f>
        <v/>
      </c>
      <c r="M243" t="str">
        <f>IF([1]Sheet1!M279="","",[1]Sheet1!M279)</f>
        <v/>
      </c>
      <c r="N243" t="str">
        <f>IF([1]Sheet1!N279="","",[1]Sheet1!N279)</f>
        <v/>
      </c>
      <c r="O243" t="str">
        <f>IF([1]Sheet1!O279="","",[1]Sheet1!O279)</f>
        <v/>
      </c>
      <c r="P243" t="str">
        <f>IF([1]Sheet1!P279="","",[1]Sheet1!P279)</f>
        <v/>
      </c>
    </row>
    <row r="244" spans="1:16" x14ac:dyDescent="0.25">
      <c r="A244" t="str">
        <f>IF([1]Sheet1!A280="","",[1]Sheet1!A280)</f>
        <v/>
      </c>
      <c r="B244" t="str">
        <f>IF([1]Sheet1!B280="","",[1]Sheet1!B280)</f>
        <v/>
      </c>
      <c r="C244" t="str">
        <f>IF([1]Sheet1!C280="","",[1]Sheet1!C280)</f>
        <v/>
      </c>
      <c r="D244" t="str">
        <f>IF([1]Sheet1!D280="","",[1]Sheet1!D280)</f>
        <v/>
      </c>
      <c r="E244" t="str">
        <f>IF([1]Sheet1!E280="","",[1]Sheet1!E280)</f>
        <v/>
      </c>
      <c r="F244" t="str">
        <f>IF([1]Sheet1!F280="","",[1]Sheet1!F280)</f>
        <v/>
      </c>
      <c r="G244" t="str">
        <f>IF([1]Sheet1!G280="","",[1]Sheet1!G280)</f>
        <v/>
      </c>
      <c r="H244" t="str">
        <f>IF([1]Sheet1!H280="","",[1]Sheet1!H280)</f>
        <v/>
      </c>
      <c r="I244" t="str">
        <f>IF([1]Sheet1!I280="","",[1]Sheet1!I280)</f>
        <v/>
      </c>
      <c r="J244" t="str">
        <f>IF([1]Sheet1!J280="","",[1]Sheet1!J280)</f>
        <v/>
      </c>
      <c r="K244" t="str">
        <f>IF([1]Sheet1!K280="","",[1]Sheet1!K280)</f>
        <v/>
      </c>
      <c r="L244" t="str">
        <f>IF([1]Sheet1!L280="","",[1]Sheet1!L280)</f>
        <v/>
      </c>
      <c r="M244" t="str">
        <f>IF([1]Sheet1!M280="","",[1]Sheet1!M280)</f>
        <v/>
      </c>
      <c r="N244" t="str">
        <f>IF([1]Sheet1!N280="","",[1]Sheet1!N280)</f>
        <v/>
      </c>
      <c r="O244" t="str">
        <f>IF([1]Sheet1!O280="","",[1]Sheet1!O280)</f>
        <v/>
      </c>
      <c r="P244" t="str">
        <f>IF([1]Sheet1!P280="","",[1]Sheet1!P280)</f>
        <v/>
      </c>
    </row>
    <row r="245" spans="1:16" x14ac:dyDescent="0.25">
      <c r="A245" t="str">
        <f>IF([1]Sheet1!A281="","",[1]Sheet1!A281)</f>
        <v/>
      </c>
      <c r="B245" t="str">
        <f>IF([1]Sheet1!B281="","",[1]Sheet1!B281)</f>
        <v/>
      </c>
      <c r="C245" t="str">
        <f>IF([1]Sheet1!C281="","",[1]Sheet1!C281)</f>
        <v/>
      </c>
      <c r="D245" t="str">
        <f>IF([1]Sheet1!D281="","",[1]Sheet1!D281)</f>
        <v/>
      </c>
      <c r="E245" t="str">
        <f>IF([1]Sheet1!E281="","",[1]Sheet1!E281)</f>
        <v/>
      </c>
      <c r="F245" t="str">
        <f>IF([1]Sheet1!F281="","",[1]Sheet1!F281)</f>
        <v/>
      </c>
      <c r="G245" t="str">
        <f>IF([1]Sheet1!G281="","",[1]Sheet1!G281)</f>
        <v/>
      </c>
      <c r="H245" t="str">
        <f>IF([1]Sheet1!H281="","",[1]Sheet1!H281)</f>
        <v/>
      </c>
      <c r="I245" t="str">
        <f>IF([1]Sheet1!I281="","",[1]Sheet1!I281)</f>
        <v/>
      </c>
      <c r="J245" t="str">
        <f>IF([1]Sheet1!J281="","",[1]Sheet1!J281)</f>
        <v/>
      </c>
      <c r="K245" t="str">
        <f>IF([1]Sheet1!K281="","",[1]Sheet1!K281)</f>
        <v/>
      </c>
      <c r="L245" t="str">
        <f>IF([1]Sheet1!L281="","",[1]Sheet1!L281)</f>
        <v/>
      </c>
      <c r="M245" t="str">
        <f>IF([1]Sheet1!M281="","",[1]Sheet1!M281)</f>
        <v/>
      </c>
      <c r="N245" t="str">
        <f>IF([1]Sheet1!N281="","",[1]Sheet1!N281)</f>
        <v/>
      </c>
      <c r="O245" t="str">
        <f>IF([1]Sheet1!O281="","",[1]Sheet1!O281)</f>
        <v/>
      </c>
      <c r="P245" t="str">
        <f>IF([1]Sheet1!P281="","",[1]Sheet1!P281)</f>
        <v/>
      </c>
    </row>
    <row r="246" spans="1:16" x14ac:dyDescent="0.25">
      <c r="A246" t="str">
        <f>IF([1]Sheet1!A282="","",[1]Sheet1!A282)</f>
        <v/>
      </c>
      <c r="B246" t="str">
        <f>IF([1]Sheet1!B282="","",[1]Sheet1!B282)</f>
        <v/>
      </c>
      <c r="C246" t="str">
        <f>IF([1]Sheet1!C282="","",[1]Sheet1!C282)</f>
        <v/>
      </c>
      <c r="D246" t="str">
        <f>IF([1]Sheet1!D282="","",[1]Sheet1!D282)</f>
        <v/>
      </c>
      <c r="E246" t="str">
        <f>IF([1]Sheet1!E282="","",[1]Sheet1!E282)</f>
        <v/>
      </c>
      <c r="F246" t="str">
        <f>IF([1]Sheet1!F282="","",[1]Sheet1!F282)</f>
        <v/>
      </c>
      <c r="G246" t="str">
        <f>IF([1]Sheet1!G282="","",[1]Sheet1!G282)</f>
        <v/>
      </c>
      <c r="H246" t="str">
        <f>IF([1]Sheet1!H282="","",[1]Sheet1!H282)</f>
        <v/>
      </c>
      <c r="I246" t="str">
        <f>IF([1]Sheet1!I282="","",[1]Sheet1!I282)</f>
        <v/>
      </c>
      <c r="J246" t="str">
        <f>IF([1]Sheet1!J282="","",[1]Sheet1!J282)</f>
        <v/>
      </c>
      <c r="K246" t="str">
        <f>IF([1]Sheet1!K282="","",[1]Sheet1!K282)</f>
        <v/>
      </c>
      <c r="L246" t="str">
        <f>IF([1]Sheet1!L282="","",[1]Sheet1!L282)</f>
        <v/>
      </c>
      <c r="M246" t="str">
        <f>IF([1]Sheet1!M282="","",[1]Sheet1!M282)</f>
        <v/>
      </c>
      <c r="N246" t="str">
        <f>IF([1]Sheet1!N282="","",[1]Sheet1!N282)</f>
        <v/>
      </c>
      <c r="O246" t="str">
        <f>IF([1]Sheet1!O282="","",[1]Sheet1!O282)</f>
        <v/>
      </c>
      <c r="P246" t="str">
        <f>IF([1]Sheet1!P282="","",[1]Sheet1!P282)</f>
        <v/>
      </c>
    </row>
    <row r="247" spans="1:16" x14ac:dyDescent="0.25">
      <c r="A247" t="str">
        <f>IF([1]Sheet1!A283="","",[1]Sheet1!A283)</f>
        <v/>
      </c>
      <c r="B247" t="str">
        <f>IF([1]Sheet1!B283="","",[1]Sheet1!B283)</f>
        <v/>
      </c>
      <c r="C247" t="str">
        <f>IF([1]Sheet1!C283="","",[1]Sheet1!C283)</f>
        <v/>
      </c>
      <c r="D247" t="str">
        <f>IF([1]Sheet1!D283="","",[1]Sheet1!D283)</f>
        <v/>
      </c>
      <c r="E247" t="str">
        <f>IF([1]Sheet1!E283="","",[1]Sheet1!E283)</f>
        <v/>
      </c>
      <c r="F247" t="str">
        <f>IF([1]Sheet1!F283="","",[1]Sheet1!F283)</f>
        <v/>
      </c>
      <c r="G247" t="str">
        <f>IF([1]Sheet1!G283="","",[1]Sheet1!G283)</f>
        <v/>
      </c>
      <c r="H247" t="str">
        <f>IF([1]Sheet1!H283="","",[1]Sheet1!H283)</f>
        <v/>
      </c>
      <c r="I247" t="str">
        <f>IF([1]Sheet1!I283="","",[1]Sheet1!I283)</f>
        <v/>
      </c>
      <c r="J247" t="str">
        <f>IF([1]Sheet1!J283="","",[1]Sheet1!J283)</f>
        <v/>
      </c>
      <c r="K247" t="str">
        <f>IF([1]Sheet1!K283="","",[1]Sheet1!K283)</f>
        <v/>
      </c>
      <c r="L247" t="str">
        <f>IF([1]Sheet1!L283="","",[1]Sheet1!L283)</f>
        <v/>
      </c>
      <c r="M247" t="str">
        <f>IF([1]Sheet1!M283="","",[1]Sheet1!M283)</f>
        <v/>
      </c>
      <c r="N247" t="str">
        <f>IF([1]Sheet1!N283="","",[1]Sheet1!N283)</f>
        <v/>
      </c>
      <c r="O247" t="str">
        <f>IF([1]Sheet1!O283="","",[1]Sheet1!O283)</f>
        <v/>
      </c>
      <c r="P247" t="str">
        <f>IF([1]Sheet1!P283="","",[1]Sheet1!P283)</f>
        <v/>
      </c>
    </row>
    <row r="248" spans="1:16" x14ac:dyDescent="0.25">
      <c r="A248" t="str">
        <f>IF([1]Sheet1!A284="","",[1]Sheet1!A284)</f>
        <v/>
      </c>
      <c r="B248" t="str">
        <f>IF([1]Sheet1!B284="","",[1]Sheet1!B284)</f>
        <v/>
      </c>
      <c r="C248" t="str">
        <f>IF([1]Sheet1!C284="","",[1]Sheet1!C284)</f>
        <v/>
      </c>
      <c r="D248" t="str">
        <f>IF([1]Sheet1!D284="","",[1]Sheet1!D284)</f>
        <v/>
      </c>
      <c r="E248" t="str">
        <f>IF([1]Sheet1!E284="","",[1]Sheet1!E284)</f>
        <v/>
      </c>
      <c r="F248" t="str">
        <f>IF([1]Sheet1!F284="","",[1]Sheet1!F284)</f>
        <v/>
      </c>
      <c r="G248" t="str">
        <f>IF([1]Sheet1!G284="","",[1]Sheet1!G284)</f>
        <v/>
      </c>
      <c r="H248" t="str">
        <f>IF([1]Sheet1!H284="","",[1]Sheet1!H284)</f>
        <v/>
      </c>
      <c r="I248" t="str">
        <f>IF([1]Sheet1!I284="","",[1]Sheet1!I284)</f>
        <v/>
      </c>
      <c r="J248" t="str">
        <f>IF([1]Sheet1!J284="","",[1]Sheet1!J284)</f>
        <v/>
      </c>
      <c r="K248" t="str">
        <f>IF([1]Sheet1!K284="","",[1]Sheet1!K284)</f>
        <v/>
      </c>
      <c r="L248" t="str">
        <f>IF([1]Sheet1!L284="","",[1]Sheet1!L284)</f>
        <v/>
      </c>
      <c r="M248" t="str">
        <f>IF([1]Sheet1!M284="","",[1]Sheet1!M284)</f>
        <v/>
      </c>
      <c r="N248" t="str">
        <f>IF([1]Sheet1!N284="","",[1]Sheet1!N284)</f>
        <v/>
      </c>
      <c r="O248" t="str">
        <f>IF([1]Sheet1!O284="","",[1]Sheet1!O284)</f>
        <v/>
      </c>
      <c r="P248" t="str">
        <f>IF([1]Sheet1!P284="","",[1]Sheet1!P284)</f>
        <v/>
      </c>
    </row>
    <row r="249" spans="1:16" x14ac:dyDescent="0.25">
      <c r="A249" t="str">
        <f>IF([1]Sheet1!A285="","",[1]Sheet1!A285)</f>
        <v/>
      </c>
      <c r="B249" t="str">
        <f>IF([1]Sheet1!B285="","",[1]Sheet1!B285)</f>
        <v/>
      </c>
      <c r="C249" t="str">
        <f>IF([1]Sheet1!C285="","",[1]Sheet1!C285)</f>
        <v/>
      </c>
      <c r="D249" t="str">
        <f>IF([1]Sheet1!D285="","",[1]Sheet1!D285)</f>
        <v/>
      </c>
      <c r="E249" t="str">
        <f>IF([1]Sheet1!E285="","",[1]Sheet1!E285)</f>
        <v/>
      </c>
      <c r="F249" t="str">
        <f>IF([1]Sheet1!F285="","",[1]Sheet1!F285)</f>
        <v/>
      </c>
      <c r="G249" t="str">
        <f>IF([1]Sheet1!G285="","",[1]Sheet1!G285)</f>
        <v/>
      </c>
      <c r="H249" t="str">
        <f>IF([1]Sheet1!H285="","",[1]Sheet1!H285)</f>
        <v/>
      </c>
      <c r="I249" t="str">
        <f>IF([1]Sheet1!I285="","",[1]Sheet1!I285)</f>
        <v/>
      </c>
      <c r="J249" t="str">
        <f>IF([1]Sheet1!J285="","",[1]Sheet1!J285)</f>
        <v/>
      </c>
      <c r="K249" t="str">
        <f>IF([1]Sheet1!K285="","",[1]Sheet1!K285)</f>
        <v/>
      </c>
      <c r="L249" t="str">
        <f>IF([1]Sheet1!L285="","",[1]Sheet1!L285)</f>
        <v/>
      </c>
      <c r="M249" t="str">
        <f>IF([1]Sheet1!M285="","",[1]Sheet1!M285)</f>
        <v/>
      </c>
      <c r="N249" t="str">
        <f>IF([1]Sheet1!N285="","",[1]Sheet1!N285)</f>
        <v/>
      </c>
      <c r="O249" t="str">
        <f>IF([1]Sheet1!O285="","",[1]Sheet1!O285)</f>
        <v/>
      </c>
      <c r="P249" t="str">
        <f>IF([1]Sheet1!P285="","",[1]Sheet1!P285)</f>
        <v/>
      </c>
    </row>
    <row r="250" spans="1:16" x14ac:dyDescent="0.25">
      <c r="A250" t="str">
        <f>IF([1]Sheet1!A286="","",[1]Sheet1!A286)</f>
        <v/>
      </c>
      <c r="B250" t="str">
        <f>IF([1]Sheet1!B286="","",[1]Sheet1!B286)</f>
        <v/>
      </c>
      <c r="C250" t="str">
        <f>IF([1]Sheet1!C286="","",[1]Sheet1!C286)</f>
        <v/>
      </c>
      <c r="D250" t="str">
        <f>IF([1]Sheet1!D286="","",[1]Sheet1!D286)</f>
        <v/>
      </c>
      <c r="E250" t="str">
        <f>IF([1]Sheet1!E286="","",[1]Sheet1!E286)</f>
        <v/>
      </c>
      <c r="F250" t="str">
        <f>IF([1]Sheet1!F286="","",[1]Sheet1!F286)</f>
        <v/>
      </c>
      <c r="G250" t="str">
        <f>IF([1]Sheet1!G286="","",[1]Sheet1!G286)</f>
        <v/>
      </c>
      <c r="H250" t="str">
        <f>IF([1]Sheet1!H286="","",[1]Sheet1!H286)</f>
        <v/>
      </c>
      <c r="I250" t="str">
        <f>IF([1]Sheet1!I286="","",[1]Sheet1!I286)</f>
        <v/>
      </c>
      <c r="J250" t="str">
        <f>IF([1]Sheet1!J286="","",[1]Sheet1!J286)</f>
        <v/>
      </c>
      <c r="K250" t="str">
        <f>IF([1]Sheet1!K286="","",[1]Sheet1!K286)</f>
        <v/>
      </c>
      <c r="L250" t="str">
        <f>IF([1]Sheet1!L286="","",[1]Sheet1!L286)</f>
        <v/>
      </c>
      <c r="M250" t="str">
        <f>IF([1]Sheet1!M286="","",[1]Sheet1!M286)</f>
        <v/>
      </c>
      <c r="N250" t="str">
        <f>IF([1]Sheet1!N286="","",[1]Sheet1!N286)</f>
        <v/>
      </c>
      <c r="O250" t="str">
        <f>IF([1]Sheet1!O286="","",[1]Sheet1!O286)</f>
        <v/>
      </c>
      <c r="P250" t="str">
        <f>IF([1]Sheet1!P286="","",[1]Sheet1!P286)</f>
        <v/>
      </c>
    </row>
    <row r="251" spans="1:16" x14ac:dyDescent="0.25">
      <c r="A251" t="str">
        <f>IF([1]Sheet1!A287="","",[1]Sheet1!A287)</f>
        <v/>
      </c>
      <c r="B251" t="str">
        <f>IF([1]Sheet1!B287="","",[1]Sheet1!B287)</f>
        <v/>
      </c>
      <c r="C251" t="str">
        <f>IF([1]Sheet1!C287="","",[1]Sheet1!C287)</f>
        <v/>
      </c>
      <c r="D251" t="str">
        <f>IF([1]Sheet1!D287="","",[1]Sheet1!D287)</f>
        <v/>
      </c>
      <c r="E251" t="str">
        <f>IF([1]Sheet1!E287="","",[1]Sheet1!E287)</f>
        <v/>
      </c>
      <c r="F251" t="str">
        <f>IF([1]Sheet1!F287="","",[1]Sheet1!F287)</f>
        <v/>
      </c>
      <c r="G251" t="str">
        <f>IF([1]Sheet1!G287="","",[1]Sheet1!G287)</f>
        <v/>
      </c>
      <c r="H251" t="str">
        <f>IF([1]Sheet1!H287="","",[1]Sheet1!H287)</f>
        <v/>
      </c>
      <c r="I251" t="str">
        <f>IF([1]Sheet1!I287="","",[1]Sheet1!I287)</f>
        <v/>
      </c>
      <c r="J251" t="str">
        <f>IF([1]Sheet1!J287="","",[1]Sheet1!J287)</f>
        <v/>
      </c>
      <c r="K251" t="str">
        <f>IF([1]Sheet1!K287="","",[1]Sheet1!K287)</f>
        <v/>
      </c>
      <c r="L251" t="str">
        <f>IF([1]Sheet1!L287="","",[1]Sheet1!L287)</f>
        <v/>
      </c>
      <c r="M251" t="str">
        <f>IF([1]Sheet1!M287="","",[1]Sheet1!M287)</f>
        <v/>
      </c>
      <c r="N251" t="str">
        <f>IF([1]Sheet1!N287="","",[1]Sheet1!N287)</f>
        <v/>
      </c>
      <c r="O251" t="str">
        <f>IF([1]Sheet1!O287="","",[1]Sheet1!O287)</f>
        <v/>
      </c>
      <c r="P251" t="str">
        <f>IF([1]Sheet1!P287="","",[1]Sheet1!P287)</f>
        <v/>
      </c>
    </row>
    <row r="252" spans="1:16" x14ac:dyDescent="0.25">
      <c r="A252" t="str">
        <f>IF([1]Sheet1!A288="","",[1]Sheet1!A288)</f>
        <v/>
      </c>
      <c r="B252" t="str">
        <f>IF([1]Sheet1!B288="","",[1]Sheet1!B288)</f>
        <v/>
      </c>
      <c r="C252" t="str">
        <f>IF([1]Sheet1!C288="","",[1]Sheet1!C288)</f>
        <v/>
      </c>
      <c r="D252" t="str">
        <f>IF([1]Sheet1!D288="","",[1]Sheet1!D288)</f>
        <v/>
      </c>
      <c r="E252" t="str">
        <f>IF([1]Sheet1!E288="","",[1]Sheet1!E288)</f>
        <v/>
      </c>
      <c r="F252" t="str">
        <f>IF([1]Sheet1!F288="","",[1]Sheet1!F288)</f>
        <v/>
      </c>
      <c r="G252" t="str">
        <f>IF([1]Sheet1!G288="","",[1]Sheet1!G288)</f>
        <v/>
      </c>
      <c r="H252" t="str">
        <f>IF([1]Sheet1!H288="","",[1]Sheet1!H288)</f>
        <v/>
      </c>
      <c r="I252" t="str">
        <f>IF([1]Sheet1!I288="","",[1]Sheet1!I288)</f>
        <v/>
      </c>
      <c r="J252" t="str">
        <f>IF([1]Sheet1!J288="","",[1]Sheet1!J288)</f>
        <v/>
      </c>
      <c r="K252" t="str">
        <f>IF([1]Sheet1!K288="","",[1]Sheet1!K288)</f>
        <v/>
      </c>
      <c r="L252" t="str">
        <f>IF([1]Sheet1!L288="","",[1]Sheet1!L288)</f>
        <v/>
      </c>
      <c r="M252" t="str">
        <f>IF([1]Sheet1!M288="","",[1]Sheet1!M288)</f>
        <v/>
      </c>
      <c r="N252" t="str">
        <f>IF([1]Sheet1!N288="","",[1]Sheet1!N288)</f>
        <v/>
      </c>
      <c r="O252" t="str">
        <f>IF([1]Sheet1!O288="","",[1]Sheet1!O288)</f>
        <v/>
      </c>
      <c r="P252" t="str">
        <f>IF([1]Sheet1!P288="","",[1]Sheet1!P288)</f>
        <v/>
      </c>
    </row>
    <row r="253" spans="1:16" x14ac:dyDescent="0.25">
      <c r="A253" t="str">
        <f>IF([1]Sheet1!A289="","",[1]Sheet1!A289)</f>
        <v/>
      </c>
      <c r="B253" t="str">
        <f>IF([1]Sheet1!B289="","",[1]Sheet1!B289)</f>
        <v/>
      </c>
      <c r="C253" t="str">
        <f>IF([1]Sheet1!C289="","",[1]Sheet1!C289)</f>
        <v/>
      </c>
      <c r="D253" t="str">
        <f>IF([1]Sheet1!D289="","",[1]Sheet1!D289)</f>
        <v/>
      </c>
      <c r="E253" t="str">
        <f>IF([1]Sheet1!E289="","",[1]Sheet1!E289)</f>
        <v/>
      </c>
      <c r="F253" t="str">
        <f>IF([1]Sheet1!F289="","",[1]Sheet1!F289)</f>
        <v/>
      </c>
      <c r="G253" t="str">
        <f>IF([1]Sheet1!G289="","",[1]Sheet1!G289)</f>
        <v/>
      </c>
      <c r="H253" t="str">
        <f>IF([1]Sheet1!H289="","",[1]Sheet1!H289)</f>
        <v/>
      </c>
      <c r="I253" t="str">
        <f>IF([1]Sheet1!I289="","",[1]Sheet1!I289)</f>
        <v/>
      </c>
      <c r="J253" t="str">
        <f>IF([1]Sheet1!J289="","",[1]Sheet1!J289)</f>
        <v/>
      </c>
      <c r="K253" t="str">
        <f>IF([1]Sheet1!K289="","",[1]Sheet1!K289)</f>
        <v/>
      </c>
      <c r="L253" t="str">
        <f>IF([1]Sheet1!L289="","",[1]Sheet1!L289)</f>
        <v/>
      </c>
      <c r="M253" t="str">
        <f>IF([1]Sheet1!M289="","",[1]Sheet1!M289)</f>
        <v/>
      </c>
      <c r="N253" t="str">
        <f>IF([1]Sheet1!N289="","",[1]Sheet1!N289)</f>
        <v/>
      </c>
      <c r="O253" t="str">
        <f>IF([1]Sheet1!O289="","",[1]Sheet1!O289)</f>
        <v/>
      </c>
      <c r="P253" t="str">
        <f>IF([1]Sheet1!P289="","",[1]Sheet1!P289)</f>
        <v/>
      </c>
    </row>
    <row r="254" spans="1:16" x14ac:dyDescent="0.25">
      <c r="A254" t="str">
        <f>IF([1]Sheet1!A290="","",[1]Sheet1!A290)</f>
        <v/>
      </c>
      <c r="B254" t="str">
        <f>IF([1]Sheet1!B290="","",[1]Sheet1!B290)</f>
        <v/>
      </c>
      <c r="C254" t="str">
        <f>IF([1]Sheet1!C290="","",[1]Sheet1!C290)</f>
        <v/>
      </c>
      <c r="D254" t="str">
        <f>IF([1]Sheet1!D290="","",[1]Sheet1!D290)</f>
        <v/>
      </c>
      <c r="E254" t="str">
        <f>IF([1]Sheet1!E290="","",[1]Sheet1!E290)</f>
        <v/>
      </c>
      <c r="F254" t="str">
        <f>IF([1]Sheet1!F290="","",[1]Sheet1!F290)</f>
        <v/>
      </c>
      <c r="G254" t="str">
        <f>IF([1]Sheet1!G290="","",[1]Sheet1!G290)</f>
        <v/>
      </c>
      <c r="H254" t="str">
        <f>IF([1]Sheet1!H290="","",[1]Sheet1!H290)</f>
        <v/>
      </c>
      <c r="I254" t="str">
        <f>IF([1]Sheet1!I290="","",[1]Sheet1!I290)</f>
        <v/>
      </c>
      <c r="J254" t="str">
        <f>IF([1]Sheet1!J290="","",[1]Sheet1!J290)</f>
        <v/>
      </c>
      <c r="K254" t="str">
        <f>IF([1]Sheet1!K290="","",[1]Sheet1!K290)</f>
        <v/>
      </c>
      <c r="L254" t="str">
        <f>IF([1]Sheet1!L290="","",[1]Sheet1!L290)</f>
        <v/>
      </c>
      <c r="M254" t="str">
        <f>IF([1]Sheet1!M290="","",[1]Sheet1!M290)</f>
        <v/>
      </c>
      <c r="N254" t="str">
        <f>IF([1]Sheet1!N290="","",[1]Sheet1!N290)</f>
        <v/>
      </c>
      <c r="O254" t="str">
        <f>IF([1]Sheet1!O290="","",[1]Sheet1!O290)</f>
        <v/>
      </c>
      <c r="P254" t="str">
        <f>IF([1]Sheet1!P290="","",[1]Sheet1!P290)</f>
        <v/>
      </c>
    </row>
    <row r="255" spans="1:16" x14ac:dyDescent="0.25">
      <c r="A255" t="str">
        <f>IF([1]Sheet1!A291="","",[1]Sheet1!A291)</f>
        <v/>
      </c>
      <c r="B255" t="str">
        <f>IF([1]Sheet1!B291="","",[1]Sheet1!B291)</f>
        <v/>
      </c>
      <c r="C255" t="str">
        <f>IF([1]Sheet1!C291="","",[1]Sheet1!C291)</f>
        <v/>
      </c>
      <c r="D255" t="str">
        <f>IF([1]Sheet1!D291="","",[1]Sheet1!D291)</f>
        <v/>
      </c>
      <c r="E255" t="str">
        <f>IF([1]Sheet1!E291="","",[1]Sheet1!E291)</f>
        <v/>
      </c>
      <c r="F255" t="str">
        <f>IF([1]Sheet1!F291="","",[1]Sheet1!F291)</f>
        <v/>
      </c>
      <c r="G255" t="str">
        <f>IF([1]Sheet1!G291="","",[1]Sheet1!G291)</f>
        <v/>
      </c>
      <c r="H255" t="str">
        <f>IF([1]Sheet1!H291="","",[1]Sheet1!H291)</f>
        <v/>
      </c>
      <c r="I255" t="str">
        <f>IF([1]Sheet1!I291="","",[1]Sheet1!I291)</f>
        <v/>
      </c>
      <c r="J255" t="str">
        <f>IF([1]Sheet1!J291="","",[1]Sheet1!J291)</f>
        <v/>
      </c>
      <c r="K255" t="str">
        <f>IF([1]Sheet1!K291="","",[1]Sheet1!K291)</f>
        <v/>
      </c>
      <c r="L255" t="str">
        <f>IF([1]Sheet1!L291="","",[1]Sheet1!L291)</f>
        <v/>
      </c>
      <c r="M255" t="str">
        <f>IF([1]Sheet1!M291="","",[1]Sheet1!M291)</f>
        <v/>
      </c>
      <c r="N255" t="str">
        <f>IF([1]Sheet1!N291="","",[1]Sheet1!N291)</f>
        <v/>
      </c>
      <c r="O255" t="str">
        <f>IF([1]Sheet1!O291="","",[1]Sheet1!O291)</f>
        <v/>
      </c>
      <c r="P255" t="str">
        <f>IF([1]Sheet1!P291="","",[1]Sheet1!P291)</f>
        <v/>
      </c>
    </row>
    <row r="256" spans="1:16" x14ac:dyDescent="0.25">
      <c r="A256" t="str">
        <f>IF([1]Sheet1!A292="","",[1]Sheet1!A292)</f>
        <v/>
      </c>
      <c r="B256" t="str">
        <f>IF([1]Sheet1!B292="","",[1]Sheet1!B292)</f>
        <v/>
      </c>
      <c r="C256" t="str">
        <f>IF([1]Sheet1!C292="","",[1]Sheet1!C292)</f>
        <v/>
      </c>
      <c r="D256" t="str">
        <f>IF([1]Sheet1!D292="","",[1]Sheet1!D292)</f>
        <v/>
      </c>
      <c r="E256" t="str">
        <f>IF([1]Sheet1!E292="","",[1]Sheet1!E292)</f>
        <v/>
      </c>
      <c r="F256" t="str">
        <f>IF([1]Sheet1!F292="","",[1]Sheet1!F292)</f>
        <v/>
      </c>
      <c r="G256" t="str">
        <f>IF([1]Sheet1!G292="","",[1]Sheet1!G292)</f>
        <v/>
      </c>
      <c r="H256" t="str">
        <f>IF([1]Sheet1!H292="","",[1]Sheet1!H292)</f>
        <v/>
      </c>
      <c r="I256" t="str">
        <f>IF([1]Sheet1!I292="","",[1]Sheet1!I292)</f>
        <v/>
      </c>
      <c r="J256" t="str">
        <f>IF([1]Sheet1!J292="","",[1]Sheet1!J292)</f>
        <v/>
      </c>
      <c r="K256" t="str">
        <f>IF([1]Sheet1!K292="","",[1]Sheet1!K292)</f>
        <v/>
      </c>
      <c r="L256" t="str">
        <f>IF([1]Sheet1!L292="","",[1]Sheet1!L292)</f>
        <v/>
      </c>
      <c r="M256" t="str">
        <f>IF([1]Sheet1!M292="","",[1]Sheet1!M292)</f>
        <v/>
      </c>
      <c r="N256" t="str">
        <f>IF([1]Sheet1!N292="","",[1]Sheet1!N292)</f>
        <v/>
      </c>
      <c r="O256" t="str">
        <f>IF([1]Sheet1!O292="","",[1]Sheet1!O292)</f>
        <v/>
      </c>
      <c r="P256" t="str">
        <f>IF([1]Sheet1!P292="","",[1]Sheet1!P292)</f>
        <v/>
      </c>
    </row>
    <row r="257" spans="1:16" x14ac:dyDescent="0.25">
      <c r="A257" t="str">
        <f>IF([1]Sheet1!A293="","",[1]Sheet1!A293)</f>
        <v/>
      </c>
      <c r="B257" t="str">
        <f>IF([1]Sheet1!B293="","",[1]Sheet1!B293)</f>
        <v/>
      </c>
      <c r="C257" t="str">
        <f>IF([1]Sheet1!C293="","",[1]Sheet1!C293)</f>
        <v/>
      </c>
      <c r="D257" t="str">
        <f>IF([1]Sheet1!D293="","",[1]Sheet1!D293)</f>
        <v/>
      </c>
      <c r="E257" t="str">
        <f>IF([1]Sheet1!E293="","",[1]Sheet1!E293)</f>
        <v/>
      </c>
      <c r="F257" t="str">
        <f>IF([1]Sheet1!F293="","",[1]Sheet1!F293)</f>
        <v/>
      </c>
      <c r="G257" t="str">
        <f>IF([1]Sheet1!G293="","",[1]Sheet1!G293)</f>
        <v/>
      </c>
      <c r="H257" t="str">
        <f>IF([1]Sheet1!H293="","",[1]Sheet1!H293)</f>
        <v/>
      </c>
      <c r="I257" t="str">
        <f>IF([1]Sheet1!I293="","",[1]Sheet1!I293)</f>
        <v/>
      </c>
      <c r="J257" t="str">
        <f>IF([1]Sheet1!J293="","",[1]Sheet1!J293)</f>
        <v/>
      </c>
      <c r="K257" t="str">
        <f>IF([1]Sheet1!K293="","",[1]Sheet1!K293)</f>
        <v/>
      </c>
      <c r="L257" t="str">
        <f>IF([1]Sheet1!L293="","",[1]Sheet1!L293)</f>
        <v/>
      </c>
      <c r="M257" t="str">
        <f>IF([1]Sheet1!M293="","",[1]Sheet1!M293)</f>
        <v/>
      </c>
      <c r="N257" t="str">
        <f>IF([1]Sheet1!N293="","",[1]Sheet1!N293)</f>
        <v/>
      </c>
      <c r="O257" t="str">
        <f>IF([1]Sheet1!O293="","",[1]Sheet1!O293)</f>
        <v/>
      </c>
      <c r="P257" t="str">
        <f>IF([1]Sheet1!P293="","",[1]Sheet1!P293)</f>
        <v/>
      </c>
    </row>
    <row r="258" spans="1:16" x14ac:dyDescent="0.25">
      <c r="A258" t="str">
        <f>IF([1]Sheet1!A294="","",[1]Sheet1!A294)</f>
        <v/>
      </c>
      <c r="B258" t="str">
        <f>IF([1]Sheet1!B294="","",[1]Sheet1!B294)</f>
        <v/>
      </c>
      <c r="C258" t="str">
        <f>IF([1]Sheet1!C294="","",[1]Sheet1!C294)</f>
        <v/>
      </c>
      <c r="D258" t="str">
        <f>IF([1]Sheet1!D294="","",[1]Sheet1!D294)</f>
        <v/>
      </c>
      <c r="E258" t="str">
        <f>IF([1]Sheet1!E294="","",[1]Sheet1!E294)</f>
        <v/>
      </c>
      <c r="F258" t="str">
        <f>IF([1]Sheet1!F294="","",[1]Sheet1!F294)</f>
        <v/>
      </c>
      <c r="G258" t="str">
        <f>IF([1]Sheet1!G294="","",[1]Sheet1!G294)</f>
        <v/>
      </c>
      <c r="H258" t="str">
        <f>IF([1]Sheet1!H294="","",[1]Sheet1!H294)</f>
        <v/>
      </c>
      <c r="I258" t="str">
        <f>IF([1]Sheet1!I294="","",[1]Sheet1!I294)</f>
        <v/>
      </c>
      <c r="J258" t="str">
        <f>IF([1]Sheet1!J294="","",[1]Sheet1!J294)</f>
        <v/>
      </c>
      <c r="K258" t="str">
        <f>IF([1]Sheet1!K294="","",[1]Sheet1!K294)</f>
        <v/>
      </c>
      <c r="L258" t="str">
        <f>IF([1]Sheet1!L294="","",[1]Sheet1!L294)</f>
        <v/>
      </c>
      <c r="M258" t="str">
        <f>IF([1]Sheet1!M294="","",[1]Sheet1!M294)</f>
        <v/>
      </c>
      <c r="N258" t="str">
        <f>IF([1]Sheet1!N294="","",[1]Sheet1!N294)</f>
        <v/>
      </c>
      <c r="O258" t="str">
        <f>IF([1]Sheet1!O294="","",[1]Sheet1!O294)</f>
        <v/>
      </c>
      <c r="P258" t="str">
        <f>IF([1]Sheet1!P294="","",[1]Sheet1!P294)</f>
        <v/>
      </c>
    </row>
    <row r="259" spans="1:16" x14ac:dyDescent="0.25">
      <c r="A259" t="str">
        <f>IF([1]Sheet1!A295="","",[1]Sheet1!A295)</f>
        <v/>
      </c>
      <c r="B259" t="str">
        <f>IF([1]Sheet1!B295="","",[1]Sheet1!B295)</f>
        <v/>
      </c>
      <c r="C259" t="str">
        <f>IF([1]Sheet1!C295="","",[1]Sheet1!C295)</f>
        <v/>
      </c>
      <c r="D259" t="str">
        <f>IF([1]Sheet1!D295="","",[1]Sheet1!D295)</f>
        <v/>
      </c>
      <c r="E259" t="str">
        <f>IF([1]Sheet1!E295="","",[1]Sheet1!E295)</f>
        <v/>
      </c>
      <c r="F259" t="str">
        <f>IF([1]Sheet1!F295="","",[1]Sheet1!F295)</f>
        <v/>
      </c>
      <c r="G259" t="str">
        <f>IF([1]Sheet1!G295="","",[1]Sheet1!G295)</f>
        <v/>
      </c>
      <c r="H259" t="str">
        <f>IF([1]Sheet1!H295="","",[1]Sheet1!H295)</f>
        <v/>
      </c>
      <c r="I259" t="str">
        <f>IF([1]Sheet1!I295="","",[1]Sheet1!I295)</f>
        <v/>
      </c>
      <c r="J259" t="str">
        <f>IF([1]Sheet1!J295="","",[1]Sheet1!J295)</f>
        <v/>
      </c>
      <c r="K259" t="str">
        <f>IF([1]Sheet1!K295="","",[1]Sheet1!K295)</f>
        <v/>
      </c>
      <c r="L259" t="str">
        <f>IF([1]Sheet1!L295="","",[1]Sheet1!L295)</f>
        <v/>
      </c>
      <c r="M259" t="str">
        <f>IF([1]Sheet1!M295="","",[1]Sheet1!M295)</f>
        <v/>
      </c>
      <c r="N259" t="str">
        <f>IF([1]Sheet1!N295="","",[1]Sheet1!N295)</f>
        <v/>
      </c>
      <c r="O259" t="str">
        <f>IF([1]Sheet1!O295="","",[1]Sheet1!O295)</f>
        <v/>
      </c>
      <c r="P259" t="str">
        <f>IF([1]Sheet1!P295="","",[1]Sheet1!P295)</f>
        <v/>
      </c>
    </row>
    <row r="260" spans="1:16" x14ac:dyDescent="0.25">
      <c r="A260" t="str">
        <f>IF([1]Sheet1!A296="","",[1]Sheet1!A296)</f>
        <v/>
      </c>
      <c r="B260" t="str">
        <f>IF([1]Sheet1!B296="","",[1]Sheet1!B296)</f>
        <v/>
      </c>
      <c r="C260" t="str">
        <f>IF([1]Sheet1!C296="","",[1]Sheet1!C296)</f>
        <v/>
      </c>
      <c r="D260" t="str">
        <f>IF([1]Sheet1!D296="","",[1]Sheet1!D296)</f>
        <v/>
      </c>
      <c r="E260" t="str">
        <f>IF([1]Sheet1!E296="","",[1]Sheet1!E296)</f>
        <v/>
      </c>
      <c r="F260" t="str">
        <f>IF([1]Sheet1!F296="","",[1]Sheet1!F296)</f>
        <v/>
      </c>
      <c r="G260" t="str">
        <f>IF([1]Sheet1!G296="","",[1]Sheet1!G296)</f>
        <v/>
      </c>
      <c r="H260" t="str">
        <f>IF([1]Sheet1!H296="","",[1]Sheet1!H296)</f>
        <v/>
      </c>
      <c r="I260" t="str">
        <f>IF([1]Sheet1!I296="","",[1]Sheet1!I296)</f>
        <v/>
      </c>
      <c r="J260" t="str">
        <f>IF([1]Sheet1!J296="","",[1]Sheet1!J296)</f>
        <v/>
      </c>
      <c r="K260" t="str">
        <f>IF([1]Sheet1!K296="","",[1]Sheet1!K296)</f>
        <v/>
      </c>
      <c r="L260" t="str">
        <f>IF([1]Sheet1!L296="","",[1]Sheet1!L296)</f>
        <v/>
      </c>
      <c r="M260" t="str">
        <f>IF([1]Sheet1!M296="","",[1]Sheet1!M296)</f>
        <v/>
      </c>
      <c r="N260" t="str">
        <f>IF([1]Sheet1!N296="","",[1]Sheet1!N296)</f>
        <v/>
      </c>
      <c r="O260" t="str">
        <f>IF([1]Sheet1!O296="","",[1]Sheet1!O296)</f>
        <v/>
      </c>
      <c r="P260" t="str">
        <f>IF([1]Sheet1!P296="","",[1]Sheet1!P296)</f>
        <v/>
      </c>
    </row>
    <row r="261" spans="1:16" x14ac:dyDescent="0.25">
      <c r="A261" t="str">
        <f>IF([1]Sheet1!A297="","",[1]Sheet1!A297)</f>
        <v/>
      </c>
      <c r="B261" t="str">
        <f>IF([1]Sheet1!B297="","",[1]Sheet1!B297)</f>
        <v/>
      </c>
      <c r="C261" t="str">
        <f>IF([1]Sheet1!C297="","",[1]Sheet1!C297)</f>
        <v/>
      </c>
      <c r="D261" t="str">
        <f>IF([1]Sheet1!D297="","",[1]Sheet1!D297)</f>
        <v/>
      </c>
      <c r="E261" t="str">
        <f>IF([1]Sheet1!E297="","",[1]Sheet1!E297)</f>
        <v/>
      </c>
      <c r="F261" t="str">
        <f>IF([1]Sheet1!F297="","",[1]Sheet1!F297)</f>
        <v/>
      </c>
      <c r="G261" t="str">
        <f>IF([1]Sheet1!G297="","",[1]Sheet1!G297)</f>
        <v/>
      </c>
      <c r="H261" t="str">
        <f>IF([1]Sheet1!H297="","",[1]Sheet1!H297)</f>
        <v/>
      </c>
      <c r="I261" t="str">
        <f>IF([1]Sheet1!I297="","",[1]Sheet1!I297)</f>
        <v/>
      </c>
      <c r="J261" t="str">
        <f>IF([1]Sheet1!J297="","",[1]Sheet1!J297)</f>
        <v/>
      </c>
      <c r="K261" t="str">
        <f>IF([1]Sheet1!K297="","",[1]Sheet1!K297)</f>
        <v/>
      </c>
      <c r="L261" t="str">
        <f>IF([1]Sheet1!L297="","",[1]Sheet1!L297)</f>
        <v/>
      </c>
      <c r="M261" t="str">
        <f>IF([1]Sheet1!M297="","",[1]Sheet1!M297)</f>
        <v/>
      </c>
      <c r="N261" t="str">
        <f>IF([1]Sheet1!N297="","",[1]Sheet1!N297)</f>
        <v/>
      </c>
      <c r="O261" t="str">
        <f>IF([1]Sheet1!O297="","",[1]Sheet1!O297)</f>
        <v/>
      </c>
      <c r="P261" t="str">
        <f>IF([1]Sheet1!P297="","",[1]Sheet1!P297)</f>
        <v/>
      </c>
    </row>
    <row r="262" spans="1:16" x14ac:dyDescent="0.25">
      <c r="A262" t="str">
        <f>IF([1]Sheet1!A298="","",[1]Sheet1!A298)</f>
        <v/>
      </c>
      <c r="B262" t="str">
        <f>IF([1]Sheet1!B298="","",[1]Sheet1!B298)</f>
        <v/>
      </c>
      <c r="C262" t="str">
        <f>IF([1]Sheet1!C298="","",[1]Sheet1!C298)</f>
        <v/>
      </c>
      <c r="D262" t="str">
        <f>IF([1]Sheet1!D298="","",[1]Sheet1!D298)</f>
        <v/>
      </c>
      <c r="E262" t="str">
        <f>IF([1]Sheet1!E298="","",[1]Sheet1!E298)</f>
        <v/>
      </c>
      <c r="F262" t="str">
        <f>IF([1]Sheet1!F298="","",[1]Sheet1!F298)</f>
        <v/>
      </c>
      <c r="G262" t="str">
        <f>IF([1]Sheet1!G298="","",[1]Sheet1!G298)</f>
        <v/>
      </c>
      <c r="H262" t="str">
        <f>IF([1]Sheet1!H298="","",[1]Sheet1!H298)</f>
        <v/>
      </c>
      <c r="I262" t="str">
        <f>IF([1]Sheet1!I298="","",[1]Sheet1!I298)</f>
        <v/>
      </c>
      <c r="J262" t="str">
        <f>IF([1]Sheet1!J298="","",[1]Sheet1!J298)</f>
        <v/>
      </c>
      <c r="K262" t="str">
        <f>IF([1]Sheet1!K298="","",[1]Sheet1!K298)</f>
        <v/>
      </c>
      <c r="L262" t="str">
        <f>IF([1]Sheet1!L298="","",[1]Sheet1!L298)</f>
        <v/>
      </c>
      <c r="M262" t="str">
        <f>IF([1]Sheet1!M298="","",[1]Sheet1!M298)</f>
        <v/>
      </c>
      <c r="N262" t="str">
        <f>IF([1]Sheet1!N298="","",[1]Sheet1!N298)</f>
        <v/>
      </c>
      <c r="O262" t="str">
        <f>IF([1]Sheet1!O298="","",[1]Sheet1!O298)</f>
        <v/>
      </c>
      <c r="P262" t="str">
        <f>IF([1]Sheet1!P298="","",[1]Sheet1!P298)</f>
        <v/>
      </c>
    </row>
    <row r="263" spans="1:16" x14ac:dyDescent="0.25">
      <c r="A263" t="str">
        <f>IF([1]Sheet1!A299="","",[1]Sheet1!A299)</f>
        <v/>
      </c>
      <c r="B263" t="str">
        <f>IF([1]Sheet1!B299="","",[1]Sheet1!B299)</f>
        <v/>
      </c>
      <c r="C263" t="str">
        <f>IF([1]Sheet1!C299="","",[1]Sheet1!C299)</f>
        <v/>
      </c>
      <c r="D263" t="str">
        <f>IF([1]Sheet1!D299="","",[1]Sheet1!D299)</f>
        <v/>
      </c>
      <c r="E263" t="str">
        <f>IF([1]Sheet1!E299="","",[1]Sheet1!E299)</f>
        <v/>
      </c>
      <c r="F263" t="str">
        <f>IF([1]Sheet1!F299="","",[1]Sheet1!F299)</f>
        <v/>
      </c>
      <c r="G263" t="str">
        <f>IF([1]Sheet1!G299="","",[1]Sheet1!G299)</f>
        <v/>
      </c>
      <c r="H263" t="str">
        <f>IF([1]Sheet1!H299="","",[1]Sheet1!H299)</f>
        <v/>
      </c>
      <c r="I263" t="str">
        <f>IF([1]Sheet1!I299="","",[1]Sheet1!I299)</f>
        <v/>
      </c>
      <c r="J263" t="str">
        <f>IF([1]Sheet1!J299="","",[1]Sheet1!J299)</f>
        <v/>
      </c>
      <c r="K263" t="str">
        <f>IF([1]Sheet1!K299="","",[1]Sheet1!K299)</f>
        <v/>
      </c>
      <c r="L263" t="str">
        <f>IF([1]Sheet1!L299="","",[1]Sheet1!L299)</f>
        <v/>
      </c>
      <c r="M263" t="str">
        <f>IF([1]Sheet1!M299="","",[1]Sheet1!M299)</f>
        <v/>
      </c>
      <c r="N263" t="str">
        <f>IF([1]Sheet1!N299="","",[1]Sheet1!N299)</f>
        <v/>
      </c>
      <c r="O263" t="str">
        <f>IF([1]Sheet1!O299="","",[1]Sheet1!O299)</f>
        <v/>
      </c>
      <c r="P263" t="str">
        <f>IF([1]Sheet1!P299="","",[1]Sheet1!P299)</f>
        <v/>
      </c>
    </row>
    <row r="264" spans="1:16" x14ac:dyDescent="0.25">
      <c r="A264" t="str">
        <f>IF([1]Sheet1!A300="","",[1]Sheet1!A300)</f>
        <v/>
      </c>
      <c r="B264" t="str">
        <f>IF([1]Sheet1!B300="","",[1]Sheet1!B300)</f>
        <v/>
      </c>
      <c r="C264" t="str">
        <f>IF([1]Sheet1!C300="","",[1]Sheet1!C300)</f>
        <v/>
      </c>
      <c r="D264" t="str">
        <f>IF([1]Sheet1!D300="","",[1]Sheet1!D300)</f>
        <v/>
      </c>
      <c r="E264" t="str">
        <f>IF([1]Sheet1!E300="","",[1]Sheet1!E300)</f>
        <v/>
      </c>
      <c r="F264" t="str">
        <f>IF([1]Sheet1!F300="","",[1]Sheet1!F300)</f>
        <v/>
      </c>
      <c r="G264" t="str">
        <f>IF([1]Sheet1!G300="","",[1]Sheet1!G300)</f>
        <v/>
      </c>
      <c r="H264" t="str">
        <f>IF([1]Sheet1!H300="","",[1]Sheet1!H300)</f>
        <v/>
      </c>
      <c r="I264" t="str">
        <f>IF([1]Sheet1!I300="","",[1]Sheet1!I300)</f>
        <v/>
      </c>
      <c r="J264" t="str">
        <f>IF([1]Sheet1!J300="","",[1]Sheet1!J300)</f>
        <v/>
      </c>
      <c r="K264" t="str">
        <f>IF([1]Sheet1!K300="","",[1]Sheet1!K300)</f>
        <v/>
      </c>
      <c r="L264" t="str">
        <f>IF([1]Sheet1!L300="","",[1]Sheet1!L300)</f>
        <v/>
      </c>
      <c r="M264" t="str">
        <f>IF([1]Sheet1!M300="","",[1]Sheet1!M300)</f>
        <v/>
      </c>
      <c r="N264" t="str">
        <f>IF([1]Sheet1!N300="","",[1]Sheet1!N300)</f>
        <v/>
      </c>
      <c r="O264" t="str">
        <f>IF([1]Sheet1!O300="","",[1]Sheet1!O300)</f>
        <v/>
      </c>
      <c r="P264" t="str">
        <f>IF([1]Sheet1!P300="","",[1]Sheet1!P300)</f>
        <v/>
      </c>
    </row>
    <row r="265" spans="1:16" x14ac:dyDescent="0.25">
      <c r="A265" t="str">
        <f>IF([1]Sheet1!A301="","",[1]Sheet1!A301)</f>
        <v/>
      </c>
      <c r="B265" t="str">
        <f>IF([1]Sheet1!B301="","",[1]Sheet1!B301)</f>
        <v/>
      </c>
      <c r="C265" t="str">
        <f>IF([1]Sheet1!C301="","",[1]Sheet1!C301)</f>
        <v/>
      </c>
      <c r="D265" t="str">
        <f>IF([1]Sheet1!D301="","",[1]Sheet1!D301)</f>
        <v/>
      </c>
      <c r="E265" t="str">
        <f>IF([1]Sheet1!E301="","",[1]Sheet1!E301)</f>
        <v/>
      </c>
      <c r="F265" t="str">
        <f>IF([1]Sheet1!F301="","",[1]Sheet1!F301)</f>
        <v/>
      </c>
      <c r="G265" t="str">
        <f>IF([1]Sheet1!G301="","",[1]Sheet1!G301)</f>
        <v/>
      </c>
      <c r="H265" t="str">
        <f>IF([1]Sheet1!H301="","",[1]Sheet1!H301)</f>
        <v/>
      </c>
      <c r="I265" t="str">
        <f>IF([1]Sheet1!I301="","",[1]Sheet1!I301)</f>
        <v/>
      </c>
      <c r="J265" t="str">
        <f>IF([1]Sheet1!J301="","",[1]Sheet1!J301)</f>
        <v/>
      </c>
      <c r="K265" t="str">
        <f>IF([1]Sheet1!K301="","",[1]Sheet1!K301)</f>
        <v/>
      </c>
      <c r="L265" t="str">
        <f>IF([1]Sheet1!L301="","",[1]Sheet1!L301)</f>
        <v/>
      </c>
      <c r="M265" t="str">
        <f>IF([1]Sheet1!M301="","",[1]Sheet1!M301)</f>
        <v/>
      </c>
      <c r="N265" t="str">
        <f>IF([1]Sheet1!N301="","",[1]Sheet1!N301)</f>
        <v/>
      </c>
      <c r="O265" t="str">
        <f>IF([1]Sheet1!O301="","",[1]Sheet1!O301)</f>
        <v/>
      </c>
      <c r="P265" t="str">
        <f>IF([1]Sheet1!P301="","",[1]Sheet1!P301)</f>
        <v/>
      </c>
    </row>
    <row r="266" spans="1:16" x14ac:dyDescent="0.25">
      <c r="A266" t="str">
        <f>IF([1]Sheet1!A302="","",[1]Sheet1!A302)</f>
        <v/>
      </c>
      <c r="B266" t="str">
        <f>IF([1]Sheet1!B302="","",[1]Sheet1!B302)</f>
        <v/>
      </c>
      <c r="C266" t="str">
        <f>IF([1]Sheet1!C302="","",[1]Sheet1!C302)</f>
        <v/>
      </c>
      <c r="D266" t="str">
        <f>IF([1]Sheet1!D302="","",[1]Sheet1!D302)</f>
        <v/>
      </c>
      <c r="E266" t="str">
        <f>IF([1]Sheet1!E302="","",[1]Sheet1!E302)</f>
        <v/>
      </c>
      <c r="F266" t="str">
        <f>IF([1]Sheet1!F302="","",[1]Sheet1!F302)</f>
        <v/>
      </c>
      <c r="G266" t="str">
        <f>IF([1]Sheet1!G302="","",[1]Sheet1!G302)</f>
        <v/>
      </c>
      <c r="H266" t="str">
        <f>IF([1]Sheet1!H302="","",[1]Sheet1!H302)</f>
        <v/>
      </c>
      <c r="I266" t="str">
        <f>IF([1]Sheet1!I302="","",[1]Sheet1!I302)</f>
        <v/>
      </c>
      <c r="J266" t="str">
        <f>IF([1]Sheet1!J302="","",[1]Sheet1!J302)</f>
        <v/>
      </c>
      <c r="K266" t="str">
        <f>IF([1]Sheet1!K302="","",[1]Sheet1!K302)</f>
        <v/>
      </c>
      <c r="L266" t="str">
        <f>IF([1]Sheet1!L302="","",[1]Sheet1!L302)</f>
        <v/>
      </c>
      <c r="M266" t="str">
        <f>IF([1]Sheet1!M302="","",[1]Sheet1!M302)</f>
        <v/>
      </c>
      <c r="N266" t="str">
        <f>IF([1]Sheet1!N302="","",[1]Sheet1!N302)</f>
        <v/>
      </c>
      <c r="O266" t="str">
        <f>IF([1]Sheet1!O302="","",[1]Sheet1!O302)</f>
        <v/>
      </c>
      <c r="P266" t="str">
        <f>IF([1]Sheet1!P302="","",[1]Sheet1!P302)</f>
        <v/>
      </c>
    </row>
    <row r="267" spans="1:16" x14ac:dyDescent="0.25">
      <c r="A267" t="str">
        <f>IF([1]Sheet1!A303="","",[1]Sheet1!A303)</f>
        <v/>
      </c>
      <c r="B267" t="str">
        <f>IF([1]Sheet1!B303="","",[1]Sheet1!B303)</f>
        <v/>
      </c>
      <c r="C267" t="str">
        <f>IF([1]Sheet1!C303="","",[1]Sheet1!C303)</f>
        <v/>
      </c>
      <c r="D267" t="str">
        <f>IF([1]Sheet1!D303="","",[1]Sheet1!D303)</f>
        <v/>
      </c>
      <c r="E267" t="str">
        <f>IF([1]Sheet1!E303="","",[1]Sheet1!E303)</f>
        <v/>
      </c>
      <c r="F267" t="str">
        <f>IF([1]Sheet1!F303="","",[1]Sheet1!F303)</f>
        <v/>
      </c>
      <c r="G267" t="str">
        <f>IF([1]Sheet1!G303="","",[1]Sheet1!G303)</f>
        <v/>
      </c>
      <c r="H267" t="str">
        <f>IF([1]Sheet1!H303="","",[1]Sheet1!H303)</f>
        <v/>
      </c>
      <c r="I267" t="str">
        <f>IF([1]Sheet1!I303="","",[1]Sheet1!I303)</f>
        <v/>
      </c>
      <c r="J267" t="str">
        <f>IF([1]Sheet1!J303="","",[1]Sheet1!J303)</f>
        <v/>
      </c>
      <c r="K267" t="str">
        <f>IF([1]Sheet1!K303="","",[1]Sheet1!K303)</f>
        <v/>
      </c>
      <c r="L267" t="str">
        <f>IF([1]Sheet1!L303="","",[1]Sheet1!L303)</f>
        <v/>
      </c>
      <c r="M267" t="str">
        <f>IF([1]Sheet1!M303="","",[1]Sheet1!M303)</f>
        <v/>
      </c>
      <c r="N267" t="str">
        <f>IF([1]Sheet1!N303="","",[1]Sheet1!N303)</f>
        <v/>
      </c>
      <c r="O267" t="str">
        <f>IF([1]Sheet1!O303="","",[1]Sheet1!O303)</f>
        <v/>
      </c>
      <c r="P267" t="str">
        <f>IF([1]Sheet1!P303="","",[1]Sheet1!P303)</f>
        <v/>
      </c>
    </row>
    <row r="268" spans="1:16" x14ac:dyDescent="0.25">
      <c r="A268" t="str">
        <f>IF([1]Sheet1!A304="","",[1]Sheet1!A304)</f>
        <v/>
      </c>
      <c r="B268" t="str">
        <f>IF([1]Sheet1!B304="","",[1]Sheet1!B304)</f>
        <v/>
      </c>
      <c r="C268" t="str">
        <f>IF([1]Sheet1!C304="","",[1]Sheet1!C304)</f>
        <v/>
      </c>
      <c r="D268" t="str">
        <f>IF([1]Sheet1!D304="","",[1]Sheet1!D304)</f>
        <v/>
      </c>
      <c r="E268" t="str">
        <f>IF([1]Sheet1!E304="","",[1]Sheet1!E304)</f>
        <v/>
      </c>
      <c r="F268" t="str">
        <f>IF([1]Sheet1!F304="","",[1]Sheet1!F304)</f>
        <v/>
      </c>
      <c r="G268" t="str">
        <f>IF([1]Sheet1!G304="","",[1]Sheet1!G304)</f>
        <v/>
      </c>
      <c r="H268" t="str">
        <f>IF([1]Sheet1!H304="","",[1]Sheet1!H304)</f>
        <v/>
      </c>
      <c r="I268" t="str">
        <f>IF([1]Sheet1!I304="","",[1]Sheet1!I304)</f>
        <v/>
      </c>
      <c r="J268" t="str">
        <f>IF([1]Sheet1!J304="","",[1]Sheet1!J304)</f>
        <v/>
      </c>
      <c r="K268" t="str">
        <f>IF([1]Sheet1!K304="","",[1]Sheet1!K304)</f>
        <v/>
      </c>
      <c r="L268" t="str">
        <f>IF([1]Sheet1!L304="","",[1]Sheet1!L304)</f>
        <v/>
      </c>
      <c r="M268" t="str">
        <f>IF([1]Sheet1!M304="","",[1]Sheet1!M304)</f>
        <v/>
      </c>
      <c r="N268" t="str">
        <f>IF([1]Sheet1!N304="","",[1]Sheet1!N304)</f>
        <v/>
      </c>
      <c r="O268" t="str">
        <f>IF([1]Sheet1!O304="","",[1]Sheet1!O304)</f>
        <v/>
      </c>
      <c r="P268" t="str">
        <f>IF([1]Sheet1!P304="","",[1]Sheet1!P304)</f>
        <v/>
      </c>
    </row>
    <row r="269" spans="1:16" x14ac:dyDescent="0.25">
      <c r="A269" t="str">
        <f>IF([1]Sheet1!A305="","",[1]Sheet1!A305)</f>
        <v/>
      </c>
      <c r="B269" t="str">
        <f>IF([1]Sheet1!B305="","",[1]Sheet1!B305)</f>
        <v/>
      </c>
      <c r="C269" t="str">
        <f>IF([1]Sheet1!C305="","",[1]Sheet1!C305)</f>
        <v/>
      </c>
      <c r="D269" t="str">
        <f>IF([1]Sheet1!D305="","",[1]Sheet1!D305)</f>
        <v/>
      </c>
      <c r="E269" t="str">
        <f>IF([1]Sheet1!E305="","",[1]Sheet1!E305)</f>
        <v/>
      </c>
      <c r="F269" t="str">
        <f>IF([1]Sheet1!F305="","",[1]Sheet1!F305)</f>
        <v/>
      </c>
      <c r="G269" t="str">
        <f>IF([1]Sheet1!G305="","",[1]Sheet1!G305)</f>
        <v/>
      </c>
      <c r="H269" t="str">
        <f>IF([1]Sheet1!H305="","",[1]Sheet1!H305)</f>
        <v/>
      </c>
      <c r="I269" t="str">
        <f>IF([1]Sheet1!I305="","",[1]Sheet1!I305)</f>
        <v/>
      </c>
      <c r="J269" t="str">
        <f>IF([1]Sheet1!J305="","",[1]Sheet1!J305)</f>
        <v/>
      </c>
      <c r="K269" t="str">
        <f>IF([1]Sheet1!K305="","",[1]Sheet1!K305)</f>
        <v/>
      </c>
      <c r="L269" t="str">
        <f>IF([1]Sheet1!L305="","",[1]Sheet1!L305)</f>
        <v/>
      </c>
      <c r="M269" t="str">
        <f>IF([1]Sheet1!M305="","",[1]Sheet1!M305)</f>
        <v/>
      </c>
      <c r="N269" t="str">
        <f>IF([1]Sheet1!N305="","",[1]Sheet1!N305)</f>
        <v/>
      </c>
      <c r="O269" t="str">
        <f>IF([1]Sheet1!O305="","",[1]Sheet1!O305)</f>
        <v/>
      </c>
      <c r="P269" t="str">
        <f>IF([1]Sheet1!P305="","",[1]Sheet1!P305)</f>
        <v/>
      </c>
    </row>
    <row r="270" spans="1:16" x14ac:dyDescent="0.25">
      <c r="A270" t="str">
        <f>IF([1]Sheet1!A306="","",[1]Sheet1!A306)</f>
        <v/>
      </c>
      <c r="B270" t="str">
        <f>IF([1]Sheet1!B306="","",[1]Sheet1!B306)</f>
        <v/>
      </c>
      <c r="C270" t="str">
        <f>IF([1]Sheet1!C306="","",[1]Sheet1!C306)</f>
        <v/>
      </c>
      <c r="D270" t="str">
        <f>IF([1]Sheet1!D306="","",[1]Sheet1!D306)</f>
        <v/>
      </c>
      <c r="E270" t="str">
        <f>IF([1]Sheet1!E306="","",[1]Sheet1!E306)</f>
        <v/>
      </c>
      <c r="F270" t="str">
        <f>IF([1]Sheet1!F306="","",[1]Sheet1!F306)</f>
        <v/>
      </c>
      <c r="G270" t="str">
        <f>IF([1]Sheet1!G306="","",[1]Sheet1!G306)</f>
        <v/>
      </c>
      <c r="H270" t="str">
        <f>IF([1]Sheet1!H306="","",[1]Sheet1!H306)</f>
        <v/>
      </c>
      <c r="I270" t="str">
        <f>IF([1]Sheet1!I306="","",[1]Sheet1!I306)</f>
        <v/>
      </c>
      <c r="J270" t="str">
        <f>IF([1]Sheet1!J306="","",[1]Sheet1!J306)</f>
        <v/>
      </c>
      <c r="K270" t="str">
        <f>IF([1]Sheet1!K306="","",[1]Sheet1!K306)</f>
        <v/>
      </c>
      <c r="L270" t="str">
        <f>IF([1]Sheet1!L306="","",[1]Sheet1!L306)</f>
        <v/>
      </c>
      <c r="M270" t="str">
        <f>IF([1]Sheet1!M306="","",[1]Sheet1!M306)</f>
        <v/>
      </c>
      <c r="N270" t="str">
        <f>IF([1]Sheet1!N306="","",[1]Sheet1!N306)</f>
        <v/>
      </c>
      <c r="O270" t="str">
        <f>IF([1]Sheet1!O306="","",[1]Sheet1!O306)</f>
        <v/>
      </c>
      <c r="P270" t="str">
        <f>IF([1]Sheet1!P306="","",[1]Sheet1!P306)</f>
        <v/>
      </c>
    </row>
    <row r="271" spans="1:16" x14ac:dyDescent="0.25">
      <c r="A271" t="str">
        <f>IF([1]Sheet1!A307="","",[1]Sheet1!A307)</f>
        <v/>
      </c>
      <c r="B271" t="str">
        <f>IF([1]Sheet1!B307="","",[1]Sheet1!B307)</f>
        <v/>
      </c>
      <c r="C271" t="str">
        <f>IF([1]Sheet1!C307="","",[1]Sheet1!C307)</f>
        <v/>
      </c>
      <c r="D271" t="str">
        <f>IF([1]Sheet1!D307="","",[1]Sheet1!D307)</f>
        <v/>
      </c>
      <c r="E271" t="str">
        <f>IF([1]Sheet1!E307="","",[1]Sheet1!E307)</f>
        <v/>
      </c>
      <c r="F271" t="str">
        <f>IF([1]Sheet1!F307="","",[1]Sheet1!F307)</f>
        <v/>
      </c>
      <c r="G271" t="str">
        <f>IF([1]Sheet1!G307="","",[1]Sheet1!G307)</f>
        <v/>
      </c>
      <c r="H271" t="str">
        <f>IF([1]Sheet1!H307="","",[1]Sheet1!H307)</f>
        <v/>
      </c>
      <c r="I271" t="str">
        <f>IF([1]Sheet1!I307="","",[1]Sheet1!I307)</f>
        <v/>
      </c>
      <c r="J271" t="str">
        <f>IF([1]Sheet1!J307="","",[1]Sheet1!J307)</f>
        <v/>
      </c>
      <c r="K271" t="str">
        <f>IF([1]Sheet1!K307="","",[1]Sheet1!K307)</f>
        <v/>
      </c>
      <c r="L271" t="str">
        <f>IF([1]Sheet1!L307="","",[1]Sheet1!L307)</f>
        <v/>
      </c>
      <c r="M271" t="str">
        <f>IF([1]Sheet1!M307="","",[1]Sheet1!M307)</f>
        <v/>
      </c>
      <c r="N271" t="str">
        <f>IF([1]Sheet1!N307="","",[1]Sheet1!N307)</f>
        <v/>
      </c>
      <c r="O271" t="str">
        <f>IF([1]Sheet1!O307="","",[1]Sheet1!O307)</f>
        <v/>
      </c>
      <c r="P271" t="str">
        <f>IF([1]Sheet1!P307="","",[1]Sheet1!P307)</f>
        <v/>
      </c>
    </row>
    <row r="272" spans="1:16" x14ac:dyDescent="0.25">
      <c r="A272" t="str">
        <f>IF([1]Sheet1!A308="","",[1]Sheet1!A308)</f>
        <v/>
      </c>
      <c r="B272" t="str">
        <f>IF([1]Sheet1!B308="","",[1]Sheet1!B308)</f>
        <v/>
      </c>
      <c r="C272" t="str">
        <f>IF([1]Sheet1!C308="","",[1]Sheet1!C308)</f>
        <v/>
      </c>
      <c r="D272" t="str">
        <f>IF([1]Sheet1!D308="","",[1]Sheet1!D308)</f>
        <v/>
      </c>
      <c r="E272" t="str">
        <f>IF([1]Sheet1!E308="","",[1]Sheet1!E308)</f>
        <v/>
      </c>
      <c r="F272" t="str">
        <f>IF([1]Sheet1!F308="","",[1]Sheet1!F308)</f>
        <v/>
      </c>
      <c r="G272" t="str">
        <f>IF([1]Sheet1!G308="","",[1]Sheet1!G308)</f>
        <v/>
      </c>
      <c r="H272" t="str">
        <f>IF([1]Sheet1!H308="","",[1]Sheet1!H308)</f>
        <v/>
      </c>
      <c r="I272" t="str">
        <f>IF([1]Sheet1!I308="","",[1]Sheet1!I308)</f>
        <v/>
      </c>
      <c r="J272" t="str">
        <f>IF([1]Sheet1!J308="","",[1]Sheet1!J308)</f>
        <v/>
      </c>
      <c r="K272" t="str">
        <f>IF([1]Sheet1!K308="","",[1]Sheet1!K308)</f>
        <v/>
      </c>
      <c r="L272" t="str">
        <f>IF([1]Sheet1!L308="","",[1]Sheet1!L308)</f>
        <v/>
      </c>
      <c r="M272" t="str">
        <f>IF([1]Sheet1!M308="","",[1]Sheet1!M308)</f>
        <v/>
      </c>
      <c r="N272" t="str">
        <f>IF([1]Sheet1!N308="","",[1]Sheet1!N308)</f>
        <v/>
      </c>
      <c r="O272" t="str">
        <f>IF([1]Sheet1!O308="","",[1]Sheet1!O308)</f>
        <v/>
      </c>
      <c r="P272" t="str">
        <f>IF([1]Sheet1!P308="","",[1]Sheet1!P308)</f>
        <v/>
      </c>
    </row>
    <row r="273" spans="1:16" x14ac:dyDescent="0.25">
      <c r="A273" t="str">
        <f>IF([1]Sheet1!A309="","",[1]Sheet1!A309)</f>
        <v/>
      </c>
      <c r="B273" t="str">
        <f>IF([1]Sheet1!B309="","",[1]Sheet1!B309)</f>
        <v/>
      </c>
      <c r="C273" t="str">
        <f>IF([1]Sheet1!C309="","",[1]Sheet1!C309)</f>
        <v/>
      </c>
      <c r="D273" t="str">
        <f>IF([1]Sheet1!D309="","",[1]Sheet1!D309)</f>
        <v/>
      </c>
      <c r="E273" t="str">
        <f>IF([1]Sheet1!E309="","",[1]Sheet1!E309)</f>
        <v/>
      </c>
      <c r="F273" t="str">
        <f>IF([1]Sheet1!F309="","",[1]Sheet1!F309)</f>
        <v/>
      </c>
      <c r="G273" t="str">
        <f>IF([1]Sheet1!G309="","",[1]Sheet1!G309)</f>
        <v/>
      </c>
      <c r="H273" t="str">
        <f>IF([1]Sheet1!H309="","",[1]Sheet1!H309)</f>
        <v/>
      </c>
      <c r="I273" t="str">
        <f>IF([1]Sheet1!I309="","",[1]Sheet1!I309)</f>
        <v/>
      </c>
      <c r="J273" t="str">
        <f>IF([1]Sheet1!J309="","",[1]Sheet1!J309)</f>
        <v/>
      </c>
      <c r="K273" t="str">
        <f>IF([1]Sheet1!K309="","",[1]Sheet1!K309)</f>
        <v/>
      </c>
      <c r="L273" t="str">
        <f>IF([1]Sheet1!L309="","",[1]Sheet1!L309)</f>
        <v/>
      </c>
      <c r="M273" t="str">
        <f>IF([1]Sheet1!M309="","",[1]Sheet1!M309)</f>
        <v/>
      </c>
      <c r="N273" t="str">
        <f>IF([1]Sheet1!N309="","",[1]Sheet1!N309)</f>
        <v/>
      </c>
      <c r="O273" t="str">
        <f>IF([1]Sheet1!O309="","",[1]Sheet1!O309)</f>
        <v/>
      </c>
      <c r="P273" t="str">
        <f>IF([1]Sheet1!P309="","",[1]Sheet1!P309)</f>
        <v/>
      </c>
    </row>
    <row r="274" spans="1:16" x14ac:dyDescent="0.25">
      <c r="A274" t="str">
        <f>IF([1]Sheet1!A310="","",[1]Sheet1!A310)</f>
        <v/>
      </c>
      <c r="B274" t="str">
        <f>IF([1]Sheet1!B310="","",[1]Sheet1!B310)</f>
        <v/>
      </c>
      <c r="C274" t="str">
        <f>IF([1]Sheet1!C310="","",[1]Sheet1!C310)</f>
        <v/>
      </c>
      <c r="D274" t="str">
        <f>IF([1]Sheet1!D310="","",[1]Sheet1!D310)</f>
        <v/>
      </c>
      <c r="E274" t="str">
        <f>IF([1]Sheet1!E310="","",[1]Sheet1!E310)</f>
        <v/>
      </c>
      <c r="F274" t="str">
        <f>IF([1]Sheet1!F310="","",[1]Sheet1!F310)</f>
        <v/>
      </c>
      <c r="G274" t="str">
        <f>IF([1]Sheet1!G310="","",[1]Sheet1!G310)</f>
        <v/>
      </c>
      <c r="H274" t="str">
        <f>IF([1]Sheet1!H310="","",[1]Sheet1!H310)</f>
        <v/>
      </c>
      <c r="I274" t="str">
        <f>IF([1]Sheet1!I310="","",[1]Sheet1!I310)</f>
        <v/>
      </c>
      <c r="J274" t="str">
        <f>IF([1]Sheet1!J310="","",[1]Sheet1!J310)</f>
        <v/>
      </c>
      <c r="K274" t="str">
        <f>IF([1]Sheet1!K310="","",[1]Sheet1!K310)</f>
        <v/>
      </c>
      <c r="L274" t="str">
        <f>IF([1]Sheet1!L310="","",[1]Sheet1!L310)</f>
        <v/>
      </c>
      <c r="M274" t="str">
        <f>IF([1]Sheet1!M310="","",[1]Sheet1!M310)</f>
        <v/>
      </c>
      <c r="N274" t="str">
        <f>IF([1]Sheet1!N310="","",[1]Sheet1!N310)</f>
        <v/>
      </c>
      <c r="O274" t="str">
        <f>IF([1]Sheet1!O310="","",[1]Sheet1!O310)</f>
        <v/>
      </c>
      <c r="P274" t="str">
        <f>IF([1]Sheet1!P310="","",[1]Sheet1!P310)</f>
        <v/>
      </c>
    </row>
    <row r="275" spans="1:16" x14ac:dyDescent="0.25">
      <c r="A275" t="str">
        <f>IF([1]Sheet1!A311="","",[1]Sheet1!A311)</f>
        <v/>
      </c>
      <c r="B275" t="str">
        <f>IF([1]Sheet1!B311="","",[1]Sheet1!B311)</f>
        <v/>
      </c>
      <c r="C275" t="str">
        <f>IF([1]Sheet1!C311="","",[1]Sheet1!C311)</f>
        <v/>
      </c>
      <c r="D275" t="str">
        <f>IF([1]Sheet1!D311="","",[1]Sheet1!D311)</f>
        <v/>
      </c>
      <c r="E275" t="str">
        <f>IF([1]Sheet1!E311="","",[1]Sheet1!E311)</f>
        <v/>
      </c>
      <c r="F275" t="str">
        <f>IF([1]Sheet1!F311="","",[1]Sheet1!F311)</f>
        <v/>
      </c>
      <c r="G275" t="str">
        <f>IF([1]Sheet1!G311="","",[1]Sheet1!G311)</f>
        <v/>
      </c>
      <c r="H275" t="str">
        <f>IF([1]Sheet1!H311="","",[1]Sheet1!H311)</f>
        <v/>
      </c>
      <c r="I275" t="str">
        <f>IF([1]Sheet1!I311="","",[1]Sheet1!I311)</f>
        <v/>
      </c>
      <c r="J275" t="str">
        <f>IF([1]Sheet1!J311="","",[1]Sheet1!J311)</f>
        <v/>
      </c>
      <c r="K275" t="str">
        <f>IF([1]Sheet1!K311="","",[1]Sheet1!K311)</f>
        <v/>
      </c>
      <c r="L275" t="str">
        <f>IF([1]Sheet1!L311="","",[1]Sheet1!L311)</f>
        <v/>
      </c>
      <c r="M275" t="str">
        <f>IF([1]Sheet1!M311="","",[1]Sheet1!M311)</f>
        <v/>
      </c>
      <c r="N275" t="str">
        <f>IF([1]Sheet1!N311="","",[1]Sheet1!N311)</f>
        <v/>
      </c>
      <c r="O275" t="str">
        <f>IF([1]Sheet1!O311="","",[1]Sheet1!O311)</f>
        <v/>
      </c>
      <c r="P275" t="str">
        <f>IF([1]Sheet1!P311="","",[1]Sheet1!P311)</f>
        <v/>
      </c>
    </row>
    <row r="276" spans="1:16" x14ac:dyDescent="0.25">
      <c r="A276" t="str">
        <f>IF([1]Sheet1!A312="","",[1]Sheet1!A312)</f>
        <v/>
      </c>
      <c r="B276" t="str">
        <f>IF([1]Sheet1!B312="","",[1]Sheet1!B312)</f>
        <v/>
      </c>
      <c r="C276" t="str">
        <f>IF([1]Sheet1!C312="","",[1]Sheet1!C312)</f>
        <v/>
      </c>
      <c r="D276" t="str">
        <f>IF([1]Sheet1!D312="","",[1]Sheet1!D312)</f>
        <v/>
      </c>
      <c r="E276" t="str">
        <f>IF([1]Sheet1!E312="","",[1]Sheet1!E312)</f>
        <v/>
      </c>
      <c r="F276" t="str">
        <f>IF([1]Sheet1!F312="","",[1]Sheet1!F312)</f>
        <v/>
      </c>
      <c r="G276" t="str">
        <f>IF([1]Sheet1!G312="","",[1]Sheet1!G312)</f>
        <v/>
      </c>
      <c r="H276" t="str">
        <f>IF([1]Sheet1!H312="","",[1]Sheet1!H312)</f>
        <v/>
      </c>
      <c r="I276" t="str">
        <f>IF([1]Sheet1!I312="","",[1]Sheet1!I312)</f>
        <v/>
      </c>
      <c r="J276" t="str">
        <f>IF([1]Sheet1!J312="","",[1]Sheet1!J312)</f>
        <v/>
      </c>
      <c r="K276" t="str">
        <f>IF([1]Sheet1!K312="","",[1]Sheet1!K312)</f>
        <v/>
      </c>
      <c r="L276" t="str">
        <f>IF([1]Sheet1!L312="","",[1]Sheet1!L312)</f>
        <v/>
      </c>
      <c r="M276" t="str">
        <f>IF([1]Sheet1!M312="","",[1]Sheet1!M312)</f>
        <v/>
      </c>
      <c r="N276" t="str">
        <f>IF([1]Sheet1!N312="","",[1]Sheet1!N312)</f>
        <v/>
      </c>
      <c r="O276" t="str">
        <f>IF([1]Sheet1!O312="","",[1]Sheet1!O312)</f>
        <v/>
      </c>
      <c r="P276" t="str">
        <f>IF([1]Sheet1!P312="","",[1]Sheet1!P312)</f>
        <v/>
      </c>
    </row>
    <row r="277" spans="1:16" x14ac:dyDescent="0.25">
      <c r="A277" t="str">
        <f>IF([1]Sheet1!A313="","",[1]Sheet1!A313)</f>
        <v/>
      </c>
      <c r="B277" t="str">
        <f>IF([1]Sheet1!B313="","",[1]Sheet1!B313)</f>
        <v/>
      </c>
      <c r="C277" t="str">
        <f>IF([1]Sheet1!C313="","",[1]Sheet1!C313)</f>
        <v/>
      </c>
      <c r="D277" t="str">
        <f>IF([1]Sheet1!D313="","",[1]Sheet1!D313)</f>
        <v/>
      </c>
      <c r="E277" t="str">
        <f>IF([1]Sheet1!E313="","",[1]Sheet1!E313)</f>
        <v/>
      </c>
      <c r="F277" t="str">
        <f>IF([1]Sheet1!F313="","",[1]Sheet1!F313)</f>
        <v/>
      </c>
      <c r="G277" t="str">
        <f>IF([1]Sheet1!G313="","",[1]Sheet1!G313)</f>
        <v/>
      </c>
      <c r="H277" t="str">
        <f>IF([1]Sheet1!H313="","",[1]Sheet1!H313)</f>
        <v/>
      </c>
      <c r="I277" t="str">
        <f>IF([1]Sheet1!I313="","",[1]Sheet1!I313)</f>
        <v/>
      </c>
      <c r="J277" t="str">
        <f>IF([1]Sheet1!J313="","",[1]Sheet1!J313)</f>
        <v/>
      </c>
      <c r="K277" t="str">
        <f>IF([1]Sheet1!K313="","",[1]Sheet1!K313)</f>
        <v/>
      </c>
      <c r="L277" t="str">
        <f>IF([1]Sheet1!L313="","",[1]Sheet1!L313)</f>
        <v/>
      </c>
      <c r="M277" t="str">
        <f>IF([1]Sheet1!M313="","",[1]Sheet1!M313)</f>
        <v/>
      </c>
      <c r="N277" t="str">
        <f>IF([1]Sheet1!N313="","",[1]Sheet1!N313)</f>
        <v/>
      </c>
      <c r="O277" t="str">
        <f>IF([1]Sheet1!O313="","",[1]Sheet1!O313)</f>
        <v/>
      </c>
      <c r="P277" t="str">
        <f>IF([1]Sheet1!P313="","",[1]Sheet1!P313)</f>
        <v/>
      </c>
    </row>
    <row r="278" spans="1:16" x14ac:dyDescent="0.25">
      <c r="A278" t="str">
        <f>IF([1]Sheet1!A314="","",[1]Sheet1!A314)</f>
        <v/>
      </c>
      <c r="B278" t="str">
        <f>IF([1]Sheet1!B314="","",[1]Sheet1!B314)</f>
        <v/>
      </c>
      <c r="C278" t="str">
        <f>IF([1]Sheet1!C314="","",[1]Sheet1!C314)</f>
        <v/>
      </c>
      <c r="D278" t="str">
        <f>IF([1]Sheet1!D314="","",[1]Sheet1!D314)</f>
        <v/>
      </c>
      <c r="E278" t="str">
        <f>IF([1]Sheet1!E314="","",[1]Sheet1!E314)</f>
        <v/>
      </c>
      <c r="F278" t="str">
        <f>IF([1]Sheet1!F314="","",[1]Sheet1!F314)</f>
        <v/>
      </c>
      <c r="G278" t="str">
        <f>IF([1]Sheet1!G314="","",[1]Sheet1!G314)</f>
        <v/>
      </c>
      <c r="H278" t="str">
        <f>IF([1]Sheet1!H314="","",[1]Sheet1!H314)</f>
        <v/>
      </c>
      <c r="I278" t="str">
        <f>IF([1]Sheet1!I314="","",[1]Sheet1!I314)</f>
        <v/>
      </c>
      <c r="J278" t="str">
        <f>IF([1]Sheet1!J314="","",[1]Sheet1!J314)</f>
        <v/>
      </c>
      <c r="K278" t="str">
        <f>IF([1]Sheet1!K314="","",[1]Sheet1!K314)</f>
        <v/>
      </c>
      <c r="L278" t="str">
        <f>IF([1]Sheet1!L314="","",[1]Sheet1!L314)</f>
        <v/>
      </c>
      <c r="M278" t="str">
        <f>IF([1]Sheet1!M314="","",[1]Sheet1!M314)</f>
        <v/>
      </c>
      <c r="N278" t="str">
        <f>IF([1]Sheet1!N314="","",[1]Sheet1!N314)</f>
        <v/>
      </c>
      <c r="O278" t="str">
        <f>IF([1]Sheet1!O314="","",[1]Sheet1!O314)</f>
        <v/>
      </c>
      <c r="P278" t="str">
        <f>IF([1]Sheet1!P314="","",[1]Sheet1!P314)</f>
        <v/>
      </c>
    </row>
    <row r="279" spans="1:16" x14ac:dyDescent="0.25">
      <c r="A279" t="str">
        <f>IF([1]Sheet1!A315="","",[1]Sheet1!A315)</f>
        <v/>
      </c>
      <c r="B279" t="str">
        <f>IF([1]Sheet1!B315="","",[1]Sheet1!B315)</f>
        <v/>
      </c>
      <c r="C279" t="str">
        <f>IF([1]Sheet1!C315="","",[1]Sheet1!C315)</f>
        <v/>
      </c>
      <c r="D279" t="str">
        <f>IF([1]Sheet1!D315="","",[1]Sheet1!D315)</f>
        <v/>
      </c>
      <c r="E279" t="str">
        <f>IF([1]Sheet1!E315="","",[1]Sheet1!E315)</f>
        <v/>
      </c>
      <c r="F279" t="str">
        <f>IF([1]Sheet1!F315="","",[1]Sheet1!F315)</f>
        <v/>
      </c>
      <c r="G279" t="str">
        <f>IF([1]Sheet1!G315="","",[1]Sheet1!G315)</f>
        <v/>
      </c>
      <c r="H279" t="str">
        <f>IF([1]Sheet1!H315="","",[1]Sheet1!H315)</f>
        <v/>
      </c>
      <c r="I279" t="str">
        <f>IF([1]Sheet1!I315="","",[1]Sheet1!I315)</f>
        <v/>
      </c>
      <c r="J279" t="str">
        <f>IF([1]Sheet1!J315="","",[1]Sheet1!J315)</f>
        <v/>
      </c>
      <c r="K279" t="str">
        <f>IF([1]Sheet1!K315="","",[1]Sheet1!K315)</f>
        <v/>
      </c>
      <c r="L279" t="str">
        <f>IF([1]Sheet1!L315="","",[1]Sheet1!L315)</f>
        <v/>
      </c>
      <c r="M279" t="str">
        <f>IF([1]Sheet1!M315="","",[1]Sheet1!M315)</f>
        <v/>
      </c>
      <c r="N279" t="str">
        <f>IF([1]Sheet1!N315="","",[1]Sheet1!N315)</f>
        <v/>
      </c>
      <c r="O279" t="str">
        <f>IF([1]Sheet1!O315="","",[1]Sheet1!O315)</f>
        <v/>
      </c>
      <c r="P279" t="str">
        <f>IF([1]Sheet1!P315="","",[1]Sheet1!P315)</f>
        <v/>
      </c>
    </row>
    <row r="280" spans="1:16" x14ac:dyDescent="0.25">
      <c r="A280" t="str">
        <f>IF([1]Sheet1!A316="","",[1]Sheet1!A316)</f>
        <v/>
      </c>
      <c r="B280" t="str">
        <f>IF([1]Sheet1!B316="","",[1]Sheet1!B316)</f>
        <v/>
      </c>
      <c r="C280" t="str">
        <f>IF([1]Sheet1!C316="","",[1]Sheet1!C316)</f>
        <v/>
      </c>
      <c r="D280" t="str">
        <f>IF([1]Sheet1!D316="","",[1]Sheet1!D316)</f>
        <v/>
      </c>
      <c r="E280" t="str">
        <f>IF([1]Sheet1!E316="","",[1]Sheet1!E316)</f>
        <v/>
      </c>
      <c r="F280" t="str">
        <f>IF([1]Sheet1!F316="","",[1]Sheet1!F316)</f>
        <v/>
      </c>
      <c r="G280" t="str">
        <f>IF([1]Sheet1!G316="","",[1]Sheet1!G316)</f>
        <v/>
      </c>
      <c r="H280" t="str">
        <f>IF([1]Sheet1!H316="","",[1]Sheet1!H316)</f>
        <v/>
      </c>
      <c r="I280" t="str">
        <f>IF([1]Sheet1!I316="","",[1]Sheet1!I316)</f>
        <v/>
      </c>
      <c r="J280" t="str">
        <f>IF([1]Sheet1!J316="","",[1]Sheet1!J316)</f>
        <v/>
      </c>
      <c r="K280" t="str">
        <f>IF([1]Sheet1!K316="","",[1]Sheet1!K316)</f>
        <v/>
      </c>
      <c r="L280" t="str">
        <f>IF([1]Sheet1!L316="","",[1]Sheet1!L316)</f>
        <v/>
      </c>
      <c r="M280" t="str">
        <f>IF([1]Sheet1!M316="","",[1]Sheet1!M316)</f>
        <v/>
      </c>
      <c r="N280" t="str">
        <f>IF([1]Sheet1!N316="","",[1]Sheet1!N316)</f>
        <v/>
      </c>
      <c r="O280" t="str">
        <f>IF([1]Sheet1!O316="","",[1]Sheet1!O316)</f>
        <v/>
      </c>
      <c r="P280" t="str">
        <f>IF([1]Sheet1!P316="","",[1]Sheet1!P316)</f>
        <v/>
      </c>
    </row>
    <row r="281" spans="1:16" x14ac:dyDescent="0.25">
      <c r="A281" t="str">
        <f>IF([1]Sheet1!A317="","",[1]Sheet1!A317)</f>
        <v/>
      </c>
      <c r="B281" t="str">
        <f>IF([1]Sheet1!B317="","",[1]Sheet1!B317)</f>
        <v/>
      </c>
      <c r="C281" t="str">
        <f>IF([1]Sheet1!C317="","",[1]Sheet1!C317)</f>
        <v/>
      </c>
      <c r="D281" t="str">
        <f>IF([1]Sheet1!D317="","",[1]Sheet1!D317)</f>
        <v/>
      </c>
      <c r="E281" t="str">
        <f>IF([1]Sheet1!E317="","",[1]Sheet1!E317)</f>
        <v/>
      </c>
      <c r="F281" t="str">
        <f>IF([1]Sheet1!F317="","",[1]Sheet1!F317)</f>
        <v/>
      </c>
      <c r="G281" t="str">
        <f>IF([1]Sheet1!G317="","",[1]Sheet1!G317)</f>
        <v/>
      </c>
      <c r="H281" t="str">
        <f>IF([1]Sheet1!H317="","",[1]Sheet1!H317)</f>
        <v/>
      </c>
      <c r="I281" t="str">
        <f>IF([1]Sheet1!I317="","",[1]Sheet1!I317)</f>
        <v/>
      </c>
      <c r="J281" t="str">
        <f>IF([1]Sheet1!J317="","",[1]Sheet1!J317)</f>
        <v/>
      </c>
      <c r="K281" t="str">
        <f>IF([1]Sheet1!K317="","",[1]Sheet1!K317)</f>
        <v/>
      </c>
      <c r="L281" t="str">
        <f>IF([1]Sheet1!L317="","",[1]Sheet1!L317)</f>
        <v/>
      </c>
      <c r="M281" t="str">
        <f>IF([1]Sheet1!M317="","",[1]Sheet1!M317)</f>
        <v/>
      </c>
      <c r="N281" t="str">
        <f>IF([1]Sheet1!N317="","",[1]Sheet1!N317)</f>
        <v/>
      </c>
      <c r="O281" t="str">
        <f>IF([1]Sheet1!O317="","",[1]Sheet1!O317)</f>
        <v/>
      </c>
      <c r="P281" t="str">
        <f>IF([1]Sheet1!P317="","",[1]Sheet1!P317)</f>
        <v/>
      </c>
    </row>
    <row r="282" spans="1:16" x14ac:dyDescent="0.25">
      <c r="A282" t="str">
        <f>IF([1]Sheet1!A318="","",[1]Sheet1!A318)</f>
        <v/>
      </c>
      <c r="B282" t="str">
        <f>IF([1]Sheet1!B318="","",[1]Sheet1!B318)</f>
        <v/>
      </c>
      <c r="C282" t="str">
        <f>IF([1]Sheet1!C318="","",[1]Sheet1!C318)</f>
        <v/>
      </c>
      <c r="D282" t="str">
        <f>IF([1]Sheet1!D318="","",[1]Sheet1!D318)</f>
        <v/>
      </c>
      <c r="E282" t="str">
        <f>IF([1]Sheet1!E318="","",[1]Sheet1!E318)</f>
        <v/>
      </c>
      <c r="F282" t="str">
        <f>IF([1]Sheet1!F318="","",[1]Sheet1!F318)</f>
        <v/>
      </c>
      <c r="G282" t="str">
        <f>IF([1]Sheet1!G318="","",[1]Sheet1!G318)</f>
        <v/>
      </c>
      <c r="H282" t="str">
        <f>IF([1]Sheet1!H318="","",[1]Sheet1!H318)</f>
        <v/>
      </c>
      <c r="I282" t="str">
        <f>IF([1]Sheet1!I318="","",[1]Sheet1!I318)</f>
        <v/>
      </c>
      <c r="J282" t="str">
        <f>IF([1]Sheet1!J318="","",[1]Sheet1!J318)</f>
        <v/>
      </c>
      <c r="K282" t="str">
        <f>IF([1]Sheet1!K318="","",[1]Sheet1!K318)</f>
        <v/>
      </c>
      <c r="L282" t="str">
        <f>IF([1]Sheet1!L318="","",[1]Sheet1!L318)</f>
        <v/>
      </c>
      <c r="M282" t="str">
        <f>IF([1]Sheet1!M318="","",[1]Sheet1!M318)</f>
        <v/>
      </c>
      <c r="N282" t="str">
        <f>IF([1]Sheet1!N318="","",[1]Sheet1!N318)</f>
        <v/>
      </c>
      <c r="O282" t="str">
        <f>IF([1]Sheet1!O318="","",[1]Sheet1!O318)</f>
        <v/>
      </c>
      <c r="P282" t="str">
        <f>IF([1]Sheet1!P318="","",[1]Sheet1!P318)</f>
        <v/>
      </c>
    </row>
    <row r="283" spans="1:16" x14ac:dyDescent="0.25">
      <c r="A283" t="str">
        <f>IF([1]Sheet1!A319="","",[1]Sheet1!A319)</f>
        <v/>
      </c>
      <c r="B283" t="str">
        <f>IF([1]Sheet1!B319="","",[1]Sheet1!B319)</f>
        <v/>
      </c>
      <c r="C283" t="str">
        <f>IF([1]Sheet1!C319="","",[1]Sheet1!C319)</f>
        <v/>
      </c>
      <c r="D283" t="str">
        <f>IF([1]Sheet1!D319="","",[1]Sheet1!D319)</f>
        <v/>
      </c>
      <c r="E283" t="str">
        <f>IF([1]Sheet1!E319="","",[1]Sheet1!E319)</f>
        <v/>
      </c>
      <c r="F283" t="str">
        <f>IF([1]Sheet1!F319="","",[1]Sheet1!F319)</f>
        <v/>
      </c>
      <c r="G283" t="str">
        <f>IF([1]Sheet1!G319="","",[1]Sheet1!G319)</f>
        <v/>
      </c>
      <c r="H283" t="str">
        <f>IF([1]Sheet1!H319="","",[1]Sheet1!H319)</f>
        <v/>
      </c>
      <c r="I283" t="str">
        <f>IF([1]Sheet1!I319="","",[1]Sheet1!I319)</f>
        <v/>
      </c>
      <c r="J283" t="str">
        <f>IF([1]Sheet1!J319="","",[1]Sheet1!J319)</f>
        <v/>
      </c>
      <c r="K283" t="str">
        <f>IF([1]Sheet1!K319="","",[1]Sheet1!K319)</f>
        <v/>
      </c>
      <c r="L283" t="str">
        <f>IF([1]Sheet1!L319="","",[1]Sheet1!L319)</f>
        <v/>
      </c>
      <c r="M283" t="str">
        <f>IF([1]Sheet1!M319="","",[1]Sheet1!M319)</f>
        <v/>
      </c>
      <c r="N283" t="str">
        <f>IF([1]Sheet1!N319="","",[1]Sheet1!N319)</f>
        <v/>
      </c>
      <c r="O283" t="str">
        <f>IF([1]Sheet1!O319="","",[1]Sheet1!O319)</f>
        <v/>
      </c>
      <c r="P283" t="str">
        <f>IF([1]Sheet1!P319="","",[1]Sheet1!P319)</f>
        <v/>
      </c>
    </row>
    <row r="284" spans="1:16" x14ac:dyDescent="0.25">
      <c r="A284" t="str">
        <f>IF([1]Sheet1!A320="","",[1]Sheet1!A320)</f>
        <v/>
      </c>
      <c r="B284" t="str">
        <f>IF([1]Sheet1!B320="","",[1]Sheet1!B320)</f>
        <v/>
      </c>
      <c r="C284" t="str">
        <f>IF([1]Sheet1!C320="","",[1]Sheet1!C320)</f>
        <v/>
      </c>
      <c r="D284" t="str">
        <f>IF([1]Sheet1!D320="","",[1]Sheet1!D320)</f>
        <v/>
      </c>
      <c r="E284" t="str">
        <f>IF([1]Sheet1!E320="","",[1]Sheet1!E320)</f>
        <v/>
      </c>
      <c r="F284" t="str">
        <f>IF([1]Sheet1!F320="","",[1]Sheet1!F320)</f>
        <v/>
      </c>
      <c r="G284" t="str">
        <f>IF([1]Sheet1!G320="","",[1]Sheet1!G320)</f>
        <v/>
      </c>
      <c r="H284" t="str">
        <f>IF([1]Sheet1!H320="","",[1]Sheet1!H320)</f>
        <v/>
      </c>
      <c r="I284" t="str">
        <f>IF([1]Sheet1!I320="","",[1]Sheet1!I320)</f>
        <v/>
      </c>
      <c r="J284" t="str">
        <f>IF([1]Sheet1!J320="","",[1]Sheet1!J320)</f>
        <v/>
      </c>
      <c r="K284" t="str">
        <f>IF([1]Sheet1!K320="","",[1]Sheet1!K320)</f>
        <v/>
      </c>
      <c r="L284" t="str">
        <f>IF([1]Sheet1!L320="","",[1]Sheet1!L320)</f>
        <v/>
      </c>
      <c r="M284" t="str">
        <f>IF([1]Sheet1!M320="","",[1]Sheet1!M320)</f>
        <v/>
      </c>
      <c r="N284" t="str">
        <f>IF([1]Sheet1!N320="","",[1]Sheet1!N320)</f>
        <v/>
      </c>
      <c r="O284" t="str">
        <f>IF([1]Sheet1!O320="","",[1]Sheet1!O320)</f>
        <v/>
      </c>
      <c r="P284" t="str">
        <f>IF([1]Sheet1!P320="","",[1]Sheet1!P320)</f>
        <v/>
      </c>
    </row>
    <row r="285" spans="1:16" x14ac:dyDescent="0.25">
      <c r="A285" t="str">
        <f>IF([1]Sheet1!A321="","",[1]Sheet1!A321)</f>
        <v/>
      </c>
      <c r="B285" t="str">
        <f>IF([1]Sheet1!B321="","",[1]Sheet1!B321)</f>
        <v/>
      </c>
      <c r="C285" t="str">
        <f>IF([1]Sheet1!C321="","",[1]Sheet1!C321)</f>
        <v/>
      </c>
      <c r="D285" t="str">
        <f>IF([1]Sheet1!D321="","",[1]Sheet1!D321)</f>
        <v/>
      </c>
      <c r="E285" t="str">
        <f>IF([1]Sheet1!E321="","",[1]Sheet1!E321)</f>
        <v/>
      </c>
      <c r="F285" t="str">
        <f>IF([1]Sheet1!F321="","",[1]Sheet1!F321)</f>
        <v/>
      </c>
      <c r="G285" t="str">
        <f>IF([1]Sheet1!G321="","",[1]Sheet1!G321)</f>
        <v/>
      </c>
      <c r="H285" t="str">
        <f>IF([1]Sheet1!H321="","",[1]Sheet1!H321)</f>
        <v/>
      </c>
      <c r="I285" t="str">
        <f>IF([1]Sheet1!I321="","",[1]Sheet1!I321)</f>
        <v/>
      </c>
      <c r="J285" t="str">
        <f>IF([1]Sheet1!J321="","",[1]Sheet1!J321)</f>
        <v/>
      </c>
      <c r="K285" t="str">
        <f>IF([1]Sheet1!K321="","",[1]Sheet1!K321)</f>
        <v/>
      </c>
      <c r="L285" t="str">
        <f>IF([1]Sheet1!L321="","",[1]Sheet1!L321)</f>
        <v/>
      </c>
      <c r="M285" t="str">
        <f>IF([1]Sheet1!M321="","",[1]Sheet1!M321)</f>
        <v/>
      </c>
      <c r="N285" t="str">
        <f>IF([1]Sheet1!N321="","",[1]Sheet1!N321)</f>
        <v/>
      </c>
      <c r="O285" t="str">
        <f>IF([1]Sheet1!O321="","",[1]Sheet1!O321)</f>
        <v/>
      </c>
      <c r="P285" t="str">
        <f>IF([1]Sheet1!P321="","",[1]Sheet1!P321)</f>
        <v/>
      </c>
    </row>
    <row r="286" spans="1:16" x14ac:dyDescent="0.25">
      <c r="A286" t="str">
        <f>IF([1]Sheet1!A322="","",[1]Sheet1!A322)</f>
        <v/>
      </c>
      <c r="B286" t="str">
        <f>IF([1]Sheet1!B322="","",[1]Sheet1!B322)</f>
        <v/>
      </c>
      <c r="C286" t="str">
        <f>IF([1]Sheet1!C322="","",[1]Sheet1!C322)</f>
        <v/>
      </c>
      <c r="D286" t="str">
        <f>IF([1]Sheet1!D322="","",[1]Sheet1!D322)</f>
        <v/>
      </c>
      <c r="E286" t="str">
        <f>IF([1]Sheet1!E322="","",[1]Sheet1!E322)</f>
        <v/>
      </c>
      <c r="F286" t="str">
        <f>IF([1]Sheet1!F322="","",[1]Sheet1!F322)</f>
        <v/>
      </c>
      <c r="G286" t="str">
        <f>IF([1]Sheet1!G322="","",[1]Sheet1!G322)</f>
        <v/>
      </c>
      <c r="H286" t="str">
        <f>IF([1]Sheet1!H322="","",[1]Sheet1!H322)</f>
        <v/>
      </c>
      <c r="I286" t="str">
        <f>IF([1]Sheet1!I322="","",[1]Sheet1!I322)</f>
        <v/>
      </c>
      <c r="J286" t="str">
        <f>IF([1]Sheet1!J322="","",[1]Sheet1!J322)</f>
        <v/>
      </c>
      <c r="K286" t="str">
        <f>IF([1]Sheet1!K322="","",[1]Sheet1!K322)</f>
        <v/>
      </c>
      <c r="L286" t="str">
        <f>IF([1]Sheet1!L322="","",[1]Sheet1!L322)</f>
        <v/>
      </c>
      <c r="M286" t="str">
        <f>IF([1]Sheet1!M322="","",[1]Sheet1!M322)</f>
        <v/>
      </c>
      <c r="N286" t="str">
        <f>IF([1]Sheet1!N322="","",[1]Sheet1!N322)</f>
        <v/>
      </c>
      <c r="O286" t="str">
        <f>IF([1]Sheet1!O322="","",[1]Sheet1!O322)</f>
        <v/>
      </c>
      <c r="P286" t="str">
        <f>IF([1]Sheet1!P322="","",[1]Sheet1!P322)</f>
        <v/>
      </c>
    </row>
    <row r="287" spans="1:16" x14ac:dyDescent="0.25">
      <c r="A287" t="str">
        <f>IF([1]Sheet1!A323="","",[1]Sheet1!A323)</f>
        <v/>
      </c>
      <c r="B287" t="str">
        <f>IF([1]Sheet1!B323="","",[1]Sheet1!B323)</f>
        <v/>
      </c>
      <c r="C287" t="str">
        <f>IF([1]Sheet1!C323="","",[1]Sheet1!C323)</f>
        <v/>
      </c>
      <c r="D287" t="str">
        <f>IF([1]Sheet1!D323="","",[1]Sheet1!D323)</f>
        <v/>
      </c>
      <c r="E287" t="str">
        <f>IF([1]Sheet1!E323="","",[1]Sheet1!E323)</f>
        <v/>
      </c>
      <c r="F287" t="str">
        <f>IF([1]Sheet1!F323="","",[1]Sheet1!F323)</f>
        <v/>
      </c>
      <c r="G287" t="str">
        <f>IF([1]Sheet1!G323="","",[1]Sheet1!G323)</f>
        <v/>
      </c>
      <c r="H287" t="str">
        <f>IF([1]Sheet1!H323="","",[1]Sheet1!H323)</f>
        <v/>
      </c>
      <c r="I287" t="str">
        <f>IF([1]Sheet1!I323="","",[1]Sheet1!I323)</f>
        <v/>
      </c>
      <c r="J287" t="str">
        <f>IF([1]Sheet1!J323="","",[1]Sheet1!J323)</f>
        <v/>
      </c>
      <c r="K287" t="str">
        <f>IF([1]Sheet1!K323="","",[1]Sheet1!K323)</f>
        <v/>
      </c>
      <c r="L287" t="str">
        <f>IF([1]Sheet1!L323="","",[1]Sheet1!L323)</f>
        <v/>
      </c>
      <c r="M287" t="str">
        <f>IF([1]Sheet1!M323="","",[1]Sheet1!M323)</f>
        <v/>
      </c>
      <c r="N287" t="str">
        <f>IF([1]Sheet1!N323="","",[1]Sheet1!N323)</f>
        <v/>
      </c>
      <c r="O287" t="str">
        <f>IF([1]Sheet1!O323="","",[1]Sheet1!O323)</f>
        <v/>
      </c>
      <c r="P287" t="str">
        <f>IF([1]Sheet1!P323="","",[1]Sheet1!P323)</f>
        <v/>
      </c>
    </row>
    <row r="288" spans="1:16" x14ac:dyDescent="0.25">
      <c r="A288" t="str">
        <f>IF([1]Sheet1!A324="","",[1]Sheet1!A324)</f>
        <v/>
      </c>
      <c r="B288" t="str">
        <f>IF([1]Sheet1!B324="","",[1]Sheet1!B324)</f>
        <v/>
      </c>
      <c r="C288" t="str">
        <f>IF([1]Sheet1!C324="","",[1]Sheet1!C324)</f>
        <v/>
      </c>
      <c r="D288" t="str">
        <f>IF([1]Sheet1!D324="","",[1]Sheet1!D324)</f>
        <v/>
      </c>
      <c r="E288" t="str">
        <f>IF([1]Sheet1!E324="","",[1]Sheet1!E324)</f>
        <v/>
      </c>
      <c r="F288" t="str">
        <f>IF([1]Sheet1!F324="","",[1]Sheet1!F324)</f>
        <v/>
      </c>
      <c r="G288" t="str">
        <f>IF([1]Sheet1!G324="","",[1]Sheet1!G324)</f>
        <v/>
      </c>
      <c r="H288" t="str">
        <f>IF([1]Sheet1!H324="","",[1]Sheet1!H324)</f>
        <v/>
      </c>
      <c r="I288" t="str">
        <f>IF([1]Sheet1!I324="","",[1]Sheet1!I324)</f>
        <v/>
      </c>
      <c r="J288" t="str">
        <f>IF([1]Sheet1!J324="","",[1]Sheet1!J324)</f>
        <v/>
      </c>
      <c r="K288" t="str">
        <f>IF([1]Sheet1!K324="","",[1]Sheet1!K324)</f>
        <v/>
      </c>
      <c r="L288" t="str">
        <f>IF([1]Sheet1!L324="","",[1]Sheet1!L324)</f>
        <v/>
      </c>
      <c r="M288" t="str">
        <f>IF([1]Sheet1!M324="","",[1]Sheet1!M324)</f>
        <v/>
      </c>
      <c r="N288" t="str">
        <f>IF([1]Sheet1!N324="","",[1]Sheet1!N324)</f>
        <v/>
      </c>
      <c r="O288" t="str">
        <f>IF([1]Sheet1!O324="","",[1]Sheet1!O324)</f>
        <v/>
      </c>
      <c r="P288" t="str">
        <f>IF([1]Sheet1!P324="","",[1]Sheet1!P324)</f>
        <v/>
      </c>
    </row>
    <row r="289" spans="1:16" x14ac:dyDescent="0.25">
      <c r="A289" t="str">
        <f>IF([1]Sheet1!A325="","",[1]Sheet1!A325)</f>
        <v/>
      </c>
      <c r="B289" t="str">
        <f>IF([1]Sheet1!B325="","",[1]Sheet1!B325)</f>
        <v/>
      </c>
      <c r="C289" t="str">
        <f>IF([1]Sheet1!C325="","",[1]Sheet1!C325)</f>
        <v/>
      </c>
      <c r="D289" t="str">
        <f>IF([1]Sheet1!D325="","",[1]Sheet1!D325)</f>
        <v/>
      </c>
      <c r="E289" t="str">
        <f>IF([1]Sheet1!E325="","",[1]Sheet1!E325)</f>
        <v/>
      </c>
      <c r="F289" t="str">
        <f>IF([1]Sheet1!F325="","",[1]Sheet1!F325)</f>
        <v/>
      </c>
      <c r="G289" t="str">
        <f>IF([1]Sheet1!G325="","",[1]Sheet1!G325)</f>
        <v/>
      </c>
      <c r="H289" t="str">
        <f>IF([1]Sheet1!H325="","",[1]Sheet1!H325)</f>
        <v/>
      </c>
      <c r="I289" t="str">
        <f>IF([1]Sheet1!I325="","",[1]Sheet1!I325)</f>
        <v/>
      </c>
      <c r="J289" t="str">
        <f>IF([1]Sheet1!J325="","",[1]Sheet1!J325)</f>
        <v/>
      </c>
      <c r="K289" t="str">
        <f>IF([1]Sheet1!K325="","",[1]Sheet1!K325)</f>
        <v/>
      </c>
      <c r="L289" t="str">
        <f>IF([1]Sheet1!L325="","",[1]Sheet1!L325)</f>
        <v/>
      </c>
      <c r="M289" t="str">
        <f>IF([1]Sheet1!M325="","",[1]Sheet1!M325)</f>
        <v/>
      </c>
      <c r="N289" t="str">
        <f>IF([1]Sheet1!N325="","",[1]Sheet1!N325)</f>
        <v/>
      </c>
      <c r="O289" t="str">
        <f>IF([1]Sheet1!O325="","",[1]Sheet1!O325)</f>
        <v/>
      </c>
      <c r="P289" t="str">
        <f>IF([1]Sheet1!P325="","",[1]Sheet1!P325)</f>
        <v/>
      </c>
    </row>
    <row r="290" spans="1:16" x14ac:dyDescent="0.25">
      <c r="A290" t="str">
        <f>IF([1]Sheet1!A326="","",[1]Sheet1!A326)</f>
        <v/>
      </c>
      <c r="B290" t="str">
        <f>IF([1]Sheet1!B326="","",[1]Sheet1!B326)</f>
        <v/>
      </c>
      <c r="C290" t="str">
        <f>IF([1]Sheet1!C326="","",[1]Sheet1!C326)</f>
        <v/>
      </c>
      <c r="D290" t="str">
        <f>IF([1]Sheet1!D326="","",[1]Sheet1!D326)</f>
        <v/>
      </c>
      <c r="E290" t="str">
        <f>IF([1]Sheet1!E326="","",[1]Sheet1!E326)</f>
        <v/>
      </c>
      <c r="F290" t="str">
        <f>IF([1]Sheet1!F326="","",[1]Sheet1!F326)</f>
        <v/>
      </c>
      <c r="G290" t="str">
        <f>IF([1]Sheet1!G326="","",[1]Sheet1!G326)</f>
        <v/>
      </c>
      <c r="H290" t="str">
        <f>IF([1]Sheet1!H326="","",[1]Sheet1!H326)</f>
        <v/>
      </c>
      <c r="I290" t="str">
        <f>IF([1]Sheet1!I326="","",[1]Sheet1!I326)</f>
        <v/>
      </c>
      <c r="J290" t="str">
        <f>IF([1]Sheet1!J326="","",[1]Sheet1!J326)</f>
        <v/>
      </c>
      <c r="K290" t="str">
        <f>IF([1]Sheet1!K326="","",[1]Sheet1!K326)</f>
        <v/>
      </c>
      <c r="L290" t="str">
        <f>IF([1]Sheet1!L326="","",[1]Sheet1!L326)</f>
        <v/>
      </c>
      <c r="M290" t="str">
        <f>IF([1]Sheet1!M326="","",[1]Sheet1!M326)</f>
        <v/>
      </c>
      <c r="N290" t="str">
        <f>IF([1]Sheet1!N326="","",[1]Sheet1!N326)</f>
        <v/>
      </c>
      <c r="O290" t="str">
        <f>IF([1]Sheet1!O326="","",[1]Sheet1!O326)</f>
        <v/>
      </c>
      <c r="P290" t="str">
        <f>IF([1]Sheet1!P326="","",[1]Sheet1!P326)</f>
        <v/>
      </c>
    </row>
    <row r="291" spans="1:16" x14ac:dyDescent="0.25">
      <c r="A291" t="str">
        <f>IF([1]Sheet1!A327="","",[1]Sheet1!A327)</f>
        <v/>
      </c>
      <c r="B291" t="str">
        <f>IF([1]Sheet1!B327="","",[1]Sheet1!B327)</f>
        <v/>
      </c>
      <c r="C291" t="str">
        <f>IF([1]Sheet1!C327="","",[1]Sheet1!C327)</f>
        <v/>
      </c>
      <c r="D291" t="str">
        <f>IF([1]Sheet1!D327="","",[1]Sheet1!D327)</f>
        <v/>
      </c>
      <c r="E291" t="str">
        <f>IF([1]Sheet1!E327="","",[1]Sheet1!E327)</f>
        <v/>
      </c>
      <c r="F291" t="str">
        <f>IF([1]Sheet1!F327="","",[1]Sheet1!F327)</f>
        <v/>
      </c>
      <c r="G291" t="str">
        <f>IF([1]Sheet1!G327="","",[1]Sheet1!G327)</f>
        <v/>
      </c>
      <c r="H291" t="str">
        <f>IF([1]Sheet1!H327="","",[1]Sheet1!H327)</f>
        <v/>
      </c>
      <c r="I291" t="str">
        <f>IF([1]Sheet1!I327="","",[1]Sheet1!I327)</f>
        <v/>
      </c>
      <c r="J291" t="str">
        <f>IF([1]Sheet1!J327="","",[1]Sheet1!J327)</f>
        <v/>
      </c>
      <c r="K291" t="str">
        <f>IF([1]Sheet1!K327="","",[1]Sheet1!K327)</f>
        <v/>
      </c>
      <c r="L291" t="str">
        <f>IF([1]Sheet1!L327="","",[1]Sheet1!L327)</f>
        <v/>
      </c>
      <c r="M291" t="str">
        <f>IF([1]Sheet1!M327="","",[1]Sheet1!M327)</f>
        <v/>
      </c>
      <c r="N291" t="str">
        <f>IF([1]Sheet1!N327="","",[1]Sheet1!N327)</f>
        <v/>
      </c>
      <c r="O291" t="str">
        <f>IF([1]Sheet1!O327="","",[1]Sheet1!O327)</f>
        <v/>
      </c>
      <c r="P291" t="str">
        <f>IF([1]Sheet1!P327="","",[1]Sheet1!P327)</f>
        <v/>
      </c>
    </row>
    <row r="292" spans="1:16" x14ac:dyDescent="0.25">
      <c r="A292" t="str">
        <f>IF([1]Sheet1!A328="","",[1]Sheet1!A328)</f>
        <v/>
      </c>
      <c r="B292" t="str">
        <f>IF([1]Sheet1!B328="","",[1]Sheet1!B328)</f>
        <v/>
      </c>
      <c r="C292" t="str">
        <f>IF([1]Sheet1!C328="","",[1]Sheet1!C328)</f>
        <v/>
      </c>
      <c r="D292" t="str">
        <f>IF([1]Sheet1!D328="","",[1]Sheet1!D328)</f>
        <v/>
      </c>
      <c r="E292" t="str">
        <f>IF([1]Sheet1!E328="","",[1]Sheet1!E328)</f>
        <v/>
      </c>
      <c r="F292" t="str">
        <f>IF([1]Sheet1!F328="","",[1]Sheet1!F328)</f>
        <v/>
      </c>
      <c r="G292" t="str">
        <f>IF([1]Sheet1!G328="","",[1]Sheet1!G328)</f>
        <v/>
      </c>
      <c r="H292" t="str">
        <f>IF([1]Sheet1!H328="","",[1]Sheet1!H328)</f>
        <v/>
      </c>
      <c r="I292" t="str">
        <f>IF([1]Sheet1!I328="","",[1]Sheet1!I328)</f>
        <v/>
      </c>
      <c r="J292" t="str">
        <f>IF([1]Sheet1!J328="","",[1]Sheet1!J328)</f>
        <v/>
      </c>
      <c r="K292" t="str">
        <f>IF([1]Sheet1!K328="","",[1]Sheet1!K328)</f>
        <v/>
      </c>
      <c r="L292" t="str">
        <f>IF([1]Sheet1!L328="","",[1]Sheet1!L328)</f>
        <v/>
      </c>
      <c r="M292" t="str">
        <f>IF([1]Sheet1!M328="","",[1]Sheet1!M328)</f>
        <v/>
      </c>
      <c r="N292" t="str">
        <f>IF([1]Sheet1!N328="","",[1]Sheet1!N328)</f>
        <v/>
      </c>
      <c r="O292" t="str">
        <f>IF([1]Sheet1!O328="","",[1]Sheet1!O328)</f>
        <v/>
      </c>
      <c r="P292" t="str">
        <f>IF([1]Sheet1!P328="","",[1]Sheet1!P328)</f>
        <v/>
      </c>
    </row>
    <row r="293" spans="1:16" x14ac:dyDescent="0.25">
      <c r="A293" t="str">
        <f>IF([1]Sheet1!A329="","",[1]Sheet1!A329)</f>
        <v/>
      </c>
      <c r="B293" t="str">
        <f>IF([1]Sheet1!B329="","",[1]Sheet1!B329)</f>
        <v/>
      </c>
      <c r="C293" t="str">
        <f>IF([1]Sheet1!C329="","",[1]Sheet1!C329)</f>
        <v/>
      </c>
      <c r="D293" t="str">
        <f>IF([1]Sheet1!D329="","",[1]Sheet1!D329)</f>
        <v/>
      </c>
      <c r="E293" t="str">
        <f>IF([1]Sheet1!E329="","",[1]Sheet1!E329)</f>
        <v/>
      </c>
      <c r="F293" t="str">
        <f>IF([1]Sheet1!F329="","",[1]Sheet1!F329)</f>
        <v/>
      </c>
      <c r="G293" t="str">
        <f>IF([1]Sheet1!G329="","",[1]Sheet1!G329)</f>
        <v/>
      </c>
      <c r="H293" t="str">
        <f>IF([1]Sheet1!H329="","",[1]Sheet1!H329)</f>
        <v/>
      </c>
      <c r="I293" t="str">
        <f>IF([1]Sheet1!I329="","",[1]Sheet1!I329)</f>
        <v/>
      </c>
      <c r="J293" t="str">
        <f>IF([1]Sheet1!J329="","",[1]Sheet1!J329)</f>
        <v/>
      </c>
      <c r="K293" t="str">
        <f>IF([1]Sheet1!K329="","",[1]Sheet1!K329)</f>
        <v/>
      </c>
      <c r="L293" t="str">
        <f>IF([1]Sheet1!L329="","",[1]Sheet1!L329)</f>
        <v/>
      </c>
      <c r="M293" t="str">
        <f>IF([1]Sheet1!M329="","",[1]Sheet1!M329)</f>
        <v/>
      </c>
      <c r="N293" t="str">
        <f>IF([1]Sheet1!N329="","",[1]Sheet1!N329)</f>
        <v/>
      </c>
      <c r="O293" t="str">
        <f>IF([1]Sheet1!O329="","",[1]Sheet1!O329)</f>
        <v/>
      </c>
      <c r="P293" t="str">
        <f>IF([1]Sheet1!P329="","",[1]Sheet1!P329)</f>
        <v/>
      </c>
    </row>
    <row r="294" spans="1:16" x14ac:dyDescent="0.25">
      <c r="A294" t="str">
        <f>IF([1]Sheet1!A330="","",[1]Sheet1!A330)</f>
        <v/>
      </c>
      <c r="B294" t="str">
        <f>IF([1]Sheet1!B330="","",[1]Sheet1!B330)</f>
        <v/>
      </c>
      <c r="C294" t="str">
        <f>IF([1]Sheet1!C330="","",[1]Sheet1!C330)</f>
        <v/>
      </c>
      <c r="D294" t="str">
        <f>IF([1]Sheet1!D330="","",[1]Sheet1!D330)</f>
        <v/>
      </c>
      <c r="E294" t="str">
        <f>IF([1]Sheet1!E330="","",[1]Sheet1!E330)</f>
        <v/>
      </c>
      <c r="F294" t="str">
        <f>IF([1]Sheet1!F330="","",[1]Sheet1!F330)</f>
        <v/>
      </c>
      <c r="G294" t="str">
        <f>IF([1]Sheet1!G330="","",[1]Sheet1!G330)</f>
        <v/>
      </c>
      <c r="H294" t="str">
        <f>IF([1]Sheet1!H330="","",[1]Sheet1!H330)</f>
        <v/>
      </c>
      <c r="I294" t="str">
        <f>IF([1]Sheet1!I330="","",[1]Sheet1!I330)</f>
        <v/>
      </c>
      <c r="J294" t="str">
        <f>IF([1]Sheet1!J330="","",[1]Sheet1!J330)</f>
        <v/>
      </c>
      <c r="K294" t="str">
        <f>IF([1]Sheet1!K330="","",[1]Sheet1!K330)</f>
        <v/>
      </c>
      <c r="L294" t="str">
        <f>IF([1]Sheet1!L330="","",[1]Sheet1!L330)</f>
        <v/>
      </c>
      <c r="M294" t="str">
        <f>IF([1]Sheet1!M330="","",[1]Sheet1!M330)</f>
        <v/>
      </c>
      <c r="N294" t="str">
        <f>IF([1]Sheet1!N330="","",[1]Sheet1!N330)</f>
        <v/>
      </c>
      <c r="O294" t="str">
        <f>IF([1]Sheet1!O330="","",[1]Sheet1!O330)</f>
        <v/>
      </c>
      <c r="P294" t="str">
        <f>IF([1]Sheet1!P330="","",[1]Sheet1!P330)</f>
        <v/>
      </c>
    </row>
    <row r="295" spans="1:16" x14ac:dyDescent="0.25">
      <c r="A295" t="str">
        <f>IF([1]Sheet1!A331="","",[1]Sheet1!A331)</f>
        <v/>
      </c>
      <c r="B295" t="str">
        <f>IF([1]Sheet1!B331="","",[1]Sheet1!B331)</f>
        <v/>
      </c>
      <c r="C295" t="str">
        <f>IF([1]Sheet1!C331="","",[1]Sheet1!C331)</f>
        <v/>
      </c>
      <c r="D295" t="str">
        <f>IF([1]Sheet1!D331="","",[1]Sheet1!D331)</f>
        <v/>
      </c>
      <c r="E295" t="str">
        <f>IF([1]Sheet1!E331="","",[1]Sheet1!E331)</f>
        <v/>
      </c>
      <c r="F295" t="str">
        <f>IF([1]Sheet1!F331="","",[1]Sheet1!F331)</f>
        <v/>
      </c>
      <c r="G295" t="str">
        <f>IF([1]Sheet1!G331="","",[1]Sheet1!G331)</f>
        <v/>
      </c>
      <c r="H295" t="str">
        <f>IF([1]Sheet1!H331="","",[1]Sheet1!H331)</f>
        <v/>
      </c>
      <c r="I295" t="str">
        <f>IF([1]Sheet1!I331="","",[1]Sheet1!I331)</f>
        <v/>
      </c>
      <c r="J295" t="str">
        <f>IF([1]Sheet1!J331="","",[1]Sheet1!J331)</f>
        <v/>
      </c>
      <c r="K295" t="str">
        <f>IF([1]Sheet1!K331="","",[1]Sheet1!K331)</f>
        <v/>
      </c>
      <c r="L295" t="str">
        <f>IF([1]Sheet1!L331="","",[1]Sheet1!L331)</f>
        <v/>
      </c>
      <c r="M295" t="str">
        <f>IF([1]Sheet1!M331="","",[1]Sheet1!M331)</f>
        <v/>
      </c>
      <c r="N295" t="str">
        <f>IF([1]Sheet1!N331="","",[1]Sheet1!N331)</f>
        <v/>
      </c>
      <c r="O295" t="str">
        <f>IF([1]Sheet1!O331="","",[1]Sheet1!O331)</f>
        <v/>
      </c>
      <c r="P295" t="str">
        <f>IF([1]Sheet1!P331="","",[1]Sheet1!P331)</f>
        <v/>
      </c>
    </row>
    <row r="296" spans="1:16" x14ac:dyDescent="0.25">
      <c r="A296" t="str">
        <f>IF([1]Sheet1!A332="","",[1]Sheet1!A332)</f>
        <v/>
      </c>
      <c r="B296" t="str">
        <f>IF([1]Sheet1!B332="","",[1]Sheet1!B332)</f>
        <v/>
      </c>
      <c r="C296" t="str">
        <f>IF([1]Sheet1!C332="","",[1]Sheet1!C332)</f>
        <v/>
      </c>
      <c r="D296" t="str">
        <f>IF([1]Sheet1!D332="","",[1]Sheet1!D332)</f>
        <v/>
      </c>
      <c r="E296" t="str">
        <f>IF([1]Sheet1!E332="","",[1]Sheet1!E332)</f>
        <v/>
      </c>
      <c r="F296" t="str">
        <f>IF([1]Sheet1!F332="","",[1]Sheet1!F332)</f>
        <v/>
      </c>
      <c r="G296" t="str">
        <f>IF([1]Sheet1!G332="","",[1]Sheet1!G332)</f>
        <v/>
      </c>
      <c r="H296" t="str">
        <f>IF([1]Sheet1!H332="","",[1]Sheet1!H332)</f>
        <v/>
      </c>
      <c r="I296" t="str">
        <f>IF([1]Sheet1!I332="","",[1]Sheet1!I332)</f>
        <v/>
      </c>
      <c r="J296" t="str">
        <f>IF([1]Sheet1!J332="","",[1]Sheet1!J332)</f>
        <v/>
      </c>
      <c r="K296" t="str">
        <f>IF([1]Sheet1!K332="","",[1]Sheet1!K332)</f>
        <v/>
      </c>
      <c r="L296" t="str">
        <f>IF([1]Sheet1!L332="","",[1]Sheet1!L332)</f>
        <v/>
      </c>
      <c r="M296" t="str">
        <f>IF([1]Sheet1!M332="","",[1]Sheet1!M332)</f>
        <v/>
      </c>
      <c r="N296" t="str">
        <f>IF([1]Sheet1!N332="","",[1]Sheet1!N332)</f>
        <v/>
      </c>
      <c r="O296" t="str">
        <f>IF([1]Sheet1!O332="","",[1]Sheet1!O332)</f>
        <v/>
      </c>
      <c r="P296" t="str">
        <f>IF([1]Sheet1!P332="","",[1]Sheet1!P332)</f>
        <v/>
      </c>
    </row>
    <row r="297" spans="1:16" x14ac:dyDescent="0.25">
      <c r="A297" t="str">
        <f>IF([1]Sheet1!A333="","",[1]Sheet1!A333)</f>
        <v/>
      </c>
      <c r="B297" t="str">
        <f>IF([1]Sheet1!B333="","",[1]Sheet1!B333)</f>
        <v/>
      </c>
      <c r="C297" t="str">
        <f>IF([1]Sheet1!C333="","",[1]Sheet1!C333)</f>
        <v/>
      </c>
      <c r="D297" t="str">
        <f>IF([1]Sheet1!D333="","",[1]Sheet1!D333)</f>
        <v/>
      </c>
      <c r="E297" t="str">
        <f>IF([1]Sheet1!E333="","",[1]Sheet1!E333)</f>
        <v/>
      </c>
      <c r="F297" t="str">
        <f>IF([1]Sheet1!F333="","",[1]Sheet1!F333)</f>
        <v/>
      </c>
      <c r="G297" t="str">
        <f>IF([1]Sheet1!G333="","",[1]Sheet1!G333)</f>
        <v/>
      </c>
      <c r="H297" t="str">
        <f>IF([1]Sheet1!H333="","",[1]Sheet1!H333)</f>
        <v/>
      </c>
      <c r="I297" t="str">
        <f>IF([1]Sheet1!I333="","",[1]Sheet1!I333)</f>
        <v/>
      </c>
      <c r="J297" t="str">
        <f>IF([1]Sheet1!J333="","",[1]Sheet1!J333)</f>
        <v/>
      </c>
      <c r="K297" t="str">
        <f>IF([1]Sheet1!K333="","",[1]Sheet1!K333)</f>
        <v/>
      </c>
      <c r="L297" t="str">
        <f>IF([1]Sheet1!L333="","",[1]Sheet1!L333)</f>
        <v/>
      </c>
      <c r="M297" t="str">
        <f>IF([1]Sheet1!M333="","",[1]Sheet1!M333)</f>
        <v/>
      </c>
      <c r="N297" t="str">
        <f>IF([1]Sheet1!N333="","",[1]Sheet1!N333)</f>
        <v/>
      </c>
      <c r="O297" t="str">
        <f>IF([1]Sheet1!O333="","",[1]Sheet1!O333)</f>
        <v/>
      </c>
      <c r="P297" t="str">
        <f>IF([1]Sheet1!P333="","",[1]Sheet1!P333)</f>
        <v/>
      </c>
    </row>
    <row r="298" spans="1:16" x14ac:dyDescent="0.25">
      <c r="A298" t="str">
        <f>IF([1]Sheet1!A334="","",[1]Sheet1!A334)</f>
        <v/>
      </c>
      <c r="B298" t="str">
        <f>IF([1]Sheet1!B334="","",[1]Sheet1!B334)</f>
        <v/>
      </c>
      <c r="C298" t="str">
        <f>IF([1]Sheet1!C334="","",[1]Sheet1!C334)</f>
        <v/>
      </c>
      <c r="D298" t="str">
        <f>IF([1]Sheet1!D334="","",[1]Sheet1!D334)</f>
        <v/>
      </c>
      <c r="E298" t="str">
        <f>IF([1]Sheet1!E334="","",[1]Sheet1!E334)</f>
        <v/>
      </c>
      <c r="F298" t="str">
        <f>IF([1]Sheet1!F334="","",[1]Sheet1!F334)</f>
        <v/>
      </c>
      <c r="G298" t="str">
        <f>IF([1]Sheet1!G334="","",[1]Sheet1!G334)</f>
        <v/>
      </c>
      <c r="H298" t="str">
        <f>IF([1]Sheet1!H334="","",[1]Sheet1!H334)</f>
        <v/>
      </c>
      <c r="I298" t="str">
        <f>IF([1]Sheet1!I334="","",[1]Sheet1!I334)</f>
        <v/>
      </c>
      <c r="J298" t="str">
        <f>IF([1]Sheet1!J334="","",[1]Sheet1!J334)</f>
        <v/>
      </c>
      <c r="K298" t="str">
        <f>IF([1]Sheet1!K334="","",[1]Sheet1!K334)</f>
        <v/>
      </c>
      <c r="L298" t="str">
        <f>IF([1]Sheet1!L334="","",[1]Sheet1!L334)</f>
        <v/>
      </c>
      <c r="M298" t="str">
        <f>IF([1]Sheet1!M334="","",[1]Sheet1!M334)</f>
        <v/>
      </c>
      <c r="N298" t="str">
        <f>IF([1]Sheet1!N334="","",[1]Sheet1!N334)</f>
        <v/>
      </c>
      <c r="O298" t="str">
        <f>IF([1]Sheet1!O334="","",[1]Sheet1!O334)</f>
        <v/>
      </c>
      <c r="P298" t="str">
        <f>IF([1]Sheet1!P334="","",[1]Sheet1!P334)</f>
        <v/>
      </c>
    </row>
    <row r="299" spans="1:16" x14ac:dyDescent="0.25">
      <c r="A299" t="str">
        <f>IF([1]Sheet1!A335="","",[1]Sheet1!A335)</f>
        <v/>
      </c>
      <c r="B299" t="str">
        <f>IF([1]Sheet1!B335="","",[1]Sheet1!B335)</f>
        <v/>
      </c>
      <c r="C299" t="str">
        <f>IF([1]Sheet1!C335="","",[1]Sheet1!C335)</f>
        <v/>
      </c>
      <c r="D299" t="str">
        <f>IF([1]Sheet1!D335="","",[1]Sheet1!D335)</f>
        <v/>
      </c>
      <c r="E299" t="str">
        <f>IF([1]Sheet1!E335="","",[1]Sheet1!E335)</f>
        <v/>
      </c>
      <c r="F299" t="str">
        <f>IF([1]Sheet1!F335="","",[1]Sheet1!F335)</f>
        <v/>
      </c>
      <c r="G299" t="str">
        <f>IF([1]Sheet1!G335="","",[1]Sheet1!G335)</f>
        <v/>
      </c>
      <c r="H299" t="str">
        <f>IF([1]Sheet1!H335="","",[1]Sheet1!H335)</f>
        <v/>
      </c>
      <c r="I299" t="str">
        <f>IF([1]Sheet1!I335="","",[1]Sheet1!I335)</f>
        <v/>
      </c>
      <c r="J299" t="str">
        <f>IF([1]Sheet1!J335="","",[1]Sheet1!J335)</f>
        <v/>
      </c>
      <c r="K299" t="str">
        <f>IF([1]Sheet1!K335="","",[1]Sheet1!K335)</f>
        <v/>
      </c>
      <c r="L299" t="str">
        <f>IF([1]Sheet1!L335="","",[1]Sheet1!L335)</f>
        <v/>
      </c>
      <c r="M299" t="str">
        <f>IF([1]Sheet1!M335="","",[1]Sheet1!M335)</f>
        <v/>
      </c>
      <c r="N299" t="str">
        <f>IF([1]Sheet1!N335="","",[1]Sheet1!N335)</f>
        <v/>
      </c>
      <c r="O299" t="str">
        <f>IF([1]Sheet1!O335="","",[1]Sheet1!O335)</f>
        <v/>
      </c>
      <c r="P299" t="str">
        <f>IF([1]Sheet1!P335="","",[1]Sheet1!P335)</f>
        <v/>
      </c>
    </row>
    <row r="300" spans="1:16" x14ac:dyDescent="0.25">
      <c r="A300" t="str">
        <f>IF([1]Sheet1!A336="","",[1]Sheet1!A336)</f>
        <v/>
      </c>
      <c r="B300" t="str">
        <f>IF([1]Sheet1!B336="","",[1]Sheet1!B336)</f>
        <v/>
      </c>
      <c r="C300" t="str">
        <f>IF([1]Sheet1!C336="","",[1]Sheet1!C336)</f>
        <v/>
      </c>
      <c r="D300" t="str">
        <f>IF([1]Sheet1!D336="","",[1]Sheet1!D336)</f>
        <v/>
      </c>
      <c r="E300" t="str">
        <f>IF([1]Sheet1!E336="","",[1]Sheet1!E336)</f>
        <v/>
      </c>
      <c r="F300" t="str">
        <f>IF([1]Sheet1!F336="","",[1]Sheet1!F336)</f>
        <v/>
      </c>
      <c r="G300" t="str">
        <f>IF([1]Sheet1!G336="","",[1]Sheet1!G336)</f>
        <v/>
      </c>
      <c r="H300" t="str">
        <f>IF([1]Sheet1!H336="","",[1]Sheet1!H336)</f>
        <v/>
      </c>
      <c r="I300" t="str">
        <f>IF([1]Sheet1!I336="","",[1]Sheet1!I336)</f>
        <v/>
      </c>
      <c r="J300" t="str">
        <f>IF([1]Sheet1!J336="","",[1]Sheet1!J336)</f>
        <v/>
      </c>
      <c r="K300" t="str">
        <f>IF([1]Sheet1!K336="","",[1]Sheet1!K336)</f>
        <v/>
      </c>
      <c r="L300" t="str">
        <f>IF([1]Sheet1!L336="","",[1]Sheet1!L336)</f>
        <v/>
      </c>
      <c r="M300" t="str">
        <f>IF([1]Sheet1!M336="","",[1]Sheet1!M336)</f>
        <v/>
      </c>
      <c r="N300" t="str">
        <f>IF([1]Sheet1!N336="","",[1]Sheet1!N336)</f>
        <v/>
      </c>
      <c r="O300" t="str">
        <f>IF([1]Sheet1!O336="","",[1]Sheet1!O336)</f>
        <v/>
      </c>
      <c r="P300" t="str">
        <f>IF([1]Sheet1!P336="","",[1]Sheet1!P336)</f>
        <v/>
      </c>
    </row>
    <row r="301" spans="1:16" x14ac:dyDescent="0.25">
      <c r="A301" t="str">
        <f>IF([1]Sheet1!A337="","",[1]Sheet1!A337)</f>
        <v/>
      </c>
      <c r="B301" t="str">
        <f>IF([1]Sheet1!B337="","",[1]Sheet1!B337)</f>
        <v/>
      </c>
      <c r="C301" t="str">
        <f>IF([1]Sheet1!C337="","",[1]Sheet1!C337)</f>
        <v/>
      </c>
      <c r="D301" t="str">
        <f>IF([1]Sheet1!D337="","",[1]Sheet1!D337)</f>
        <v/>
      </c>
      <c r="E301" t="str">
        <f>IF([1]Sheet1!E337="","",[1]Sheet1!E337)</f>
        <v/>
      </c>
      <c r="F301" t="str">
        <f>IF([1]Sheet1!F337="","",[1]Sheet1!F337)</f>
        <v/>
      </c>
      <c r="G301" t="str">
        <f>IF([1]Sheet1!G337="","",[1]Sheet1!G337)</f>
        <v/>
      </c>
      <c r="H301" t="str">
        <f>IF([1]Sheet1!H337="","",[1]Sheet1!H337)</f>
        <v/>
      </c>
      <c r="I301" t="str">
        <f>IF([1]Sheet1!I337="","",[1]Sheet1!I337)</f>
        <v/>
      </c>
      <c r="J301" t="str">
        <f>IF([1]Sheet1!J337="","",[1]Sheet1!J337)</f>
        <v/>
      </c>
      <c r="K301" t="str">
        <f>IF([1]Sheet1!K337="","",[1]Sheet1!K337)</f>
        <v/>
      </c>
      <c r="L301" t="str">
        <f>IF([1]Sheet1!L337="","",[1]Sheet1!L337)</f>
        <v/>
      </c>
      <c r="M301" t="str">
        <f>IF([1]Sheet1!M337="","",[1]Sheet1!M337)</f>
        <v/>
      </c>
      <c r="N301" t="str">
        <f>IF([1]Sheet1!N337="","",[1]Sheet1!N337)</f>
        <v/>
      </c>
      <c r="O301" t="str">
        <f>IF([1]Sheet1!O337="","",[1]Sheet1!O337)</f>
        <v/>
      </c>
      <c r="P301" t="str">
        <f>IF([1]Sheet1!P337="","",[1]Sheet1!P337)</f>
        <v/>
      </c>
    </row>
    <row r="302" spans="1:16" x14ac:dyDescent="0.25">
      <c r="A302" t="str">
        <f>IF([1]Sheet1!A338="","",[1]Sheet1!A338)</f>
        <v/>
      </c>
      <c r="B302" t="str">
        <f>IF([1]Sheet1!B338="","",[1]Sheet1!B338)</f>
        <v/>
      </c>
      <c r="C302" t="str">
        <f>IF([1]Sheet1!C338="","",[1]Sheet1!C338)</f>
        <v/>
      </c>
      <c r="D302" t="str">
        <f>IF([1]Sheet1!D338="","",[1]Sheet1!D338)</f>
        <v/>
      </c>
      <c r="E302" t="str">
        <f>IF([1]Sheet1!E338="","",[1]Sheet1!E338)</f>
        <v/>
      </c>
      <c r="F302" t="str">
        <f>IF([1]Sheet1!F338="","",[1]Sheet1!F338)</f>
        <v/>
      </c>
      <c r="G302" t="str">
        <f>IF([1]Sheet1!G338="","",[1]Sheet1!G338)</f>
        <v/>
      </c>
      <c r="H302" t="str">
        <f>IF([1]Sheet1!H338="","",[1]Sheet1!H338)</f>
        <v/>
      </c>
      <c r="I302" t="str">
        <f>IF([1]Sheet1!I338="","",[1]Sheet1!I338)</f>
        <v/>
      </c>
      <c r="J302" t="str">
        <f>IF([1]Sheet1!J338="","",[1]Sheet1!J338)</f>
        <v/>
      </c>
      <c r="K302" t="str">
        <f>IF([1]Sheet1!K338="","",[1]Sheet1!K338)</f>
        <v/>
      </c>
      <c r="L302" t="str">
        <f>IF([1]Sheet1!L338="","",[1]Sheet1!L338)</f>
        <v/>
      </c>
      <c r="M302" t="str">
        <f>IF([1]Sheet1!M338="","",[1]Sheet1!M338)</f>
        <v/>
      </c>
      <c r="N302" t="str">
        <f>IF([1]Sheet1!N338="","",[1]Sheet1!N338)</f>
        <v/>
      </c>
      <c r="O302" t="str">
        <f>IF([1]Sheet1!O338="","",[1]Sheet1!O338)</f>
        <v/>
      </c>
      <c r="P302" t="str">
        <f>IF([1]Sheet1!P338="","",[1]Sheet1!P338)</f>
        <v/>
      </c>
    </row>
    <row r="303" spans="1:16" x14ac:dyDescent="0.25">
      <c r="A303" t="str">
        <f>IF([1]Sheet1!A339="","",[1]Sheet1!A339)</f>
        <v/>
      </c>
      <c r="B303" t="str">
        <f>IF([1]Sheet1!B339="","",[1]Sheet1!B339)</f>
        <v/>
      </c>
      <c r="C303" t="str">
        <f>IF([1]Sheet1!C339="","",[1]Sheet1!C339)</f>
        <v/>
      </c>
      <c r="D303" t="str">
        <f>IF([1]Sheet1!D339="","",[1]Sheet1!D339)</f>
        <v/>
      </c>
      <c r="E303" t="str">
        <f>IF([1]Sheet1!E339="","",[1]Sheet1!E339)</f>
        <v/>
      </c>
      <c r="F303" t="str">
        <f>IF([1]Sheet1!F339="","",[1]Sheet1!F339)</f>
        <v/>
      </c>
      <c r="G303" t="str">
        <f>IF([1]Sheet1!G339="","",[1]Sheet1!G339)</f>
        <v/>
      </c>
      <c r="H303" t="str">
        <f>IF([1]Sheet1!H339="","",[1]Sheet1!H339)</f>
        <v/>
      </c>
      <c r="I303" t="str">
        <f>IF([1]Sheet1!I339="","",[1]Sheet1!I339)</f>
        <v/>
      </c>
      <c r="J303" t="str">
        <f>IF([1]Sheet1!J339="","",[1]Sheet1!J339)</f>
        <v/>
      </c>
      <c r="K303" t="str">
        <f>IF([1]Sheet1!K339="","",[1]Sheet1!K339)</f>
        <v/>
      </c>
      <c r="L303" t="str">
        <f>IF([1]Sheet1!L339="","",[1]Sheet1!L339)</f>
        <v/>
      </c>
      <c r="M303" t="str">
        <f>IF([1]Sheet1!M339="","",[1]Sheet1!M339)</f>
        <v/>
      </c>
      <c r="N303" t="str">
        <f>IF([1]Sheet1!N339="","",[1]Sheet1!N339)</f>
        <v/>
      </c>
      <c r="O303" t="str">
        <f>IF([1]Sheet1!O339="","",[1]Sheet1!O339)</f>
        <v/>
      </c>
      <c r="P303" t="str">
        <f>IF([1]Sheet1!P339="","",[1]Sheet1!P339)</f>
        <v/>
      </c>
    </row>
    <row r="304" spans="1:16" x14ac:dyDescent="0.25">
      <c r="A304" t="str">
        <f>IF([1]Sheet1!A340="","",[1]Sheet1!A340)</f>
        <v/>
      </c>
      <c r="B304" t="str">
        <f>IF([1]Sheet1!B340="","",[1]Sheet1!B340)</f>
        <v/>
      </c>
      <c r="C304" t="str">
        <f>IF([1]Sheet1!C340="","",[1]Sheet1!C340)</f>
        <v/>
      </c>
      <c r="D304" t="str">
        <f>IF([1]Sheet1!D340="","",[1]Sheet1!D340)</f>
        <v/>
      </c>
      <c r="E304" t="str">
        <f>IF([1]Sheet1!E340="","",[1]Sheet1!E340)</f>
        <v/>
      </c>
      <c r="F304" t="str">
        <f>IF([1]Sheet1!F340="","",[1]Sheet1!F340)</f>
        <v/>
      </c>
      <c r="G304" t="str">
        <f>IF([1]Sheet1!G340="","",[1]Sheet1!G340)</f>
        <v/>
      </c>
      <c r="H304" t="str">
        <f>IF([1]Sheet1!H340="","",[1]Sheet1!H340)</f>
        <v/>
      </c>
      <c r="I304" t="str">
        <f>IF([1]Sheet1!I340="","",[1]Sheet1!I340)</f>
        <v/>
      </c>
      <c r="J304" t="str">
        <f>IF([1]Sheet1!J340="","",[1]Sheet1!J340)</f>
        <v/>
      </c>
      <c r="K304" t="str">
        <f>IF([1]Sheet1!K340="","",[1]Sheet1!K340)</f>
        <v/>
      </c>
      <c r="L304" t="str">
        <f>IF([1]Sheet1!L340="","",[1]Sheet1!L340)</f>
        <v/>
      </c>
      <c r="M304" t="str">
        <f>IF([1]Sheet1!M340="","",[1]Sheet1!M340)</f>
        <v/>
      </c>
      <c r="N304" t="str">
        <f>IF([1]Sheet1!N340="","",[1]Sheet1!N340)</f>
        <v/>
      </c>
      <c r="O304" t="str">
        <f>IF([1]Sheet1!O340="","",[1]Sheet1!O340)</f>
        <v/>
      </c>
      <c r="P304" t="str">
        <f>IF([1]Sheet1!P340="","",[1]Sheet1!P340)</f>
        <v/>
      </c>
    </row>
    <row r="305" spans="1:16" x14ac:dyDescent="0.25">
      <c r="A305" t="str">
        <f>IF([1]Sheet1!A341="","",[1]Sheet1!A341)</f>
        <v/>
      </c>
      <c r="B305" t="str">
        <f>IF([1]Sheet1!B341="","",[1]Sheet1!B341)</f>
        <v/>
      </c>
      <c r="C305" t="str">
        <f>IF([1]Sheet1!C341="","",[1]Sheet1!C341)</f>
        <v/>
      </c>
      <c r="D305" t="str">
        <f>IF([1]Sheet1!D341="","",[1]Sheet1!D341)</f>
        <v/>
      </c>
      <c r="E305" t="str">
        <f>IF([1]Sheet1!E341="","",[1]Sheet1!E341)</f>
        <v/>
      </c>
      <c r="F305" t="str">
        <f>IF([1]Sheet1!F341="","",[1]Sheet1!F341)</f>
        <v/>
      </c>
      <c r="G305" t="str">
        <f>IF([1]Sheet1!G341="","",[1]Sheet1!G341)</f>
        <v/>
      </c>
      <c r="H305" t="str">
        <f>IF([1]Sheet1!H341="","",[1]Sheet1!H341)</f>
        <v/>
      </c>
      <c r="I305" t="str">
        <f>IF([1]Sheet1!I341="","",[1]Sheet1!I341)</f>
        <v/>
      </c>
      <c r="J305" t="str">
        <f>IF([1]Sheet1!J341="","",[1]Sheet1!J341)</f>
        <v/>
      </c>
      <c r="K305" t="str">
        <f>IF([1]Sheet1!K341="","",[1]Sheet1!K341)</f>
        <v/>
      </c>
      <c r="L305" t="str">
        <f>IF([1]Sheet1!L341="","",[1]Sheet1!L341)</f>
        <v/>
      </c>
      <c r="M305" t="str">
        <f>IF([1]Sheet1!M341="","",[1]Sheet1!M341)</f>
        <v/>
      </c>
      <c r="N305" t="str">
        <f>IF([1]Sheet1!N341="","",[1]Sheet1!N341)</f>
        <v/>
      </c>
      <c r="O305" t="str">
        <f>IF([1]Sheet1!O341="","",[1]Sheet1!O341)</f>
        <v/>
      </c>
      <c r="P305" t="str">
        <f>IF([1]Sheet1!P341="","",[1]Sheet1!P341)</f>
        <v/>
      </c>
    </row>
    <row r="306" spans="1:16" x14ac:dyDescent="0.25">
      <c r="A306" t="str">
        <f>IF([1]Sheet1!A342="","",[1]Sheet1!A342)</f>
        <v/>
      </c>
      <c r="B306" t="str">
        <f>IF([1]Sheet1!B342="","",[1]Sheet1!B342)</f>
        <v/>
      </c>
      <c r="C306" t="str">
        <f>IF([1]Sheet1!C342="","",[1]Sheet1!C342)</f>
        <v/>
      </c>
      <c r="D306" t="str">
        <f>IF([1]Sheet1!D342="","",[1]Sheet1!D342)</f>
        <v/>
      </c>
      <c r="E306" t="str">
        <f>IF([1]Sheet1!E342="","",[1]Sheet1!E342)</f>
        <v/>
      </c>
      <c r="F306" t="str">
        <f>IF([1]Sheet1!F342="","",[1]Sheet1!F342)</f>
        <v/>
      </c>
      <c r="G306" t="str">
        <f>IF([1]Sheet1!G342="","",[1]Sheet1!G342)</f>
        <v/>
      </c>
      <c r="H306" t="str">
        <f>IF([1]Sheet1!H342="","",[1]Sheet1!H342)</f>
        <v/>
      </c>
      <c r="I306" t="str">
        <f>IF([1]Sheet1!I342="","",[1]Sheet1!I342)</f>
        <v/>
      </c>
      <c r="J306" t="str">
        <f>IF([1]Sheet1!J342="","",[1]Sheet1!J342)</f>
        <v/>
      </c>
      <c r="K306" t="str">
        <f>IF([1]Sheet1!K342="","",[1]Sheet1!K342)</f>
        <v/>
      </c>
      <c r="L306" t="str">
        <f>IF([1]Sheet1!L342="","",[1]Sheet1!L342)</f>
        <v/>
      </c>
      <c r="M306" t="str">
        <f>IF([1]Sheet1!M342="","",[1]Sheet1!M342)</f>
        <v/>
      </c>
      <c r="N306" t="str">
        <f>IF([1]Sheet1!N342="","",[1]Sheet1!N342)</f>
        <v/>
      </c>
      <c r="O306" t="str">
        <f>IF([1]Sheet1!O342="","",[1]Sheet1!O342)</f>
        <v/>
      </c>
      <c r="P306" t="str">
        <f>IF([1]Sheet1!P342="","",[1]Sheet1!P342)</f>
        <v/>
      </c>
    </row>
    <row r="307" spans="1:16" x14ac:dyDescent="0.25">
      <c r="A307" t="str">
        <f>IF([1]Sheet1!A343="","",[1]Sheet1!A343)</f>
        <v/>
      </c>
      <c r="B307" t="str">
        <f>IF([1]Sheet1!B343="","",[1]Sheet1!B343)</f>
        <v/>
      </c>
      <c r="C307" t="str">
        <f>IF([1]Sheet1!C343="","",[1]Sheet1!C343)</f>
        <v/>
      </c>
      <c r="D307" t="str">
        <f>IF([1]Sheet1!D343="","",[1]Sheet1!D343)</f>
        <v/>
      </c>
      <c r="E307" t="str">
        <f>IF([1]Sheet1!E343="","",[1]Sheet1!E343)</f>
        <v/>
      </c>
      <c r="F307" t="str">
        <f>IF([1]Sheet1!F343="","",[1]Sheet1!F343)</f>
        <v/>
      </c>
      <c r="G307" t="str">
        <f>IF([1]Sheet1!G343="","",[1]Sheet1!G343)</f>
        <v/>
      </c>
      <c r="H307" t="str">
        <f>IF([1]Sheet1!H343="","",[1]Sheet1!H343)</f>
        <v/>
      </c>
      <c r="I307" t="str">
        <f>IF([1]Sheet1!I343="","",[1]Sheet1!I343)</f>
        <v/>
      </c>
      <c r="J307" t="str">
        <f>IF([1]Sheet1!J343="","",[1]Sheet1!J343)</f>
        <v/>
      </c>
      <c r="K307" t="str">
        <f>IF([1]Sheet1!K343="","",[1]Sheet1!K343)</f>
        <v/>
      </c>
      <c r="L307" t="str">
        <f>IF([1]Sheet1!L343="","",[1]Sheet1!L343)</f>
        <v/>
      </c>
      <c r="M307" t="str">
        <f>IF([1]Sheet1!M343="","",[1]Sheet1!M343)</f>
        <v/>
      </c>
      <c r="N307" t="str">
        <f>IF([1]Sheet1!N343="","",[1]Sheet1!N343)</f>
        <v/>
      </c>
      <c r="O307" t="str">
        <f>IF([1]Sheet1!O343="","",[1]Sheet1!O343)</f>
        <v/>
      </c>
      <c r="P307" t="str">
        <f>IF([1]Sheet1!P343="","",[1]Sheet1!P343)</f>
        <v/>
      </c>
    </row>
    <row r="308" spans="1:16" x14ac:dyDescent="0.25">
      <c r="A308" t="str">
        <f>IF([1]Sheet1!A344="","",[1]Sheet1!A344)</f>
        <v/>
      </c>
      <c r="B308" t="str">
        <f>IF([1]Sheet1!B344="","",[1]Sheet1!B344)</f>
        <v/>
      </c>
      <c r="C308" t="str">
        <f>IF([1]Sheet1!C344="","",[1]Sheet1!C344)</f>
        <v/>
      </c>
      <c r="D308" t="str">
        <f>IF([1]Sheet1!D344="","",[1]Sheet1!D344)</f>
        <v/>
      </c>
      <c r="E308" t="str">
        <f>IF([1]Sheet1!E344="","",[1]Sheet1!E344)</f>
        <v/>
      </c>
      <c r="F308" t="str">
        <f>IF([1]Sheet1!F344="","",[1]Sheet1!F344)</f>
        <v/>
      </c>
      <c r="G308" t="str">
        <f>IF([1]Sheet1!G344="","",[1]Sheet1!G344)</f>
        <v/>
      </c>
      <c r="H308" t="str">
        <f>IF([1]Sheet1!H344="","",[1]Sheet1!H344)</f>
        <v/>
      </c>
      <c r="I308" t="str">
        <f>IF([1]Sheet1!I344="","",[1]Sheet1!I344)</f>
        <v/>
      </c>
      <c r="J308" t="str">
        <f>IF([1]Sheet1!J344="","",[1]Sheet1!J344)</f>
        <v/>
      </c>
      <c r="K308" t="str">
        <f>IF([1]Sheet1!K344="","",[1]Sheet1!K344)</f>
        <v/>
      </c>
      <c r="L308" t="str">
        <f>IF([1]Sheet1!L344="","",[1]Sheet1!L344)</f>
        <v/>
      </c>
      <c r="M308" t="str">
        <f>IF([1]Sheet1!M344="","",[1]Sheet1!M344)</f>
        <v/>
      </c>
      <c r="N308" t="str">
        <f>IF([1]Sheet1!N344="","",[1]Sheet1!N344)</f>
        <v/>
      </c>
      <c r="O308" t="str">
        <f>IF([1]Sheet1!O344="","",[1]Sheet1!O344)</f>
        <v/>
      </c>
      <c r="P308" t="str">
        <f>IF([1]Sheet1!P344="","",[1]Sheet1!P344)</f>
        <v/>
      </c>
    </row>
    <row r="309" spans="1:16" x14ac:dyDescent="0.25">
      <c r="A309" t="str">
        <f>IF([1]Sheet1!A345="","",[1]Sheet1!A345)</f>
        <v/>
      </c>
      <c r="B309" t="str">
        <f>IF([1]Sheet1!B345="","",[1]Sheet1!B345)</f>
        <v/>
      </c>
      <c r="C309" t="str">
        <f>IF([1]Sheet1!C345="","",[1]Sheet1!C345)</f>
        <v/>
      </c>
      <c r="D309" t="str">
        <f>IF([1]Sheet1!D345="","",[1]Sheet1!D345)</f>
        <v/>
      </c>
      <c r="E309" t="str">
        <f>IF([1]Sheet1!E345="","",[1]Sheet1!E345)</f>
        <v/>
      </c>
      <c r="F309" t="str">
        <f>IF([1]Sheet1!F345="","",[1]Sheet1!F345)</f>
        <v/>
      </c>
      <c r="G309" t="str">
        <f>IF([1]Sheet1!G345="","",[1]Sheet1!G345)</f>
        <v/>
      </c>
      <c r="H309" t="str">
        <f>IF([1]Sheet1!H345="","",[1]Sheet1!H345)</f>
        <v/>
      </c>
      <c r="I309" t="str">
        <f>IF([1]Sheet1!I345="","",[1]Sheet1!I345)</f>
        <v/>
      </c>
      <c r="J309" t="str">
        <f>IF([1]Sheet1!J345="","",[1]Sheet1!J345)</f>
        <v/>
      </c>
      <c r="K309" t="str">
        <f>IF([1]Sheet1!K345="","",[1]Sheet1!K345)</f>
        <v/>
      </c>
      <c r="L309" t="str">
        <f>IF([1]Sheet1!L345="","",[1]Sheet1!L345)</f>
        <v/>
      </c>
      <c r="M309" t="str">
        <f>IF([1]Sheet1!M345="","",[1]Sheet1!M345)</f>
        <v/>
      </c>
      <c r="N309" t="str">
        <f>IF([1]Sheet1!N345="","",[1]Sheet1!N345)</f>
        <v/>
      </c>
      <c r="O309" t="str">
        <f>IF([1]Sheet1!O345="","",[1]Sheet1!O345)</f>
        <v/>
      </c>
      <c r="P309" t="str">
        <f>IF([1]Sheet1!P345="","",[1]Sheet1!P345)</f>
        <v/>
      </c>
    </row>
    <row r="310" spans="1:16" x14ac:dyDescent="0.25">
      <c r="A310" t="str">
        <f>IF([1]Sheet1!A346="","",[1]Sheet1!A346)</f>
        <v/>
      </c>
      <c r="B310" t="str">
        <f>IF([1]Sheet1!B346="","",[1]Sheet1!B346)</f>
        <v/>
      </c>
      <c r="C310" t="str">
        <f>IF([1]Sheet1!C346="","",[1]Sheet1!C346)</f>
        <v/>
      </c>
      <c r="D310" t="str">
        <f>IF([1]Sheet1!D346="","",[1]Sheet1!D346)</f>
        <v/>
      </c>
      <c r="E310" t="str">
        <f>IF([1]Sheet1!E346="","",[1]Sheet1!E346)</f>
        <v/>
      </c>
      <c r="F310" t="str">
        <f>IF([1]Sheet1!F346="","",[1]Sheet1!F346)</f>
        <v/>
      </c>
      <c r="G310" t="str">
        <f>IF([1]Sheet1!G346="","",[1]Sheet1!G346)</f>
        <v/>
      </c>
      <c r="H310" t="str">
        <f>IF([1]Sheet1!H346="","",[1]Sheet1!H346)</f>
        <v/>
      </c>
      <c r="I310" t="str">
        <f>IF([1]Sheet1!I346="","",[1]Sheet1!I346)</f>
        <v/>
      </c>
      <c r="J310" t="str">
        <f>IF([1]Sheet1!J346="","",[1]Sheet1!J346)</f>
        <v/>
      </c>
      <c r="K310" t="str">
        <f>IF([1]Sheet1!K346="","",[1]Sheet1!K346)</f>
        <v/>
      </c>
      <c r="L310" t="str">
        <f>IF([1]Sheet1!L346="","",[1]Sheet1!L346)</f>
        <v/>
      </c>
      <c r="M310" t="str">
        <f>IF([1]Sheet1!M346="","",[1]Sheet1!M346)</f>
        <v/>
      </c>
      <c r="N310" t="str">
        <f>IF([1]Sheet1!N346="","",[1]Sheet1!N346)</f>
        <v/>
      </c>
      <c r="O310" t="str">
        <f>IF([1]Sheet1!O346="","",[1]Sheet1!O346)</f>
        <v/>
      </c>
      <c r="P310" t="str">
        <f>IF([1]Sheet1!P346="","",[1]Sheet1!P346)</f>
        <v/>
      </c>
    </row>
    <row r="311" spans="1:16" x14ac:dyDescent="0.25">
      <c r="A311" t="str">
        <f>IF([1]Sheet1!A347="","",[1]Sheet1!A347)</f>
        <v/>
      </c>
      <c r="B311" t="str">
        <f>IF([1]Sheet1!B347="","",[1]Sheet1!B347)</f>
        <v/>
      </c>
      <c r="C311" t="str">
        <f>IF([1]Sheet1!C347="","",[1]Sheet1!C347)</f>
        <v/>
      </c>
      <c r="D311" t="str">
        <f>IF([1]Sheet1!D347="","",[1]Sheet1!D347)</f>
        <v/>
      </c>
      <c r="E311" t="str">
        <f>IF([1]Sheet1!E347="","",[1]Sheet1!E347)</f>
        <v/>
      </c>
      <c r="F311" t="str">
        <f>IF([1]Sheet1!F347="","",[1]Sheet1!F347)</f>
        <v/>
      </c>
      <c r="G311" t="str">
        <f>IF([1]Sheet1!G347="","",[1]Sheet1!G347)</f>
        <v/>
      </c>
      <c r="H311" t="str">
        <f>IF([1]Sheet1!H347="","",[1]Sheet1!H347)</f>
        <v/>
      </c>
      <c r="I311" t="str">
        <f>IF([1]Sheet1!I347="","",[1]Sheet1!I347)</f>
        <v/>
      </c>
      <c r="J311" t="str">
        <f>IF([1]Sheet1!J347="","",[1]Sheet1!J347)</f>
        <v/>
      </c>
      <c r="K311" t="str">
        <f>IF([1]Sheet1!K347="","",[1]Sheet1!K347)</f>
        <v/>
      </c>
      <c r="L311" t="str">
        <f>IF([1]Sheet1!L347="","",[1]Sheet1!L347)</f>
        <v/>
      </c>
      <c r="M311" t="str">
        <f>IF([1]Sheet1!M347="","",[1]Sheet1!M347)</f>
        <v/>
      </c>
      <c r="N311" t="str">
        <f>IF([1]Sheet1!N347="","",[1]Sheet1!N347)</f>
        <v/>
      </c>
      <c r="O311" t="str">
        <f>IF([1]Sheet1!O347="","",[1]Sheet1!O347)</f>
        <v/>
      </c>
      <c r="P311" t="str">
        <f>IF([1]Sheet1!P347="","",[1]Sheet1!P347)</f>
        <v/>
      </c>
    </row>
    <row r="312" spans="1:16" x14ac:dyDescent="0.25">
      <c r="A312" t="str">
        <f>IF([1]Sheet1!A348="","",[1]Sheet1!A348)</f>
        <v/>
      </c>
      <c r="B312" t="str">
        <f>IF([1]Sheet1!B348="","",[1]Sheet1!B348)</f>
        <v/>
      </c>
      <c r="C312" t="str">
        <f>IF([1]Sheet1!C348="","",[1]Sheet1!C348)</f>
        <v/>
      </c>
      <c r="D312" t="str">
        <f>IF([1]Sheet1!D348="","",[1]Sheet1!D348)</f>
        <v/>
      </c>
      <c r="E312" t="str">
        <f>IF([1]Sheet1!E348="","",[1]Sheet1!E348)</f>
        <v/>
      </c>
      <c r="F312" t="str">
        <f>IF([1]Sheet1!F348="","",[1]Sheet1!F348)</f>
        <v/>
      </c>
      <c r="G312" t="str">
        <f>IF([1]Sheet1!G348="","",[1]Sheet1!G348)</f>
        <v/>
      </c>
      <c r="H312" t="str">
        <f>IF([1]Sheet1!H348="","",[1]Sheet1!H348)</f>
        <v/>
      </c>
      <c r="I312" t="str">
        <f>IF([1]Sheet1!I348="","",[1]Sheet1!I348)</f>
        <v/>
      </c>
      <c r="J312" t="str">
        <f>IF([1]Sheet1!J348="","",[1]Sheet1!J348)</f>
        <v/>
      </c>
      <c r="K312" t="str">
        <f>IF([1]Sheet1!K348="","",[1]Sheet1!K348)</f>
        <v/>
      </c>
      <c r="L312" t="str">
        <f>IF([1]Sheet1!L348="","",[1]Sheet1!L348)</f>
        <v/>
      </c>
      <c r="M312" t="str">
        <f>IF([1]Sheet1!M348="","",[1]Sheet1!M348)</f>
        <v/>
      </c>
      <c r="N312" t="str">
        <f>IF([1]Sheet1!N348="","",[1]Sheet1!N348)</f>
        <v/>
      </c>
      <c r="O312" t="str">
        <f>IF([1]Sheet1!O348="","",[1]Sheet1!O348)</f>
        <v/>
      </c>
      <c r="P312" t="str">
        <f>IF([1]Sheet1!P348="","",[1]Sheet1!P348)</f>
        <v/>
      </c>
    </row>
    <row r="313" spans="1:16" x14ac:dyDescent="0.25">
      <c r="A313" t="str">
        <f>IF([1]Sheet1!A349="","",[1]Sheet1!A349)</f>
        <v/>
      </c>
      <c r="B313" t="str">
        <f>IF([1]Sheet1!B349="","",[1]Sheet1!B349)</f>
        <v/>
      </c>
      <c r="C313" t="str">
        <f>IF([1]Sheet1!C349="","",[1]Sheet1!C349)</f>
        <v/>
      </c>
      <c r="D313" t="str">
        <f>IF([1]Sheet1!D349="","",[1]Sheet1!D349)</f>
        <v/>
      </c>
      <c r="E313" t="str">
        <f>IF([1]Sheet1!E349="","",[1]Sheet1!E349)</f>
        <v/>
      </c>
      <c r="F313" t="str">
        <f>IF([1]Sheet1!F349="","",[1]Sheet1!F349)</f>
        <v/>
      </c>
      <c r="G313" t="str">
        <f>IF([1]Sheet1!G349="","",[1]Sheet1!G349)</f>
        <v/>
      </c>
      <c r="H313" t="str">
        <f>IF([1]Sheet1!H349="","",[1]Sheet1!H349)</f>
        <v/>
      </c>
      <c r="I313" t="str">
        <f>IF([1]Sheet1!I349="","",[1]Sheet1!I349)</f>
        <v/>
      </c>
      <c r="J313" t="str">
        <f>IF([1]Sheet1!J349="","",[1]Sheet1!J349)</f>
        <v/>
      </c>
      <c r="K313" t="str">
        <f>IF([1]Sheet1!K349="","",[1]Sheet1!K349)</f>
        <v/>
      </c>
      <c r="L313" t="str">
        <f>IF([1]Sheet1!L349="","",[1]Sheet1!L349)</f>
        <v/>
      </c>
      <c r="M313" t="str">
        <f>IF([1]Sheet1!M349="","",[1]Sheet1!M349)</f>
        <v/>
      </c>
      <c r="N313" t="str">
        <f>IF([1]Sheet1!N349="","",[1]Sheet1!N349)</f>
        <v/>
      </c>
      <c r="O313" t="str">
        <f>IF([1]Sheet1!O349="","",[1]Sheet1!O349)</f>
        <v/>
      </c>
      <c r="P313" t="str">
        <f>IF([1]Sheet1!P349="","",[1]Sheet1!P349)</f>
        <v/>
      </c>
    </row>
    <row r="314" spans="1:16" x14ac:dyDescent="0.25">
      <c r="A314" t="str">
        <f>IF([1]Sheet1!A350="","",[1]Sheet1!A350)</f>
        <v/>
      </c>
      <c r="B314" t="str">
        <f>IF([1]Sheet1!B350="","",[1]Sheet1!B350)</f>
        <v/>
      </c>
      <c r="C314" t="str">
        <f>IF([1]Sheet1!C350="","",[1]Sheet1!C350)</f>
        <v/>
      </c>
      <c r="D314" t="str">
        <f>IF([1]Sheet1!D350="","",[1]Sheet1!D350)</f>
        <v/>
      </c>
      <c r="E314" t="str">
        <f>IF([1]Sheet1!E350="","",[1]Sheet1!E350)</f>
        <v/>
      </c>
      <c r="F314" t="str">
        <f>IF([1]Sheet1!F350="","",[1]Sheet1!F350)</f>
        <v/>
      </c>
      <c r="G314" t="str">
        <f>IF([1]Sheet1!G350="","",[1]Sheet1!G350)</f>
        <v/>
      </c>
      <c r="H314" t="str">
        <f>IF([1]Sheet1!H350="","",[1]Sheet1!H350)</f>
        <v/>
      </c>
      <c r="I314" t="str">
        <f>IF([1]Sheet1!I350="","",[1]Sheet1!I350)</f>
        <v/>
      </c>
      <c r="J314" t="str">
        <f>IF([1]Sheet1!J350="","",[1]Sheet1!J350)</f>
        <v/>
      </c>
      <c r="K314" t="str">
        <f>IF([1]Sheet1!K350="","",[1]Sheet1!K350)</f>
        <v/>
      </c>
      <c r="L314" t="str">
        <f>IF([1]Sheet1!L350="","",[1]Sheet1!L350)</f>
        <v/>
      </c>
      <c r="M314" t="str">
        <f>IF([1]Sheet1!M350="","",[1]Sheet1!M350)</f>
        <v/>
      </c>
      <c r="N314" t="str">
        <f>IF([1]Sheet1!N350="","",[1]Sheet1!N350)</f>
        <v/>
      </c>
      <c r="O314" t="str">
        <f>IF([1]Sheet1!O350="","",[1]Sheet1!O350)</f>
        <v/>
      </c>
      <c r="P314" t="str">
        <f>IF([1]Sheet1!P350="","",[1]Sheet1!P350)</f>
        <v/>
      </c>
    </row>
    <row r="315" spans="1:16" x14ac:dyDescent="0.25">
      <c r="A315" t="str">
        <f>IF([1]Sheet1!A351="","",[1]Sheet1!A351)</f>
        <v/>
      </c>
      <c r="B315" t="str">
        <f>IF([1]Sheet1!B351="","",[1]Sheet1!B351)</f>
        <v/>
      </c>
      <c r="C315" t="str">
        <f>IF([1]Sheet1!C351="","",[1]Sheet1!C351)</f>
        <v/>
      </c>
      <c r="D315" t="str">
        <f>IF([1]Sheet1!D351="","",[1]Sheet1!D351)</f>
        <v/>
      </c>
      <c r="E315" t="str">
        <f>IF([1]Sheet1!E351="","",[1]Sheet1!E351)</f>
        <v/>
      </c>
      <c r="F315" t="str">
        <f>IF([1]Sheet1!F351="","",[1]Sheet1!F351)</f>
        <v/>
      </c>
      <c r="G315" t="str">
        <f>IF([1]Sheet1!G351="","",[1]Sheet1!G351)</f>
        <v/>
      </c>
      <c r="H315" t="str">
        <f>IF([1]Sheet1!H351="","",[1]Sheet1!H351)</f>
        <v/>
      </c>
      <c r="I315" t="str">
        <f>IF([1]Sheet1!I351="","",[1]Sheet1!I351)</f>
        <v/>
      </c>
      <c r="J315" t="str">
        <f>IF([1]Sheet1!J351="","",[1]Sheet1!J351)</f>
        <v/>
      </c>
      <c r="K315" t="str">
        <f>IF([1]Sheet1!K351="","",[1]Sheet1!K351)</f>
        <v/>
      </c>
      <c r="L315" t="str">
        <f>IF([1]Sheet1!L351="","",[1]Sheet1!L351)</f>
        <v/>
      </c>
      <c r="M315" t="str">
        <f>IF([1]Sheet1!M351="","",[1]Sheet1!M351)</f>
        <v/>
      </c>
      <c r="N315" t="str">
        <f>IF([1]Sheet1!N351="","",[1]Sheet1!N351)</f>
        <v/>
      </c>
      <c r="O315" t="str">
        <f>IF([1]Sheet1!O351="","",[1]Sheet1!O351)</f>
        <v/>
      </c>
      <c r="P315" t="str">
        <f>IF([1]Sheet1!P351="","",[1]Sheet1!P351)</f>
        <v/>
      </c>
    </row>
    <row r="316" spans="1:16" x14ac:dyDescent="0.25">
      <c r="A316" t="str">
        <f>IF([1]Sheet1!A352="","",[1]Sheet1!A352)</f>
        <v/>
      </c>
      <c r="B316" t="str">
        <f>IF([1]Sheet1!B352="","",[1]Sheet1!B352)</f>
        <v/>
      </c>
      <c r="C316" t="str">
        <f>IF([1]Sheet1!C352="","",[1]Sheet1!C352)</f>
        <v/>
      </c>
      <c r="D316" t="str">
        <f>IF([1]Sheet1!D352="","",[1]Sheet1!D352)</f>
        <v/>
      </c>
      <c r="E316" t="str">
        <f>IF([1]Sheet1!E352="","",[1]Sheet1!E352)</f>
        <v/>
      </c>
      <c r="F316" t="str">
        <f>IF([1]Sheet1!F352="","",[1]Sheet1!F352)</f>
        <v/>
      </c>
      <c r="G316" t="str">
        <f>IF([1]Sheet1!G352="","",[1]Sheet1!G352)</f>
        <v/>
      </c>
      <c r="H316" t="str">
        <f>IF([1]Sheet1!H352="","",[1]Sheet1!H352)</f>
        <v/>
      </c>
      <c r="I316" t="str">
        <f>IF([1]Sheet1!I352="","",[1]Sheet1!I352)</f>
        <v/>
      </c>
      <c r="J316" t="str">
        <f>IF([1]Sheet1!J352="","",[1]Sheet1!J352)</f>
        <v/>
      </c>
      <c r="K316" t="str">
        <f>IF([1]Sheet1!K352="","",[1]Sheet1!K352)</f>
        <v/>
      </c>
      <c r="L316" t="str">
        <f>IF([1]Sheet1!L352="","",[1]Sheet1!L352)</f>
        <v/>
      </c>
      <c r="M316" t="str">
        <f>IF([1]Sheet1!M352="","",[1]Sheet1!M352)</f>
        <v/>
      </c>
      <c r="N316" t="str">
        <f>IF([1]Sheet1!N352="","",[1]Sheet1!N352)</f>
        <v/>
      </c>
      <c r="O316" t="str">
        <f>IF([1]Sheet1!O352="","",[1]Sheet1!O352)</f>
        <v/>
      </c>
      <c r="P316" t="str">
        <f>IF([1]Sheet1!P352="","",[1]Sheet1!P352)</f>
        <v/>
      </c>
    </row>
    <row r="317" spans="1:16" x14ac:dyDescent="0.25">
      <c r="A317" t="str">
        <f>IF([1]Sheet1!A353="","",[1]Sheet1!A353)</f>
        <v/>
      </c>
      <c r="B317" t="str">
        <f>IF([1]Sheet1!B353="","",[1]Sheet1!B353)</f>
        <v/>
      </c>
      <c r="C317" t="str">
        <f>IF([1]Sheet1!C353="","",[1]Sheet1!C353)</f>
        <v/>
      </c>
      <c r="D317" t="str">
        <f>IF([1]Sheet1!D353="","",[1]Sheet1!D353)</f>
        <v/>
      </c>
      <c r="E317" t="str">
        <f>IF([1]Sheet1!E353="","",[1]Sheet1!E353)</f>
        <v/>
      </c>
      <c r="F317" t="str">
        <f>IF([1]Sheet1!F353="","",[1]Sheet1!F353)</f>
        <v/>
      </c>
      <c r="G317" t="str">
        <f>IF([1]Sheet1!G353="","",[1]Sheet1!G353)</f>
        <v/>
      </c>
      <c r="H317" t="str">
        <f>IF([1]Sheet1!H353="","",[1]Sheet1!H353)</f>
        <v/>
      </c>
      <c r="I317" t="str">
        <f>IF([1]Sheet1!I353="","",[1]Sheet1!I353)</f>
        <v/>
      </c>
      <c r="J317" t="str">
        <f>IF([1]Sheet1!J353="","",[1]Sheet1!J353)</f>
        <v/>
      </c>
      <c r="K317" t="str">
        <f>IF([1]Sheet1!K353="","",[1]Sheet1!K353)</f>
        <v/>
      </c>
      <c r="L317" t="str">
        <f>IF([1]Sheet1!L353="","",[1]Sheet1!L353)</f>
        <v/>
      </c>
      <c r="M317" t="str">
        <f>IF([1]Sheet1!M353="","",[1]Sheet1!M353)</f>
        <v/>
      </c>
      <c r="N317" t="str">
        <f>IF([1]Sheet1!N353="","",[1]Sheet1!N353)</f>
        <v/>
      </c>
      <c r="O317" t="str">
        <f>IF([1]Sheet1!O353="","",[1]Sheet1!O353)</f>
        <v/>
      </c>
      <c r="P317" t="str">
        <f>IF([1]Sheet1!P353="","",[1]Sheet1!P353)</f>
        <v/>
      </c>
    </row>
    <row r="318" spans="1:16" x14ac:dyDescent="0.25">
      <c r="A318" t="str">
        <f>IF([1]Sheet1!A354="","",[1]Sheet1!A354)</f>
        <v/>
      </c>
      <c r="B318" t="str">
        <f>IF([1]Sheet1!B354="","",[1]Sheet1!B354)</f>
        <v/>
      </c>
      <c r="C318" t="str">
        <f>IF([1]Sheet1!C354="","",[1]Sheet1!C354)</f>
        <v/>
      </c>
      <c r="D318" t="str">
        <f>IF([1]Sheet1!D354="","",[1]Sheet1!D354)</f>
        <v/>
      </c>
      <c r="E318" t="str">
        <f>IF([1]Sheet1!E354="","",[1]Sheet1!E354)</f>
        <v/>
      </c>
      <c r="F318" t="str">
        <f>IF([1]Sheet1!F354="","",[1]Sheet1!F354)</f>
        <v/>
      </c>
      <c r="G318" t="str">
        <f>IF([1]Sheet1!G354="","",[1]Sheet1!G354)</f>
        <v/>
      </c>
      <c r="H318" t="str">
        <f>IF([1]Sheet1!H354="","",[1]Sheet1!H354)</f>
        <v/>
      </c>
      <c r="I318" t="str">
        <f>IF([1]Sheet1!I354="","",[1]Sheet1!I354)</f>
        <v/>
      </c>
      <c r="J318" t="str">
        <f>IF([1]Sheet1!J354="","",[1]Sheet1!J354)</f>
        <v/>
      </c>
      <c r="K318" t="str">
        <f>IF([1]Sheet1!K354="","",[1]Sheet1!K354)</f>
        <v/>
      </c>
      <c r="L318" t="str">
        <f>IF([1]Sheet1!L354="","",[1]Sheet1!L354)</f>
        <v/>
      </c>
      <c r="M318" t="str">
        <f>IF([1]Sheet1!M354="","",[1]Sheet1!M354)</f>
        <v/>
      </c>
      <c r="N318" t="str">
        <f>IF([1]Sheet1!N354="","",[1]Sheet1!N354)</f>
        <v/>
      </c>
      <c r="O318" t="str">
        <f>IF([1]Sheet1!O354="","",[1]Sheet1!O354)</f>
        <v/>
      </c>
      <c r="P318" t="str">
        <f>IF([1]Sheet1!P354="","",[1]Sheet1!P354)</f>
        <v/>
      </c>
    </row>
    <row r="319" spans="1:16" x14ac:dyDescent="0.25">
      <c r="A319" t="str">
        <f>IF([1]Sheet1!A355="","",[1]Sheet1!A355)</f>
        <v/>
      </c>
      <c r="B319" t="str">
        <f>IF([1]Sheet1!B355="","",[1]Sheet1!B355)</f>
        <v/>
      </c>
      <c r="C319" t="str">
        <f>IF([1]Sheet1!C355="","",[1]Sheet1!C355)</f>
        <v/>
      </c>
      <c r="D319" t="str">
        <f>IF([1]Sheet1!D355="","",[1]Sheet1!D355)</f>
        <v/>
      </c>
      <c r="E319" t="str">
        <f>IF([1]Sheet1!E355="","",[1]Sheet1!E355)</f>
        <v/>
      </c>
      <c r="F319" t="str">
        <f>IF([1]Sheet1!F355="","",[1]Sheet1!F355)</f>
        <v/>
      </c>
      <c r="G319" t="str">
        <f>IF([1]Sheet1!G355="","",[1]Sheet1!G355)</f>
        <v/>
      </c>
      <c r="H319" t="str">
        <f>IF([1]Sheet1!H355="","",[1]Sheet1!H355)</f>
        <v/>
      </c>
      <c r="I319" t="str">
        <f>IF([1]Sheet1!I355="","",[1]Sheet1!I355)</f>
        <v/>
      </c>
      <c r="J319" t="str">
        <f>IF([1]Sheet1!J355="","",[1]Sheet1!J355)</f>
        <v/>
      </c>
      <c r="K319" t="str">
        <f>IF([1]Sheet1!K355="","",[1]Sheet1!K355)</f>
        <v/>
      </c>
      <c r="L319" t="str">
        <f>IF([1]Sheet1!L355="","",[1]Sheet1!L355)</f>
        <v/>
      </c>
      <c r="M319" t="str">
        <f>IF([1]Sheet1!M355="","",[1]Sheet1!M355)</f>
        <v/>
      </c>
      <c r="N319" t="str">
        <f>IF([1]Sheet1!N355="","",[1]Sheet1!N355)</f>
        <v/>
      </c>
      <c r="O319" t="str">
        <f>IF([1]Sheet1!O355="","",[1]Sheet1!O355)</f>
        <v/>
      </c>
      <c r="P319" t="str">
        <f>IF([1]Sheet1!P355="","",[1]Sheet1!P355)</f>
        <v/>
      </c>
    </row>
    <row r="320" spans="1:16" x14ac:dyDescent="0.25">
      <c r="A320" t="str">
        <f>IF([1]Sheet1!A356="","",[1]Sheet1!A356)</f>
        <v/>
      </c>
      <c r="B320" t="str">
        <f>IF([1]Sheet1!B356="","",[1]Sheet1!B356)</f>
        <v/>
      </c>
      <c r="C320" t="str">
        <f>IF([1]Sheet1!C356="","",[1]Sheet1!C356)</f>
        <v/>
      </c>
      <c r="D320" t="str">
        <f>IF([1]Sheet1!D356="","",[1]Sheet1!D356)</f>
        <v/>
      </c>
      <c r="E320" t="str">
        <f>IF([1]Sheet1!E356="","",[1]Sheet1!E356)</f>
        <v/>
      </c>
      <c r="F320" t="str">
        <f>IF([1]Sheet1!F356="","",[1]Sheet1!F356)</f>
        <v/>
      </c>
      <c r="G320" t="str">
        <f>IF([1]Sheet1!G356="","",[1]Sheet1!G356)</f>
        <v/>
      </c>
      <c r="H320" t="str">
        <f>IF([1]Sheet1!H356="","",[1]Sheet1!H356)</f>
        <v/>
      </c>
      <c r="I320" t="str">
        <f>IF([1]Sheet1!I356="","",[1]Sheet1!I356)</f>
        <v/>
      </c>
      <c r="J320" t="str">
        <f>IF([1]Sheet1!J356="","",[1]Sheet1!J356)</f>
        <v/>
      </c>
      <c r="K320" t="str">
        <f>IF([1]Sheet1!K356="","",[1]Sheet1!K356)</f>
        <v/>
      </c>
      <c r="L320" t="str">
        <f>IF([1]Sheet1!L356="","",[1]Sheet1!L356)</f>
        <v/>
      </c>
      <c r="M320" t="str">
        <f>IF([1]Sheet1!M356="","",[1]Sheet1!M356)</f>
        <v/>
      </c>
      <c r="N320" t="str">
        <f>IF([1]Sheet1!N356="","",[1]Sheet1!N356)</f>
        <v/>
      </c>
      <c r="O320" t="str">
        <f>IF([1]Sheet1!O356="","",[1]Sheet1!O356)</f>
        <v/>
      </c>
      <c r="P320" t="str">
        <f>IF([1]Sheet1!P356="","",[1]Sheet1!P356)</f>
        <v/>
      </c>
    </row>
    <row r="321" spans="1:16" x14ac:dyDescent="0.25">
      <c r="A321" t="str">
        <f>IF([1]Sheet1!A357="","",[1]Sheet1!A357)</f>
        <v/>
      </c>
      <c r="B321" t="str">
        <f>IF([1]Sheet1!B357="","",[1]Sheet1!B357)</f>
        <v/>
      </c>
      <c r="C321" t="str">
        <f>IF([1]Sheet1!C357="","",[1]Sheet1!C357)</f>
        <v/>
      </c>
      <c r="D321" t="str">
        <f>IF([1]Sheet1!D357="","",[1]Sheet1!D357)</f>
        <v/>
      </c>
      <c r="E321" t="str">
        <f>IF([1]Sheet1!E357="","",[1]Sheet1!E357)</f>
        <v/>
      </c>
      <c r="F321" t="str">
        <f>IF([1]Sheet1!F357="","",[1]Sheet1!F357)</f>
        <v/>
      </c>
      <c r="G321" t="str">
        <f>IF([1]Sheet1!G357="","",[1]Sheet1!G357)</f>
        <v/>
      </c>
      <c r="H321" t="str">
        <f>IF([1]Sheet1!H357="","",[1]Sheet1!H357)</f>
        <v/>
      </c>
      <c r="I321" t="str">
        <f>IF([1]Sheet1!I357="","",[1]Sheet1!I357)</f>
        <v/>
      </c>
      <c r="J321" t="str">
        <f>IF([1]Sheet1!J357="","",[1]Sheet1!J357)</f>
        <v/>
      </c>
      <c r="K321" t="str">
        <f>IF([1]Sheet1!K357="","",[1]Sheet1!K357)</f>
        <v/>
      </c>
      <c r="L321" t="str">
        <f>IF([1]Sheet1!L357="","",[1]Sheet1!L357)</f>
        <v/>
      </c>
      <c r="M321" t="str">
        <f>IF([1]Sheet1!M357="","",[1]Sheet1!M357)</f>
        <v/>
      </c>
      <c r="N321" t="str">
        <f>IF([1]Sheet1!N357="","",[1]Sheet1!N357)</f>
        <v/>
      </c>
      <c r="O321" t="str">
        <f>IF([1]Sheet1!O357="","",[1]Sheet1!O357)</f>
        <v/>
      </c>
      <c r="P321" t="str">
        <f>IF([1]Sheet1!P357="","",[1]Sheet1!P357)</f>
        <v/>
      </c>
    </row>
    <row r="322" spans="1:16" x14ac:dyDescent="0.25">
      <c r="A322" t="str">
        <f>IF([1]Sheet1!A358="","",[1]Sheet1!A358)</f>
        <v/>
      </c>
      <c r="B322" t="str">
        <f>IF([1]Sheet1!B358="","",[1]Sheet1!B358)</f>
        <v/>
      </c>
      <c r="C322" t="str">
        <f>IF([1]Sheet1!C358="","",[1]Sheet1!C358)</f>
        <v/>
      </c>
      <c r="D322" t="str">
        <f>IF([1]Sheet1!D358="","",[1]Sheet1!D358)</f>
        <v/>
      </c>
      <c r="E322" t="str">
        <f>IF([1]Sheet1!E358="","",[1]Sheet1!E358)</f>
        <v/>
      </c>
      <c r="F322" t="str">
        <f>IF([1]Sheet1!F358="","",[1]Sheet1!F358)</f>
        <v/>
      </c>
      <c r="G322" t="str">
        <f>IF([1]Sheet1!G358="","",[1]Sheet1!G358)</f>
        <v/>
      </c>
      <c r="H322" t="str">
        <f>IF([1]Sheet1!H358="","",[1]Sheet1!H358)</f>
        <v/>
      </c>
      <c r="I322" t="str">
        <f>IF([1]Sheet1!I358="","",[1]Sheet1!I358)</f>
        <v/>
      </c>
      <c r="J322" t="str">
        <f>IF([1]Sheet1!J358="","",[1]Sheet1!J358)</f>
        <v/>
      </c>
      <c r="K322" t="str">
        <f>IF([1]Sheet1!K358="","",[1]Sheet1!K358)</f>
        <v/>
      </c>
      <c r="L322" t="str">
        <f>IF([1]Sheet1!L358="","",[1]Sheet1!L358)</f>
        <v/>
      </c>
      <c r="M322" t="str">
        <f>IF([1]Sheet1!M358="","",[1]Sheet1!M358)</f>
        <v/>
      </c>
      <c r="N322" t="str">
        <f>IF([1]Sheet1!N358="","",[1]Sheet1!N358)</f>
        <v/>
      </c>
      <c r="O322" t="str">
        <f>IF([1]Sheet1!O358="","",[1]Sheet1!O358)</f>
        <v/>
      </c>
      <c r="P322" t="str">
        <f>IF([1]Sheet1!P358="","",[1]Sheet1!P358)</f>
        <v/>
      </c>
    </row>
    <row r="323" spans="1:16" x14ac:dyDescent="0.25">
      <c r="A323" t="str">
        <f>IF([1]Sheet1!A359="","",[1]Sheet1!A359)</f>
        <v/>
      </c>
      <c r="B323" t="str">
        <f>IF([1]Sheet1!B359="","",[1]Sheet1!B359)</f>
        <v/>
      </c>
      <c r="C323" t="str">
        <f>IF([1]Sheet1!C359="","",[1]Sheet1!C359)</f>
        <v/>
      </c>
      <c r="D323" t="str">
        <f>IF([1]Sheet1!D359="","",[1]Sheet1!D359)</f>
        <v/>
      </c>
      <c r="E323" t="str">
        <f>IF([1]Sheet1!E359="","",[1]Sheet1!E359)</f>
        <v/>
      </c>
      <c r="F323" t="str">
        <f>IF([1]Sheet1!F359="","",[1]Sheet1!F359)</f>
        <v/>
      </c>
      <c r="G323" t="str">
        <f>IF([1]Sheet1!G359="","",[1]Sheet1!G359)</f>
        <v/>
      </c>
      <c r="H323" t="str">
        <f>IF([1]Sheet1!H359="","",[1]Sheet1!H359)</f>
        <v/>
      </c>
      <c r="I323" t="str">
        <f>IF([1]Sheet1!I359="","",[1]Sheet1!I359)</f>
        <v/>
      </c>
      <c r="J323" t="str">
        <f>IF([1]Sheet1!J359="","",[1]Sheet1!J359)</f>
        <v/>
      </c>
      <c r="K323" t="str">
        <f>IF([1]Sheet1!K359="","",[1]Sheet1!K359)</f>
        <v/>
      </c>
      <c r="L323" t="str">
        <f>IF([1]Sheet1!L359="","",[1]Sheet1!L359)</f>
        <v/>
      </c>
      <c r="M323" t="str">
        <f>IF([1]Sheet1!M359="","",[1]Sheet1!M359)</f>
        <v/>
      </c>
      <c r="N323" t="str">
        <f>IF([1]Sheet1!N359="","",[1]Sheet1!N359)</f>
        <v/>
      </c>
      <c r="O323" t="str">
        <f>IF([1]Sheet1!O359="","",[1]Sheet1!O359)</f>
        <v/>
      </c>
      <c r="P323" t="str">
        <f>IF([1]Sheet1!P359="","",[1]Sheet1!P359)</f>
        <v/>
      </c>
    </row>
    <row r="324" spans="1:16" x14ac:dyDescent="0.25">
      <c r="A324" t="str">
        <f>IF([1]Sheet1!A360="","",[1]Sheet1!A360)</f>
        <v/>
      </c>
      <c r="B324" t="str">
        <f>IF([1]Sheet1!B360="","",[1]Sheet1!B360)</f>
        <v/>
      </c>
      <c r="C324" t="str">
        <f>IF([1]Sheet1!C360="","",[1]Sheet1!C360)</f>
        <v/>
      </c>
      <c r="D324" t="str">
        <f>IF([1]Sheet1!D360="","",[1]Sheet1!D360)</f>
        <v/>
      </c>
      <c r="E324" t="str">
        <f>IF([1]Sheet1!E360="","",[1]Sheet1!E360)</f>
        <v/>
      </c>
      <c r="F324" t="str">
        <f>IF([1]Sheet1!F360="","",[1]Sheet1!F360)</f>
        <v/>
      </c>
      <c r="G324" t="str">
        <f>IF([1]Sheet1!G360="","",[1]Sheet1!G360)</f>
        <v/>
      </c>
      <c r="H324" t="str">
        <f>IF([1]Sheet1!H360="","",[1]Sheet1!H360)</f>
        <v/>
      </c>
      <c r="I324" t="str">
        <f>IF([1]Sheet1!I360="","",[1]Sheet1!I360)</f>
        <v/>
      </c>
      <c r="J324" t="str">
        <f>IF([1]Sheet1!J360="","",[1]Sheet1!J360)</f>
        <v/>
      </c>
      <c r="K324" t="str">
        <f>IF([1]Sheet1!K360="","",[1]Sheet1!K360)</f>
        <v/>
      </c>
      <c r="L324" t="str">
        <f>IF([1]Sheet1!L360="","",[1]Sheet1!L360)</f>
        <v/>
      </c>
      <c r="M324" t="str">
        <f>IF([1]Sheet1!M360="","",[1]Sheet1!M360)</f>
        <v/>
      </c>
      <c r="N324" t="str">
        <f>IF([1]Sheet1!N360="","",[1]Sheet1!N360)</f>
        <v/>
      </c>
      <c r="O324" t="str">
        <f>IF([1]Sheet1!O360="","",[1]Sheet1!O360)</f>
        <v/>
      </c>
      <c r="P324" t="str">
        <f>IF([1]Sheet1!P360="","",[1]Sheet1!P360)</f>
        <v/>
      </c>
    </row>
    <row r="325" spans="1:16" x14ac:dyDescent="0.25">
      <c r="A325" t="str">
        <f>IF([1]Sheet1!A361="","",[1]Sheet1!A361)</f>
        <v/>
      </c>
      <c r="B325" t="str">
        <f>IF([1]Sheet1!B361="","",[1]Sheet1!B361)</f>
        <v/>
      </c>
      <c r="C325" t="str">
        <f>IF([1]Sheet1!C361="","",[1]Sheet1!C361)</f>
        <v/>
      </c>
      <c r="D325" t="str">
        <f>IF([1]Sheet1!D361="","",[1]Sheet1!D361)</f>
        <v/>
      </c>
      <c r="E325" t="str">
        <f>IF([1]Sheet1!E361="","",[1]Sheet1!E361)</f>
        <v/>
      </c>
      <c r="F325" t="str">
        <f>IF([1]Sheet1!F361="","",[1]Sheet1!F361)</f>
        <v/>
      </c>
      <c r="G325" t="str">
        <f>IF([1]Sheet1!G361="","",[1]Sheet1!G361)</f>
        <v/>
      </c>
      <c r="H325" t="str">
        <f>IF([1]Sheet1!H361="","",[1]Sheet1!H361)</f>
        <v/>
      </c>
      <c r="I325" t="str">
        <f>IF([1]Sheet1!I361="","",[1]Sheet1!I361)</f>
        <v/>
      </c>
      <c r="J325" t="str">
        <f>IF([1]Sheet1!J361="","",[1]Sheet1!J361)</f>
        <v/>
      </c>
      <c r="K325" t="str">
        <f>IF([1]Sheet1!K361="","",[1]Sheet1!K361)</f>
        <v/>
      </c>
      <c r="L325" t="str">
        <f>IF([1]Sheet1!L361="","",[1]Sheet1!L361)</f>
        <v/>
      </c>
      <c r="M325" t="str">
        <f>IF([1]Sheet1!M361="","",[1]Sheet1!M361)</f>
        <v/>
      </c>
      <c r="N325" t="str">
        <f>IF([1]Sheet1!N361="","",[1]Sheet1!N361)</f>
        <v/>
      </c>
      <c r="O325" t="str">
        <f>IF([1]Sheet1!O361="","",[1]Sheet1!O361)</f>
        <v/>
      </c>
      <c r="P325" t="str">
        <f>IF([1]Sheet1!P361="","",[1]Sheet1!P361)</f>
        <v/>
      </c>
    </row>
    <row r="326" spans="1:16" x14ac:dyDescent="0.25">
      <c r="A326" t="str">
        <f>IF([1]Sheet1!A362="","",[1]Sheet1!A362)</f>
        <v/>
      </c>
      <c r="B326" t="str">
        <f>IF([1]Sheet1!B362="","",[1]Sheet1!B362)</f>
        <v/>
      </c>
      <c r="C326" t="str">
        <f>IF([1]Sheet1!C362="","",[1]Sheet1!C362)</f>
        <v/>
      </c>
      <c r="D326" t="str">
        <f>IF([1]Sheet1!D362="","",[1]Sheet1!D362)</f>
        <v/>
      </c>
      <c r="E326" t="str">
        <f>IF([1]Sheet1!E362="","",[1]Sheet1!E362)</f>
        <v/>
      </c>
      <c r="F326" t="str">
        <f>IF([1]Sheet1!F362="","",[1]Sheet1!F362)</f>
        <v/>
      </c>
      <c r="G326" t="str">
        <f>IF([1]Sheet1!G362="","",[1]Sheet1!G362)</f>
        <v/>
      </c>
      <c r="H326" t="str">
        <f>IF([1]Sheet1!H362="","",[1]Sheet1!H362)</f>
        <v/>
      </c>
      <c r="I326" t="str">
        <f>IF([1]Sheet1!I362="","",[1]Sheet1!I362)</f>
        <v/>
      </c>
      <c r="J326" t="str">
        <f>IF([1]Sheet1!J362="","",[1]Sheet1!J362)</f>
        <v/>
      </c>
      <c r="K326" t="str">
        <f>IF([1]Sheet1!K362="","",[1]Sheet1!K362)</f>
        <v/>
      </c>
      <c r="L326" t="str">
        <f>IF([1]Sheet1!L362="","",[1]Sheet1!L362)</f>
        <v/>
      </c>
      <c r="M326" t="str">
        <f>IF([1]Sheet1!M362="","",[1]Sheet1!M362)</f>
        <v/>
      </c>
      <c r="N326" t="str">
        <f>IF([1]Sheet1!N362="","",[1]Sheet1!N362)</f>
        <v/>
      </c>
      <c r="O326" t="str">
        <f>IF([1]Sheet1!O362="","",[1]Sheet1!O362)</f>
        <v/>
      </c>
      <c r="P326" t="str">
        <f>IF([1]Sheet1!P362="","",[1]Sheet1!P362)</f>
        <v/>
      </c>
    </row>
    <row r="327" spans="1:16" x14ac:dyDescent="0.25">
      <c r="A327" t="str">
        <f>IF([1]Sheet1!A363="","",[1]Sheet1!A363)</f>
        <v/>
      </c>
      <c r="B327" t="str">
        <f>IF([1]Sheet1!B363="","",[1]Sheet1!B363)</f>
        <v/>
      </c>
      <c r="C327" t="str">
        <f>IF([1]Sheet1!C363="","",[1]Sheet1!C363)</f>
        <v/>
      </c>
      <c r="D327" t="str">
        <f>IF([1]Sheet1!D363="","",[1]Sheet1!D363)</f>
        <v/>
      </c>
      <c r="E327" t="str">
        <f>IF([1]Sheet1!E363="","",[1]Sheet1!E363)</f>
        <v/>
      </c>
      <c r="F327" t="str">
        <f>IF([1]Sheet1!F363="","",[1]Sheet1!F363)</f>
        <v/>
      </c>
      <c r="G327" t="str">
        <f>IF([1]Sheet1!G363="","",[1]Sheet1!G363)</f>
        <v/>
      </c>
      <c r="H327" t="str">
        <f>IF([1]Sheet1!H363="","",[1]Sheet1!H363)</f>
        <v/>
      </c>
      <c r="I327" t="str">
        <f>IF([1]Sheet1!I363="","",[1]Sheet1!I363)</f>
        <v/>
      </c>
      <c r="J327" t="str">
        <f>IF([1]Sheet1!J363="","",[1]Sheet1!J363)</f>
        <v/>
      </c>
      <c r="K327" t="str">
        <f>IF([1]Sheet1!K363="","",[1]Sheet1!K363)</f>
        <v/>
      </c>
      <c r="L327" t="str">
        <f>IF([1]Sheet1!L363="","",[1]Sheet1!L363)</f>
        <v/>
      </c>
      <c r="M327" t="str">
        <f>IF([1]Sheet1!M363="","",[1]Sheet1!M363)</f>
        <v/>
      </c>
      <c r="N327" t="str">
        <f>IF([1]Sheet1!N363="","",[1]Sheet1!N363)</f>
        <v/>
      </c>
      <c r="O327" t="str">
        <f>IF([1]Sheet1!O363="","",[1]Sheet1!O363)</f>
        <v/>
      </c>
      <c r="P327" t="str">
        <f>IF([1]Sheet1!P363="","",[1]Sheet1!P363)</f>
        <v/>
      </c>
    </row>
    <row r="328" spans="1:16" x14ac:dyDescent="0.25">
      <c r="A328" t="str">
        <f>IF([1]Sheet1!A364="","",[1]Sheet1!A364)</f>
        <v/>
      </c>
      <c r="B328" t="str">
        <f>IF([1]Sheet1!B364="","",[1]Sheet1!B364)</f>
        <v/>
      </c>
      <c r="C328" t="str">
        <f>IF([1]Sheet1!C364="","",[1]Sheet1!C364)</f>
        <v/>
      </c>
      <c r="D328" t="str">
        <f>IF([1]Sheet1!D364="","",[1]Sheet1!D364)</f>
        <v/>
      </c>
      <c r="E328" t="str">
        <f>IF([1]Sheet1!E364="","",[1]Sheet1!E364)</f>
        <v/>
      </c>
      <c r="F328" t="str">
        <f>IF([1]Sheet1!F364="","",[1]Sheet1!F364)</f>
        <v/>
      </c>
      <c r="G328" t="str">
        <f>IF([1]Sheet1!G364="","",[1]Sheet1!G364)</f>
        <v/>
      </c>
      <c r="H328" t="str">
        <f>IF([1]Sheet1!H364="","",[1]Sheet1!H364)</f>
        <v/>
      </c>
      <c r="I328" t="str">
        <f>IF([1]Sheet1!I364="","",[1]Sheet1!I364)</f>
        <v/>
      </c>
      <c r="J328" t="str">
        <f>IF([1]Sheet1!J364="","",[1]Sheet1!J364)</f>
        <v/>
      </c>
      <c r="K328" t="str">
        <f>IF([1]Sheet1!K364="","",[1]Sheet1!K364)</f>
        <v/>
      </c>
      <c r="L328" t="str">
        <f>IF([1]Sheet1!L364="","",[1]Sheet1!L364)</f>
        <v/>
      </c>
      <c r="M328" t="str">
        <f>IF([1]Sheet1!M364="","",[1]Sheet1!M364)</f>
        <v/>
      </c>
      <c r="N328" t="str">
        <f>IF([1]Sheet1!N364="","",[1]Sheet1!N364)</f>
        <v/>
      </c>
      <c r="O328" t="str">
        <f>IF([1]Sheet1!O364="","",[1]Sheet1!O364)</f>
        <v/>
      </c>
      <c r="P328" t="str">
        <f>IF([1]Sheet1!P364="","",[1]Sheet1!P364)</f>
        <v/>
      </c>
    </row>
    <row r="329" spans="1:16" x14ac:dyDescent="0.25">
      <c r="A329" t="str">
        <f>IF([1]Sheet1!A365="","",[1]Sheet1!A365)</f>
        <v/>
      </c>
      <c r="B329" t="str">
        <f>IF([1]Sheet1!B365="","",[1]Sheet1!B365)</f>
        <v/>
      </c>
      <c r="C329" t="str">
        <f>IF([1]Sheet1!C365="","",[1]Sheet1!C365)</f>
        <v/>
      </c>
      <c r="D329" t="str">
        <f>IF([1]Sheet1!D365="","",[1]Sheet1!D365)</f>
        <v/>
      </c>
      <c r="E329" t="str">
        <f>IF([1]Sheet1!E365="","",[1]Sheet1!E365)</f>
        <v/>
      </c>
      <c r="F329" t="str">
        <f>IF([1]Sheet1!F365="","",[1]Sheet1!F365)</f>
        <v/>
      </c>
      <c r="G329" t="str">
        <f>IF([1]Sheet1!G365="","",[1]Sheet1!G365)</f>
        <v/>
      </c>
      <c r="H329" t="str">
        <f>IF([1]Sheet1!H365="","",[1]Sheet1!H365)</f>
        <v/>
      </c>
      <c r="I329" t="str">
        <f>IF([1]Sheet1!I365="","",[1]Sheet1!I365)</f>
        <v/>
      </c>
      <c r="J329" t="str">
        <f>IF([1]Sheet1!J365="","",[1]Sheet1!J365)</f>
        <v/>
      </c>
      <c r="K329" t="str">
        <f>IF([1]Sheet1!K365="","",[1]Sheet1!K365)</f>
        <v/>
      </c>
      <c r="L329" t="str">
        <f>IF([1]Sheet1!L365="","",[1]Sheet1!L365)</f>
        <v/>
      </c>
      <c r="M329" t="str">
        <f>IF([1]Sheet1!M365="","",[1]Sheet1!M365)</f>
        <v/>
      </c>
      <c r="N329" t="str">
        <f>IF([1]Sheet1!N365="","",[1]Sheet1!N365)</f>
        <v/>
      </c>
      <c r="O329" t="str">
        <f>IF([1]Sheet1!O365="","",[1]Sheet1!O365)</f>
        <v/>
      </c>
      <c r="P329" t="str">
        <f>IF([1]Sheet1!P365="","",[1]Sheet1!P365)</f>
        <v/>
      </c>
    </row>
    <row r="330" spans="1:16" x14ac:dyDescent="0.25">
      <c r="A330" t="str">
        <f>IF([1]Sheet1!A366="","",[1]Sheet1!A366)</f>
        <v/>
      </c>
      <c r="B330" t="str">
        <f>IF([1]Sheet1!B366="","",[1]Sheet1!B366)</f>
        <v/>
      </c>
      <c r="C330" t="str">
        <f>IF([1]Sheet1!C366="","",[1]Sheet1!C366)</f>
        <v/>
      </c>
      <c r="D330" t="str">
        <f>IF([1]Sheet1!D366="","",[1]Sheet1!D366)</f>
        <v/>
      </c>
      <c r="E330" t="str">
        <f>IF([1]Sheet1!E366="","",[1]Sheet1!E366)</f>
        <v/>
      </c>
      <c r="F330" t="str">
        <f>IF([1]Sheet1!F366="","",[1]Sheet1!F366)</f>
        <v/>
      </c>
      <c r="G330" t="str">
        <f>IF([1]Sheet1!G366="","",[1]Sheet1!G366)</f>
        <v/>
      </c>
      <c r="H330" t="str">
        <f>IF([1]Sheet1!H366="","",[1]Sheet1!H366)</f>
        <v/>
      </c>
      <c r="I330" t="str">
        <f>IF([1]Sheet1!I366="","",[1]Sheet1!I366)</f>
        <v/>
      </c>
      <c r="J330" t="str">
        <f>IF([1]Sheet1!J366="","",[1]Sheet1!J366)</f>
        <v/>
      </c>
      <c r="K330" t="str">
        <f>IF([1]Sheet1!K366="","",[1]Sheet1!K366)</f>
        <v/>
      </c>
      <c r="L330" t="str">
        <f>IF([1]Sheet1!L366="","",[1]Sheet1!L366)</f>
        <v/>
      </c>
      <c r="M330" t="str">
        <f>IF([1]Sheet1!M366="","",[1]Sheet1!M366)</f>
        <v/>
      </c>
      <c r="N330" t="str">
        <f>IF([1]Sheet1!N366="","",[1]Sheet1!N366)</f>
        <v/>
      </c>
      <c r="O330" t="str">
        <f>IF([1]Sheet1!O366="","",[1]Sheet1!O366)</f>
        <v/>
      </c>
      <c r="P330" t="str">
        <f>IF([1]Sheet1!P366="","",[1]Sheet1!P366)</f>
        <v/>
      </c>
    </row>
    <row r="331" spans="1:16" x14ac:dyDescent="0.25">
      <c r="A331" t="str">
        <f>IF([1]Sheet1!A367="","",[1]Sheet1!A367)</f>
        <v/>
      </c>
      <c r="B331" t="str">
        <f>IF([1]Sheet1!B367="","",[1]Sheet1!B367)</f>
        <v/>
      </c>
      <c r="C331" t="str">
        <f>IF([1]Sheet1!C367="","",[1]Sheet1!C367)</f>
        <v/>
      </c>
      <c r="D331" t="str">
        <f>IF([1]Sheet1!D367="","",[1]Sheet1!D367)</f>
        <v/>
      </c>
      <c r="E331" t="str">
        <f>IF([1]Sheet1!E367="","",[1]Sheet1!E367)</f>
        <v/>
      </c>
      <c r="F331" t="str">
        <f>IF([1]Sheet1!F367="","",[1]Sheet1!F367)</f>
        <v/>
      </c>
      <c r="G331" t="str">
        <f>IF([1]Sheet1!G367="","",[1]Sheet1!G367)</f>
        <v/>
      </c>
      <c r="H331" t="str">
        <f>IF([1]Sheet1!H367="","",[1]Sheet1!H367)</f>
        <v/>
      </c>
      <c r="I331" t="str">
        <f>IF([1]Sheet1!I367="","",[1]Sheet1!I367)</f>
        <v/>
      </c>
      <c r="J331" t="str">
        <f>IF([1]Sheet1!J367="","",[1]Sheet1!J367)</f>
        <v/>
      </c>
      <c r="K331" t="str">
        <f>IF([1]Sheet1!K367="","",[1]Sheet1!K367)</f>
        <v/>
      </c>
      <c r="L331" t="str">
        <f>IF([1]Sheet1!L367="","",[1]Sheet1!L367)</f>
        <v/>
      </c>
      <c r="M331" t="str">
        <f>IF([1]Sheet1!M367="","",[1]Sheet1!M367)</f>
        <v/>
      </c>
      <c r="N331" t="str">
        <f>IF([1]Sheet1!N367="","",[1]Sheet1!N367)</f>
        <v/>
      </c>
      <c r="O331" t="str">
        <f>IF([1]Sheet1!O367="","",[1]Sheet1!O367)</f>
        <v/>
      </c>
      <c r="P331" t="str">
        <f>IF([1]Sheet1!P367="","",[1]Sheet1!P367)</f>
        <v/>
      </c>
    </row>
    <row r="332" spans="1:16" x14ac:dyDescent="0.25">
      <c r="A332" t="str">
        <f>IF([1]Sheet1!A368="","",[1]Sheet1!A368)</f>
        <v/>
      </c>
      <c r="B332" t="str">
        <f>IF([1]Sheet1!B368="","",[1]Sheet1!B368)</f>
        <v/>
      </c>
      <c r="C332" t="str">
        <f>IF([1]Sheet1!C368="","",[1]Sheet1!C368)</f>
        <v/>
      </c>
      <c r="D332" t="str">
        <f>IF([1]Sheet1!D368="","",[1]Sheet1!D368)</f>
        <v/>
      </c>
      <c r="E332" t="str">
        <f>IF([1]Sheet1!E368="","",[1]Sheet1!E368)</f>
        <v/>
      </c>
      <c r="F332" t="str">
        <f>IF([1]Sheet1!F368="","",[1]Sheet1!F368)</f>
        <v/>
      </c>
      <c r="G332" t="str">
        <f>IF([1]Sheet1!G368="","",[1]Sheet1!G368)</f>
        <v/>
      </c>
      <c r="H332" t="str">
        <f>IF([1]Sheet1!H368="","",[1]Sheet1!H368)</f>
        <v/>
      </c>
      <c r="I332" t="str">
        <f>IF([1]Sheet1!I368="","",[1]Sheet1!I368)</f>
        <v/>
      </c>
      <c r="J332" t="str">
        <f>IF([1]Sheet1!J368="","",[1]Sheet1!J368)</f>
        <v/>
      </c>
      <c r="K332" t="str">
        <f>IF([1]Sheet1!K368="","",[1]Sheet1!K368)</f>
        <v/>
      </c>
      <c r="L332" t="str">
        <f>IF([1]Sheet1!L368="","",[1]Sheet1!L368)</f>
        <v/>
      </c>
      <c r="M332" t="str">
        <f>IF([1]Sheet1!M368="","",[1]Sheet1!M368)</f>
        <v/>
      </c>
      <c r="N332" t="str">
        <f>IF([1]Sheet1!N368="","",[1]Sheet1!N368)</f>
        <v/>
      </c>
      <c r="O332" t="str">
        <f>IF([1]Sheet1!O368="","",[1]Sheet1!O368)</f>
        <v/>
      </c>
      <c r="P332" t="str">
        <f>IF([1]Sheet1!P368="","",[1]Sheet1!P368)</f>
        <v/>
      </c>
    </row>
    <row r="333" spans="1:16" x14ac:dyDescent="0.25">
      <c r="A333" t="str">
        <f>IF([1]Sheet1!A369="","",[1]Sheet1!A369)</f>
        <v/>
      </c>
      <c r="B333" t="str">
        <f>IF([1]Sheet1!B369="","",[1]Sheet1!B369)</f>
        <v/>
      </c>
      <c r="C333" t="str">
        <f>IF([1]Sheet1!C369="","",[1]Sheet1!C369)</f>
        <v/>
      </c>
      <c r="D333" t="str">
        <f>IF([1]Sheet1!D369="","",[1]Sheet1!D369)</f>
        <v/>
      </c>
      <c r="E333" t="str">
        <f>IF([1]Sheet1!E369="","",[1]Sheet1!E369)</f>
        <v/>
      </c>
      <c r="F333" t="str">
        <f>IF([1]Sheet1!F369="","",[1]Sheet1!F369)</f>
        <v/>
      </c>
      <c r="G333" t="str">
        <f>IF([1]Sheet1!G369="","",[1]Sheet1!G369)</f>
        <v/>
      </c>
      <c r="H333" t="str">
        <f>IF([1]Sheet1!H369="","",[1]Sheet1!H369)</f>
        <v/>
      </c>
      <c r="I333" t="str">
        <f>IF([1]Sheet1!I369="","",[1]Sheet1!I369)</f>
        <v/>
      </c>
      <c r="J333" t="str">
        <f>IF([1]Sheet1!J369="","",[1]Sheet1!J369)</f>
        <v/>
      </c>
      <c r="K333" t="str">
        <f>IF([1]Sheet1!K369="","",[1]Sheet1!K369)</f>
        <v/>
      </c>
      <c r="L333" t="str">
        <f>IF([1]Sheet1!L369="","",[1]Sheet1!L369)</f>
        <v/>
      </c>
      <c r="M333" t="str">
        <f>IF([1]Sheet1!M369="","",[1]Sheet1!M369)</f>
        <v/>
      </c>
      <c r="N333" t="str">
        <f>IF([1]Sheet1!N369="","",[1]Sheet1!N369)</f>
        <v/>
      </c>
      <c r="O333" t="str">
        <f>IF([1]Sheet1!O369="","",[1]Sheet1!O369)</f>
        <v/>
      </c>
      <c r="P333" t="str">
        <f>IF([1]Sheet1!P369="","",[1]Sheet1!P369)</f>
        <v/>
      </c>
    </row>
    <row r="334" spans="1:16" x14ac:dyDescent="0.25">
      <c r="A334" t="str">
        <f>IF([1]Sheet1!A370="","",[1]Sheet1!A370)</f>
        <v/>
      </c>
      <c r="B334" t="str">
        <f>IF([1]Sheet1!B370="","",[1]Sheet1!B370)</f>
        <v/>
      </c>
      <c r="C334" t="str">
        <f>IF([1]Sheet1!C370="","",[1]Sheet1!C370)</f>
        <v/>
      </c>
      <c r="D334" t="str">
        <f>IF([1]Sheet1!D370="","",[1]Sheet1!D370)</f>
        <v/>
      </c>
      <c r="E334" t="str">
        <f>IF([1]Sheet1!E370="","",[1]Sheet1!E370)</f>
        <v/>
      </c>
      <c r="F334" t="str">
        <f>IF([1]Sheet1!F370="","",[1]Sheet1!F370)</f>
        <v/>
      </c>
      <c r="G334" t="str">
        <f>IF([1]Sheet1!G370="","",[1]Sheet1!G370)</f>
        <v/>
      </c>
      <c r="H334" t="str">
        <f>IF([1]Sheet1!H370="","",[1]Sheet1!H370)</f>
        <v/>
      </c>
      <c r="I334" t="str">
        <f>IF([1]Sheet1!I370="","",[1]Sheet1!I370)</f>
        <v/>
      </c>
      <c r="J334" t="str">
        <f>IF([1]Sheet1!J370="","",[1]Sheet1!J370)</f>
        <v/>
      </c>
      <c r="K334" t="str">
        <f>IF([1]Sheet1!K370="","",[1]Sheet1!K370)</f>
        <v/>
      </c>
      <c r="L334" t="str">
        <f>IF([1]Sheet1!L370="","",[1]Sheet1!L370)</f>
        <v/>
      </c>
      <c r="M334" t="str">
        <f>IF([1]Sheet1!M370="","",[1]Sheet1!M370)</f>
        <v/>
      </c>
      <c r="N334" t="str">
        <f>IF([1]Sheet1!N370="","",[1]Sheet1!N370)</f>
        <v/>
      </c>
      <c r="O334" t="str">
        <f>IF([1]Sheet1!O370="","",[1]Sheet1!O370)</f>
        <v/>
      </c>
      <c r="P334" t="str">
        <f>IF([1]Sheet1!P370="","",[1]Sheet1!P370)</f>
        <v/>
      </c>
    </row>
    <row r="335" spans="1:16" x14ac:dyDescent="0.25">
      <c r="A335" t="str">
        <f>IF([1]Sheet1!A371="","",[1]Sheet1!A371)</f>
        <v/>
      </c>
      <c r="B335" t="str">
        <f>IF([1]Sheet1!B371="","",[1]Sheet1!B371)</f>
        <v/>
      </c>
      <c r="C335" t="str">
        <f>IF([1]Sheet1!C371="","",[1]Sheet1!C371)</f>
        <v/>
      </c>
      <c r="D335" t="str">
        <f>IF([1]Sheet1!D371="","",[1]Sheet1!D371)</f>
        <v/>
      </c>
      <c r="E335" t="str">
        <f>IF([1]Sheet1!E371="","",[1]Sheet1!E371)</f>
        <v/>
      </c>
      <c r="F335" t="str">
        <f>IF([1]Sheet1!F371="","",[1]Sheet1!F371)</f>
        <v/>
      </c>
      <c r="G335" t="str">
        <f>IF([1]Sheet1!G371="","",[1]Sheet1!G371)</f>
        <v/>
      </c>
      <c r="H335" t="str">
        <f>IF([1]Sheet1!H371="","",[1]Sheet1!H371)</f>
        <v/>
      </c>
      <c r="I335" t="str">
        <f>IF([1]Sheet1!I371="","",[1]Sheet1!I371)</f>
        <v/>
      </c>
      <c r="J335" t="str">
        <f>IF([1]Sheet1!J371="","",[1]Sheet1!J371)</f>
        <v/>
      </c>
      <c r="K335" t="str">
        <f>IF([1]Sheet1!K371="","",[1]Sheet1!K371)</f>
        <v/>
      </c>
      <c r="L335" t="str">
        <f>IF([1]Sheet1!L371="","",[1]Sheet1!L371)</f>
        <v/>
      </c>
      <c r="M335" t="str">
        <f>IF([1]Sheet1!M371="","",[1]Sheet1!M371)</f>
        <v/>
      </c>
      <c r="N335" t="str">
        <f>IF([1]Sheet1!N371="","",[1]Sheet1!N371)</f>
        <v/>
      </c>
      <c r="O335" t="str">
        <f>IF([1]Sheet1!O371="","",[1]Sheet1!O371)</f>
        <v/>
      </c>
      <c r="P335" t="str">
        <f>IF([1]Sheet1!P371="","",[1]Sheet1!P371)</f>
        <v/>
      </c>
    </row>
    <row r="336" spans="1:16" x14ac:dyDescent="0.25">
      <c r="A336" t="str">
        <f>IF([1]Sheet1!A372="","",[1]Sheet1!A372)</f>
        <v/>
      </c>
      <c r="B336" t="str">
        <f>IF([1]Sheet1!B372="","",[1]Sheet1!B372)</f>
        <v/>
      </c>
      <c r="C336" t="str">
        <f>IF([1]Sheet1!C372="","",[1]Sheet1!C372)</f>
        <v/>
      </c>
      <c r="D336" t="str">
        <f>IF([1]Sheet1!D372="","",[1]Sheet1!D372)</f>
        <v/>
      </c>
      <c r="E336" t="str">
        <f>IF([1]Sheet1!E372="","",[1]Sheet1!E372)</f>
        <v/>
      </c>
      <c r="F336" t="str">
        <f>IF([1]Sheet1!F372="","",[1]Sheet1!F372)</f>
        <v/>
      </c>
      <c r="G336" t="str">
        <f>IF([1]Sheet1!G372="","",[1]Sheet1!G372)</f>
        <v/>
      </c>
      <c r="H336" t="str">
        <f>IF([1]Sheet1!H372="","",[1]Sheet1!H372)</f>
        <v/>
      </c>
      <c r="I336" t="str">
        <f>IF([1]Sheet1!I372="","",[1]Sheet1!I372)</f>
        <v/>
      </c>
      <c r="J336" t="str">
        <f>IF([1]Sheet1!J372="","",[1]Sheet1!J372)</f>
        <v/>
      </c>
      <c r="K336" t="str">
        <f>IF([1]Sheet1!K372="","",[1]Sheet1!K372)</f>
        <v/>
      </c>
      <c r="L336" t="str">
        <f>IF([1]Sheet1!L372="","",[1]Sheet1!L372)</f>
        <v/>
      </c>
      <c r="M336" t="str">
        <f>IF([1]Sheet1!M372="","",[1]Sheet1!M372)</f>
        <v/>
      </c>
      <c r="N336" t="str">
        <f>IF([1]Sheet1!N372="","",[1]Sheet1!N372)</f>
        <v/>
      </c>
      <c r="O336" t="str">
        <f>IF([1]Sheet1!O372="","",[1]Sheet1!O372)</f>
        <v/>
      </c>
      <c r="P336" t="str">
        <f>IF([1]Sheet1!P372="","",[1]Sheet1!P372)</f>
        <v/>
      </c>
    </row>
    <row r="337" spans="1:16" x14ac:dyDescent="0.25">
      <c r="A337" t="str">
        <f>IF([1]Sheet1!A373="","",[1]Sheet1!A373)</f>
        <v/>
      </c>
      <c r="B337" t="str">
        <f>IF([1]Sheet1!B373="","",[1]Sheet1!B373)</f>
        <v/>
      </c>
      <c r="C337" t="str">
        <f>IF([1]Sheet1!C373="","",[1]Sheet1!C373)</f>
        <v/>
      </c>
      <c r="D337" t="str">
        <f>IF([1]Sheet1!D373="","",[1]Sheet1!D373)</f>
        <v/>
      </c>
      <c r="E337" t="str">
        <f>IF([1]Sheet1!E373="","",[1]Sheet1!E373)</f>
        <v/>
      </c>
      <c r="F337" t="str">
        <f>IF([1]Sheet1!F373="","",[1]Sheet1!F373)</f>
        <v/>
      </c>
      <c r="G337" t="str">
        <f>IF([1]Sheet1!G373="","",[1]Sheet1!G373)</f>
        <v/>
      </c>
      <c r="H337" t="str">
        <f>IF([1]Sheet1!H373="","",[1]Sheet1!H373)</f>
        <v/>
      </c>
      <c r="I337" t="str">
        <f>IF([1]Sheet1!I373="","",[1]Sheet1!I373)</f>
        <v/>
      </c>
      <c r="J337" t="str">
        <f>IF([1]Sheet1!J373="","",[1]Sheet1!J373)</f>
        <v/>
      </c>
      <c r="K337" t="str">
        <f>IF([1]Sheet1!K373="","",[1]Sheet1!K373)</f>
        <v/>
      </c>
      <c r="L337" t="str">
        <f>IF([1]Sheet1!L373="","",[1]Sheet1!L373)</f>
        <v/>
      </c>
      <c r="M337" t="str">
        <f>IF([1]Sheet1!M373="","",[1]Sheet1!M373)</f>
        <v/>
      </c>
      <c r="N337" t="str">
        <f>IF([1]Sheet1!N373="","",[1]Sheet1!N373)</f>
        <v/>
      </c>
      <c r="O337" t="str">
        <f>IF([1]Sheet1!O373="","",[1]Sheet1!O373)</f>
        <v/>
      </c>
      <c r="P337" t="str">
        <f>IF([1]Sheet1!P373="","",[1]Sheet1!P373)</f>
        <v/>
      </c>
    </row>
    <row r="338" spans="1:16" x14ac:dyDescent="0.25">
      <c r="A338" t="str">
        <f>IF([1]Sheet1!A374="","",[1]Sheet1!A374)</f>
        <v/>
      </c>
      <c r="B338" t="str">
        <f>IF([1]Sheet1!B374="","",[1]Sheet1!B374)</f>
        <v/>
      </c>
      <c r="C338" t="str">
        <f>IF([1]Sheet1!C374="","",[1]Sheet1!C374)</f>
        <v/>
      </c>
      <c r="D338" t="str">
        <f>IF([1]Sheet1!D374="","",[1]Sheet1!D374)</f>
        <v/>
      </c>
      <c r="E338" t="str">
        <f>IF([1]Sheet1!E374="","",[1]Sheet1!E374)</f>
        <v/>
      </c>
      <c r="F338" t="str">
        <f>IF([1]Sheet1!F374="","",[1]Sheet1!F374)</f>
        <v/>
      </c>
      <c r="G338" t="str">
        <f>IF([1]Sheet1!G374="","",[1]Sheet1!G374)</f>
        <v/>
      </c>
      <c r="H338" t="str">
        <f>IF([1]Sheet1!H374="","",[1]Sheet1!H374)</f>
        <v/>
      </c>
      <c r="I338" t="str">
        <f>IF([1]Sheet1!I374="","",[1]Sheet1!I374)</f>
        <v/>
      </c>
      <c r="J338" t="str">
        <f>IF([1]Sheet1!J374="","",[1]Sheet1!J374)</f>
        <v/>
      </c>
      <c r="K338" t="str">
        <f>IF([1]Sheet1!K374="","",[1]Sheet1!K374)</f>
        <v/>
      </c>
      <c r="L338" t="str">
        <f>IF([1]Sheet1!L374="","",[1]Sheet1!L374)</f>
        <v/>
      </c>
      <c r="M338" t="str">
        <f>IF([1]Sheet1!M374="","",[1]Sheet1!M374)</f>
        <v/>
      </c>
      <c r="N338" t="str">
        <f>IF([1]Sheet1!N374="","",[1]Sheet1!N374)</f>
        <v/>
      </c>
      <c r="O338" t="str">
        <f>IF([1]Sheet1!O374="","",[1]Sheet1!O374)</f>
        <v/>
      </c>
      <c r="P338" t="str">
        <f>IF([1]Sheet1!P374="","",[1]Sheet1!P374)</f>
        <v/>
      </c>
    </row>
    <row r="339" spans="1:16" x14ac:dyDescent="0.25">
      <c r="A339" t="str">
        <f>IF([1]Sheet1!A375="","",[1]Sheet1!A375)</f>
        <v/>
      </c>
      <c r="B339" t="str">
        <f>IF([1]Sheet1!B375="","",[1]Sheet1!B375)</f>
        <v/>
      </c>
      <c r="C339" t="str">
        <f>IF([1]Sheet1!C375="","",[1]Sheet1!C375)</f>
        <v/>
      </c>
      <c r="D339" t="str">
        <f>IF([1]Sheet1!D375="","",[1]Sheet1!D375)</f>
        <v/>
      </c>
      <c r="E339" t="str">
        <f>IF([1]Sheet1!E375="","",[1]Sheet1!E375)</f>
        <v/>
      </c>
      <c r="F339" t="str">
        <f>IF([1]Sheet1!F375="","",[1]Sheet1!F375)</f>
        <v/>
      </c>
      <c r="G339" t="str">
        <f>IF([1]Sheet1!G375="","",[1]Sheet1!G375)</f>
        <v/>
      </c>
      <c r="H339" t="str">
        <f>IF([1]Sheet1!H375="","",[1]Sheet1!H375)</f>
        <v/>
      </c>
      <c r="I339" t="str">
        <f>IF([1]Sheet1!I375="","",[1]Sheet1!I375)</f>
        <v/>
      </c>
      <c r="J339" t="str">
        <f>IF([1]Sheet1!J375="","",[1]Sheet1!J375)</f>
        <v/>
      </c>
      <c r="K339" t="str">
        <f>IF([1]Sheet1!K375="","",[1]Sheet1!K375)</f>
        <v/>
      </c>
      <c r="L339" t="str">
        <f>IF([1]Sheet1!L375="","",[1]Sheet1!L375)</f>
        <v/>
      </c>
      <c r="M339" t="str">
        <f>IF([1]Sheet1!M375="","",[1]Sheet1!M375)</f>
        <v/>
      </c>
      <c r="N339" t="str">
        <f>IF([1]Sheet1!N375="","",[1]Sheet1!N375)</f>
        <v/>
      </c>
      <c r="O339" t="str">
        <f>IF([1]Sheet1!O375="","",[1]Sheet1!O375)</f>
        <v/>
      </c>
      <c r="P339" t="str">
        <f>IF([1]Sheet1!P375="","",[1]Sheet1!P375)</f>
        <v/>
      </c>
    </row>
    <row r="340" spans="1:16" x14ac:dyDescent="0.25">
      <c r="A340" t="str">
        <f>IF([1]Sheet1!A376="","",[1]Sheet1!A376)</f>
        <v/>
      </c>
      <c r="B340" t="str">
        <f>IF([1]Sheet1!B376="","",[1]Sheet1!B376)</f>
        <v/>
      </c>
      <c r="C340" t="str">
        <f>IF([1]Sheet1!C376="","",[1]Sheet1!C376)</f>
        <v/>
      </c>
      <c r="D340" t="str">
        <f>IF([1]Sheet1!D376="","",[1]Sheet1!D376)</f>
        <v/>
      </c>
      <c r="E340" t="str">
        <f>IF([1]Sheet1!E376="","",[1]Sheet1!E376)</f>
        <v/>
      </c>
      <c r="F340" t="str">
        <f>IF([1]Sheet1!F376="","",[1]Sheet1!F376)</f>
        <v/>
      </c>
      <c r="G340" t="str">
        <f>IF([1]Sheet1!G376="","",[1]Sheet1!G376)</f>
        <v/>
      </c>
      <c r="H340" t="str">
        <f>IF([1]Sheet1!H376="","",[1]Sheet1!H376)</f>
        <v/>
      </c>
      <c r="I340" t="str">
        <f>IF([1]Sheet1!I376="","",[1]Sheet1!I376)</f>
        <v/>
      </c>
      <c r="J340" t="str">
        <f>IF([1]Sheet1!J376="","",[1]Sheet1!J376)</f>
        <v/>
      </c>
      <c r="K340" t="str">
        <f>IF([1]Sheet1!K376="","",[1]Sheet1!K376)</f>
        <v/>
      </c>
      <c r="L340" t="str">
        <f>IF([1]Sheet1!L376="","",[1]Sheet1!L376)</f>
        <v/>
      </c>
      <c r="M340" t="str">
        <f>IF([1]Sheet1!M376="","",[1]Sheet1!M376)</f>
        <v/>
      </c>
      <c r="N340" t="str">
        <f>IF([1]Sheet1!N376="","",[1]Sheet1!N376)</f>
        <v/>
      </c>
      <c r="O340" t="str">
        <f>IF([1]Sheet1!O376="","",[1]Sheet1!O376)</f>
        <v/>
      </c>
      <c r="P340" t="str">
        <f>IF([1]Sheet1!P376="","",[1]Sheet1!P376)</f>
        <v/>
      </c>
    </row>
    <row r="341" spans="1:16" x14ac:dyDescent="0.25">
      <c r="A341" t="str">
        <f>IF([1]Sheet1!A377="","",[1]Sheet1!A377)</f>
        <v/>
      </c>
      <c r="B341" t="str">
        <f>IF([1]Sheet1!B377="","",[1]Sheet1!B377)</f>
        <v/>
      </c>
      <c r="C341" t="str">
        <f>IF([1]Sheet1!C377="","",[1]Sheet1!C377)</f>
        <v/>
      </c>
      <c r="D341" t="str">
        <f>IF([1]Sheet1!D377="","",[1]Sheet1!D377)</f>
        <v/>
      </c>
      <c r="E341" t="str">
        <f>IF([1]Sheet1!E377="","",[1]Sheet1!E377)</f>
        <v/>
      </c>
      <c r="F341" t="str">
        <f>IF([1]Sheet1!F377="","",[1]Sheet1!F377)</f>
        <v/>
      </c>
      <c r="G341" t="str">
        <f>IF([1]Sheet1!G377="","",[1]Sheet1!G377)</f>
        <v/>
      </c>
      <c r="H341" t="str">
        <f>IF([1]Sheet1!H377="","",[1]Sheet1!H377)</f>
        <v/>
      </c>
      <c r="I341" t="str">
        <f>IF([1]Sheet1!I377="","",[1]Sheet1!I377)</f>
        <v/>
      </c>
      <c r="J341" t="str">
        <f>IF([1]Sheet1!J377="","",[1]Sheet1!J377)</f>
        <v/>
      </c>
      <c r="K341" t="str">
        <f>IF([1]Sheet1!K377="","",[1]Sheet1!K377)</f>
        <v/>
      </c>
      <c r="L341" t="str">
        <f>IF([1]Sheet1!L377="","",[1]Sheet1!L377)</f>
        <v/>
      </c>
      <c r="M341" t="str">
        <f>IF([1]Sheet1!M377="","",[1]Sheet1!M377)</f>
        <v/>
      </c>
      <c r="N341" t="str">
        <f>IF([1]Sheet1!N377="","",[1]Sheet1!N377)</f>
        <v/>
      </c>
      <c r="O341" t="str">
        <f>IF([1]Sheet1!O377="","",[1]Sheet1!O377)</f>
        <v/>
      </c>
      <c r="P341" t="str">
        <f>IF([1]Sheet1!P377="","",[1]Sheet1!P377)</f>
        <v/>
      </c>
    </row>
    <row r="342" spans="1:16" x14ac:dyDescent="0.25">
      <c r="A342" t="str">
        <f>IF([1]Sheet1!A378="","",[1]Sheet1!A378)</f>
        <v/>
      </c>
      <c r="B342" t="str">
        <f>IF([1]Sheet1!B378="","",[1]Sheet1!B378)</f>
        <v/>
      </c>
      <c r="C342" t="str">
        <f>IF([1]Sheet1!C378="","",[1]Sheet1!C378)</f>
        <v/>
      </c>
      <c r="D342" t="str">
        <f>IF([1]Sheet1!D378="","",[1]Sheet1!D378)</f>
        <v/>
      </c>
      <c r="E342" t="str">
        <f>IF([1]Sheet1!E378="","",[1]Sheet1!E378)</f>
        <v/>
      </c>
      <c r="F342" t="str">
        <f>IF([1]Sheet1!F378="","",[1]Sheet1!F378)</f>
        <v/>
      </c>
      <c r="G342" t="str">
        <f>IF([1]Sheet1!G378="","",[1]Sheet1!G378)</f>
        <v/>
      </c>
      <c r="H342" t="str">
        <f>IF([1]Sheet1!H378="","",[1]Sheet1!H378)</f>
        <v/>
      </c>
      <c r="I342" t="str">
        <f>IF([1]Sheet1!I378="","",[1]Sheet1!I378)</f>
        <v/>
      </c>
      <c r="J342" t="str">
        <f>IF([1]Sheet1!J378="","",[1]Sheet1!J378)</f>
        <v/>
      </c>
      <c r="K342" t="str">
        <f>IF([1]Sheet1!K378="","",[1]Sheet1!K378)</f>
        <v/>
      </c>
      <c r="L342" t="str">
        <f>IF([1]Sheet1!L378="","",[1]Sheet1!L378)</f>
        <v/>
      </c>
      <c r="M342" t="str">
        <f>IF([1]Sheet1!M378="","",[1]Sheet1!M378)</f>
        <v/>
      </c>
      <c r="N342" t="str">
        <f>IF([1]Sheet1!N378="","",[1]Sheet1!N378)</f>
        <v/>
      </c>
      <c r="O342" t="str">
        <f>IF([1]Sheet1!O378="","",[1]Sheet1!O378)</f>
        <v/>
      </c>
      <c r="P342" t="str">
        <f>IF([1]Sheet1!P378="","",[1]Sheet1!P378)</f>
        <v/>
      </c>
    </row>
    <row r="343" spans="1:16" x14ac:dyDescent="0.25">
      <c r="A343" t="str">
        <f>IF([1]Sheet1!A379="","",[1]Sheet1!A379)</f>
        <v/>
      </c>
      <c r="B343" t="str">
        <f>IF([1]Sheet1!B379="","",[1]Sheet1!B379)</f>
        <v/>
      </c>
      <c r="C343" t="str">
        <f>IF([1]Sheet1!C379="","",[1]Sheet1!C379)</f>
        <v/>
      </c>
      <c r="D343" t="str">
        <f>IF([1]Sheet1!D379="","",[1]Sheet1!D379)</f>
        <v/>
      </c>
      <c r="E343" t="str">
        <f>IF([1]Sheet1!E379="","",[1]Sheet1!E379)</f>
        <v/>
      </c>
      <c r="F343" t="str">
        <f>IF([1]Sheet1!F379="","",[1]Sheet1!F379)</f>
        <v/>
      </c>
      <c r="G343" t="str">
        <f>IF([1]Sheet1!G379="","",[1]Sheet1!G379)</f>
        <v/>
      </c>
      <c r="H343" t="str">
        <f>IF([1]Sheet1!H379="","",[1]Sheet1!H379)</f>
        <v/>
      </c>
      <c r="I343" t="str">
        <f>IF([1]Sheet1!I379="","",[1]Sheet1!I379)</f>
        <v/>
      </c>
      <c r="J343" t="str">
        <f>IF([1]Sheet1!J379="","",[1]Sheet1!J379)</f>
        <v/>
      </c>
      <c r="K343" t="str">
        <f>IF([1]Sheet1!K379="","",[1]Sheet1!K379)</f>
        <v/>
      </c>
      <c r="L343" t="str">
        <f>IF([1]Sheet1!L379="","",[1]Sheet1!L379)</f>
        <v/>
      </c>
      <c r="M343" t="str">
        <f>IF([1]Sheet1!M379="","",[1]Sheet1!M379)</f>
        <v/>
      </c>
      <c r="N343" t="str">
        <f>IF([1]Sheet1!N379="","",[1]Sheet1!N379)</f>
        <v/>
      </c>
      <c r="O343" t="str">
        <f>IF([1]Sheet1!O379="","",[1]Sheet1!O379)</f>
        <v/>
      </c>
      <c r="P343" t="str">
        <f>IF([1]Sheet1!P379="","",[1]Sheet1!P379)</f>
        <v/>
      </c>
    </row>
    <row r="344" spans="1:16" x14ac:dyDescent="0.25">
      <c r="A344" t="str">
        <f>IF([1]Sheet1!A380="","",[1]Sheet1!A380)</f>
        <v/>
      </c>
      <c r="B344" t="str">
        <f>IF([1]Sheet1!B380="","",[1]Sheet1!B380)</f>
        <v/>
      </c>
      <c r="C344" t="str">
        <f>IF([1]Sheet1!C380="","",[1]Sheet1!C380)</f>
        <v/>
      </c>
      <c r="D344" t="str">
        <f>IF([1]Sheet1!D380="","",[1]Sheet1!D380)</f>
        <v/>
      </c>
      <c r="E344" t="str">
        <f>IF([1]Sheet1!E380="","",[1]Sheet1!E380)</f>
        <v/>
      </c>
      <c r="F344" t="str">
        <f>IF([1]Sheet1!F380="","",[1]Sheet1!F380)</f>
        <v/>
      </c>
      <c r="G344" t="str">
        <f>IF([1]Sheet1!G380="","",[1]Sheet1!G380)</f>
        <v/>
      </c>
      <c r="H344" t="str">
        <f>IF([1]Sheet1!H380="","",[1]Sheet1!H380)</f>
        <v/>
      </c>
      <c r="I344" t="str">
        <f>IF([1]Sheet1!I380="","",[1]Sheet1!I380)</f>
        <v/>
      </c>
      <c r="J344" t="str">
        <f>IF([1]Sheet1!J380="","",[1]Sheet1!J380)</f>
        <v/>
      </c>
      <c r="K344" t="str">
        <f>IF([1]Sheet1!K380="","",[1]Sheet1!K380)</f>
        <v/>
      </c>
      <c r="L344" t="str">
        <f>IF([1]Sheet1!L380="","",[1]Sheet1!L380)</f>
        <v/>
      </c>
      <c r="M344" t="str">
        <f>IF([1]Sheet1!M380="","",[1]Sheet1!M380)</f>
        <v/>
      </c>
      <c r="N344" t="str">
        <f>IF([1]Sheet1!N380="","",[1]Sheet1!N380)</f>
        <v/>
      </c>
      <c r="O344" t="str">
        <f>IF([1]Sheet1!O380="","",[1]Sheet1!O380)</f>
        <v/>
      </c>
      <c r="P344" t="str">
        <f>IF([1]Sheet1!P380="","",[1]Sheet1!P380)</f>
        <v/>
      </c>
    </row>
    <row r="345" spans="1:16" x14ac:dyDescent="0.25">
      <c r="A345" t="str">
        <f>IF([1]Sheet1!A381="","",[1]Sheet1!A381)</f>
        <v/>
      </c>
      <c r="B345" t="str">
        <f>IF([1]Sheet1!B381="","",[1]Sheet1!B381)</f>
        <v/>
      </c>
      <c r="C345" t="str">
        <f>IF([1]Sheet1!C381="","",[1]Sheet1!C381)</f>
        <v/>
      </c>
      <c r="D345" t="str">
        <f>IF([1]Sheet1!D381="","",[1]Sheet1!D381)</f>
        <v/>
      </c>
      <c r="E345" t="str">
        <f>IF([1]Sheet1!E381="","",[1]Sheet1!E381)</f>
        <v/>
      </c>
      <c r="F345" t="str">
        <f>IF([1]Sheet1!F381="","",[1]Sheet1!F381)</f>
        <v/>
      </c>
      <c r="G345" t="str">
        <f>IF([1]Sheet1!G381="","",[1]Sheet1!G381)</f>
        <v/>
      </c>
      <c r="H345" t="str">
        <f>IF([1]Sheet1!H381="","",[1]Sheet1!H381)</f>
        <v/>
      </c>
      <c r="I345" t="str">
        <f>IF([1]Sheet1!I381="","",[1]Sheet1!I381)</f>
        <v/>
      </c>
      <c r="J345" t="str">
        <f>IF([1]Sheet1!J381="","",[1]Sheet1!J381)</f>
        <v/>
      </c>
      <c r="K345" t="str">
        <f>IF([1]Sheet1!K381="","",[1]Sheet1!K381)</f>
        <v/>
      </c>
      <c r="L345" t="str">
        <f>IF([1]Sheet1!L381="","",[1]Sheet1!L381)</f>
        <v/>
      </c>
      <c r="M345" t="str">
        <f>IF([1]Sheet1!M381="","",[1]Sheet1!M381)</f>
        <v/>
      </c>
      <c r="N345" t="str">
        <f>IF([1]Sheet1!N381="","",[1]Sheet1!N381)</f>
        <v/>
      </c>
      <c r="O345" t="str">
        <f>IF([1]Sheet1!O381="","",[1]Sheet1!O381)</f>
        <v/>
      </c>
      <c r="P345" t="str">
        <f>IF([1]Sheet1!P381="","",[1]Sheet1!P381)</f>
        <v/>
      </c>
    </row>
    <row r="346" spans="1:16" x14ac:dyDescent="0.25">
      <c r="A346" t="str">
        <f>IF([1]Sheet1!A382="","",[1]Sheet1!A382)</f>
        <v/>
      </c>
      <c r="B346" t="str">
        <f>IF([1]Sheet1!B382="","",[1]Sheet1!B382)</f>
        <v/>
      </c>
      <c r="C346" t="str">
        <f>IF([1]Sheet1!C382="","",[1]Sheet1!C382)</f>
        <v/>
      </c>
      <c r="D346" t="str">
        <f>IF([1]Sheet1!D382="","",[1]Sheet1!D382)</f>
        <v/>
      </c>
      <c r="E346" t="str">
        <f>IF([1]Sheet1!E382="","",[1]Sheet1!E382)</f>
        <v/>
      </c>
      <c r="F346" t="str">
        <f>IF([1]Sheet1!F382="","",[1]Sheet1!F382)</f>
        <v/>
      </c>
      <c r="G346" t="str">
        <f>IF([1]Sheet1!G382="","",[1]Sheet1!G382)</f>
        <v/>
      </c>
      <c r="H346" t="str">
        <f>IF([1]Sheet1!H382="","",[1]Sheet1!H382)</f>
        <v/>
      </c>
      <c r="I346" t="str">
        <f>IF([1]Sheet1!I382="","",[1]Sheet1!I382)</f>
        <v/>
      </c>
      <c r="J346" t="str">
        <f>IF([1]Sheet1!J382="","",[1]Sheet1!J382)</f>
        <v/>
      </c>
      <c r="K346" t="str">
        <f>IF([1]Sheet1!K382="","",[1]Sheet1!K382)</f>
        <v/>
      </c>
      <c r="L346" t="str">
        <f>IF([1]Sheet1!L382="","",[1]Sheet1!L382)</f>
        <v/>
      </c>
      <c r="M346" t="str">
        <f>IF([1]Sheet1!M382="","",[1]Sheet1!M382)</f>
        <v/>
      </c>
      <c r="N346" t="str">
        <f>IF([1]Sheet1!N382="","",[1]Sheet1!N382)</f>
        <v/>
      </c>
      <c r="O346" t="str">
        <f>IF([1]Sheet1!O382="","",[1]Sheet1!O382)</f>
        <v/>
      </c>
      <c r="P346" t="str">
        <f>IF([1]Sheet1!P382="","",[1]Sheet1!P382)</f>
        <v/>
      </c>
    </row>
    <row r="347" spans="1:16" x14ac:dyDescent="0.25">
      <c r="A347" t="str">
        <f>IF([1]Sheet1!A383="","",[1]Sheet1!A383)</f>
        <v/>
      </c>
      <c r="B347" t="str">
        <f>IF([1]Sheet1!B383="","",[1]Sheet1!B383)</f>
        <v/>
      </c>
      <c r="C347" t="str">
        <f>IF([1]Sheet1!C383="","",[1]Sheet1!C383)</f>
        <v/>
      </c>
      <c r="D347" t="str">
        <f>IF([1]Sheet1!D383="","",[1]Sheet1!D383)</f>
        <v/>
      </c>
      <c r="E347" t="str">
        <f>IF([1]Sheet1!E383="","",[1]Sheet1!E383)</f>
        <v/>
      </c>
      <c r="F347" t="str">
        <f>IF([1]Sheet1!F383="","",[1]Sheet1!F383)</f>
        <v/>
      </c>
      <c r="G347" t="str">
        <f>IF([1]Sheet1!G383="","",[1]Sheet1!G383)</f>
        <v/>
      </c>
      <c r="H347" t="str">
        <f>IF([1]Sheet1!H383="","",[1]Sheet1!H383)</f>
        <v/>
      </c>
      <c r="I347" t="str">
        <f>IF([1]Sheet1!I383="","",[1]Sheet1!I383)</f>
        <v/>
      </c>
      <c r="J347" t="str">
        <f>IF([1]Sheet1!J383="","",[1]Sheet1!J383)</f>
        <v/>
      </c>
      <c r="K347" t="str">
        <f>IF([1]Sheet1!K383="","",[1]Sheet1!K383)</f>
        <v/>
      </c>
      <c r="L347" t="str">
        <f>IF([1]Sheet1!L383="","",[1]Sheet1!L383)</f>
        <v/>
      </c>
      <c r="M347" t="str">
        <f>IF([1]Sheet1!M383="","",[1]Sheet1!M383)</f>
        <v/>
      </c>
      <c r="N347" t="str">
        <f>IF([1]Sheet1!N383="","",[1]Sheet1!N383)</f>
        <v/>
      </c>
      <c r="O347" t="str">
        <f>IF([1]Sheet1!O383="","",[1]Sheet1!O383)</f>
        <v/>
      </c>
      <c r="P347" t="str">
        <f>IF([1]Sheet1!P383="","",[1]Sheet1!P383)</f>
        <v/>
      </c>
    </row>
    <row r="348" spans="1:16" x14ac:dyDescent="0.25">
      <c r="A348" t="str">
        <f>IF([1]Sheet1!A384="","",[1]Sheet1!A384)</f>
        <v/>
      </c>
      <c r="B348" t="str">
        <f>IF([1]Sheet1!B384="","",[1]Sheet1!B384)</f>
        <v/>
      </c>
      <c r="C348" t="str">
        <f>IF([1]Sheet1!C384="","",[1]Sheet1!C384)</f>
        <v/>
      </c>
      <c r="D348" t="str">
        <f>IF([1]Sheet1!D384="","",[1]Sheet1!D384)</f>
        <v/>
      </c>
      <c r="E348" t="str">
        <f>IF([1]Sheet1!E384="","",[1]Sheet1!E384)</f>
        <v/>
      </c>
      <c r="F348" t="str">
        <f>IF([1]Sheet1!F384="","",[1]Sheet1!F384)</f>
        <v/>
      </c>
      <c r="G348" t="str">
        <f>IF([1]Sheet1!G384="","",[1]Sheet1!G384)</f>
        <v/>
      </c>
      <c r="H348" t="str">
        <f>IF([1]Sheet1!H384="","",[1]Sheet1!H384)</f>
        <v/>
      </c>
      <c r="I348" t="str">
        <f>IF([1]Sheet1!I384="","",[1]Sheet1!I384)</f>
        <v/>
      </c>
      <c r="J348" t="str">
        <f>IF([1]Sheet1!J384="","",[1]Sheet1!J384)</f>
        <v/>
      </c>
      <c r="K348" t="str">
        <f>IF([1]Sheet1!K384="","",[1]Sheet1!K384)</f>
        <v/>
      </c>
      <c r="L348" t="str">
        <f>IF([1]Sheet1!L384="","",[1]Sheet1!L384)</f>
        <v/>
      </c>
      <c r="M348" t="str">
        <f>IF([1]Sheet1!M384="","",[1]Sheet1!M384)</f>
        <v/>
      </c>
      <c r="N348" t="str">
        <f>IF([1]Sheet1!N384="","",[1]Sheet1!N384)</f>
        <v/>
      </c>
      <c r="O348" t="str">
        <f>IF([1]Sheet1!O384="","",[1]Sheet1!O384)</f>
        <v/>
      </c>
      <c r="P348" t="str">
        <f>IF([1]Sheet1!P384="","",[1]Sheet1!P384)</f>
        <v/>
      </c>
    </row>
    <row r="349" spans="1:16" x14ac:dyDescent="0.25">
      <c r="A349" t="str">
        <f>IF([1]Sheet1!A385="","",[1]Sheet1!A385)</f>
        <v/>
      </c>
      <c r="B349" t="str">
        <f>IF([1]Sheet1!B385="","",[1]Sheet1!B385)</f>
        <v/>
      </c>
      <c r="C349" t="str">
        <f>IF([1]Sheet1!C385="","",[1]Sheet1!C385)</f>
        <v/>
      </c>
      <c r="D349" t="str">
        <f>IF([1]Sheet1!D385="","",[1]Sheet1!D385)</f>
        <v/>
      </c>
      <c r="E349" t="str">
        <f>IF([1]Sheet1!E385="","",[1]Sheet1!E385)</f>
        <v/>
      </c>
      <c r="F349" t="str">
        <f>IF([1]Sheet1!F385="","",[1]Sheet1!F385)</f>
        <v/>
      </c>
      <c r="G349" t="str">
        <f>IF([1]Sheet1!G385="","",[1]Sheet1!G385)</f>
        <v/>
      </c>
      <c r="H349" t="str">
        <f>IF([1]Sheet1!H385="","",[1]Sheet1!H385)</f>
        <v/>
      </c>
      <c r="I349" t="str">
        <f>IF([1]Sheet1!I385="","",[1]Sheet1!I385)</f>
        <v/>
      </c>
      <c r="J349" t="str">
        <f>IF([1]Sheet1!J385="","",[1]Sheet1!J385)</f>
        <v/>
      </c>
      <c r="K349" t="str">
        <f>IF([1]Sheet1!K385="","",[1]Sheet1!K385)</f>
        <v/>
      </c>
      <c r="L349" t="str">
        <f>IF([1]Sheet1!L385="","",[1]Sheet1!L385)</f>
        <v/>
      </c>
      <c r="M349" t="str">
        <f>IF([1]Sheet1!M385="","",[1]Sheet1!M385)</f>
        <v/>
      </c>
      <c r="N349" t="str">
        <f>IF([1]Sheet1!N385="","",[1]Sheet1!N385)</f>
        <v/>
      </c>
      <c r="O349" t="str">
        <f>IF([1]Sheet1!O385="","",[1]Sheet1!O385)</f>
        <v/>
      </c>
      <c r="P349" t="str">
        <f>IF([1]Sheet1!P385="","",[1]Sheet1!P385)</f>
        <v/>
      </c>
    </row>
    <row r="350" spans="1:16" x14ac:dyDescent="0.25">
      <c r="A350" t="str">
        <f>IF([1]Sheet1!A386="","",[1]Sheet1!A386)</f>
        <v/>
      </c>
      <c r="B350" t="str">
        <f>IF([1]Sheet1!B386="","",[1]Sheet1!B386)</f>
        <v/>
      </c>
      <c r="C350" t="str">
        <f>IF([1]Sheet1!C386="","",[1]Sheet1!C386)</f>
        <v/>
      </c>
      <c r="D350" t="str">
        <f>IF([1]Sheet1!D386="","",[1]Sheet1!D386)</f>
        <v/>
      </c>
      <c r="E350" t="str">
        <f>IF([1]Sheet1!E386="","",[1]Sheet1!E386)</f>
        <v/>
      </c>
      <c r="F350" t="str">
        <f>IF([1]Sheet1!F386="","",[1]Sheet1!F386)</f>
        <v/>
      </c>
      <c r="G350" t="str">
        <f>IF([1]Sheet1!G386="","",[1]Sheet1!G386)</f>
        <v/>
      </c>
      <c r="H350" t="str">
        <f>IF([1]Sheet1!H386="","",[1]Sheet1!H386)</f>
        <v/>
      </c>
      <c r="I350" t="str">
        <f>IF([1]Sheet1!I386="","",[1]Sheet1!I386)</f>
        <v/>
      </c>
      <c r="J350" t="str">
        <f>IF([1]Sheet1!J386="","",[1]Sheet1!J386)</f>
        <v/>
      </c>
      <c r="K350" t="str">
        <f>IF([1]Sheet1!K386="","",[1]Sheet1!K386)</f>
        <v/>
      </c>
      <c r="L350" t="str">
        <f>IF([1]Sheet1!L386="","",[1]Sheet1!L386)</f>
        <v/>
      </c>
      <c r="M350" t="str">
        <f>IF([1]Sheet1!M386="","",[1]Sheet1!M386)</f>
        <v/>
      </c>
      <c r="N350" t="str">
        <f>IF([1]Sheet1!N386="","",[1]Sheet1!N386)</f>
        <v/>
      </c>
      <c r="O350" t="str">
        <f>IF([1]Sheet1!O386="","",[1]Sheet1!O386)</f>
        <v/>
      </c>
      <c r="P350" t="str">
        <f>IF([1]Sheet1!P386="","",[1]Sheet1!P386)</f>
        <v/>
      </c>
    </row>
    <row r="351" spans="1:16" x14ac:dyDescent="0.25">
      <c r="A351" t="str">
        <f>IF([1]Sheet1!A387="","",[1]Sheet1!A387)</f>
        <v/>
      </c>
      <c r="B351" t="str">
        <f>IF([1]Sheet1!B387="","",[1]Sheet1!B387)</f>
        <v/>
      </c>
      <c r="C351" t="str">
        <f>IF([1]Sheet1!C387="","",[1]Sheet1!C387)</f>
        <v/>
      </c>
      <c r="D351" t="str">
        <f>IF([1]Sheet1!D387="","",[1]Sheet1!D387)</f>
        <v/>
      </c>
      <c r="E351" t="str">
        <f>IF([1]Sheet1!E387="","",[1]Sheet1!E387)</f>
        <v/>
      </c>
      <c r="F351" t="str">
        <f>IF([1]Sheet1!F387="","",[1]Sheet1!F387)</f>
        <v/>
      </c>
      <c r="G351" t="str">
        <f>IF([1]Sheet1!G387="","",[1]Sheet1!G387)</f>
        <v/>
      </c>
      <c r="H351" t="str">
        <f>IF([1]Sheet1!H387="","",[1]Sheet1!H387)</f>
        <v/>
      </c>
      <c r="I351" t="str">
        <f>IF([1]Sheet1!I387="","",[1]Sheet1!I387)</f>
        <v/>
      </c>
      <c r="J351" t="str">
        <f>IF([1]Sheet1!J387="","",[1]Sheet1!J387)</f>
        <v/>
      </c>
      <c r="K351" t="str">
        <f>IF([1]Sheet1!K387="","",[1]Sheet1!K387)</f>
        <v/>
      </c>
      <c r="L351" t="str">
        <f>IF([1]Sheet1!L387="","",[1]Sheet1!L387)</f>
        <v/>
      </c>
      <c r="M351" t="str">
        <f>IF([1]Sheet1!M387="","",[1]Sheet1!M387)</f>
        <v/>
      </c>
      <c r="N351" t="str">
        <f>IF([1]Sheet1!N387="","",[1]Sheet1!N387)</f>
        <v/>
      </c>
      <c r="O351" t="str">
        <f>IF([1]Sheet1!O387="","",[1]Sheet1!O387)</f>
        <v/>
      </c>
      <c r="P351" t="str">
        <f>IF([1]Sheet1!P387="","",[1]Sheet1!P387)</f>
        <v/>
      </c>
    </row>
    <row r="352" spans="1:16" x14ac:dyDescent="0.25">
      <c r="A352" t="str">
        <f>IF([1]Sheet1!A388="","",[1]Sheet1!A388)</f>
        <v/>
      </c>
      <c r="B352" t="str">
        <f>IF([1]Sheet1!B388="","",[1]Sheet1!B388)</f>
        <v/>
      </c>
      <c r="C352" t="str">
        <f>IF([1]Sheet1!C388="","",[1]Sheet1!C388)</f>
        <v/>
      </c>
      <c r="D352" t="str">
        <f>IF([1]Sheet1!D388="","",[1]Sheet1!D388)</f>
        <v/>
      </c>
      <c r="E352" t="str">
        <f>IF([1]Sheet1!E388="","",[1]Sheet1!E388)</f>
        <v/>
      </c>
      <c r="F352" t="str">
        <f>IF([1]Sheet1!F388="","",[1]Sheet1!F388)</f>
        <v/>
      </c>
      <c r="G352" t="str">
        <f>IF([1]Sheet1!G388="","",[1]Sheet1!G388)</f>
        <v/>
      </c>
      <c r="H352" t="str">
        <f>IF([1]Sheet1!H388="","",[1]Sheet1!H388)</f>
        <v/>
      </c>
      <c r="I352" t="str">
        <f>IF([1]Sheet1!I388="","",[1]Sheet1!I388)</f>
        <v/>
      </c>
      <c r="J352" t="str">
        <f>IF([1]Sheet1!J388="","",[1]Sheet1!J388)</f>
        <v/>
      </c>
      <c r="K352" t="str">
        <f>IF([1]Sheet1!K388="","",[1]Sheet1!K388)</f>
        <v/>
      </c>
      <c r="L352" t="str">
        <f>IF([1]Sheet1!L388="","",[1]Sheet1!L388)</f>
        <v/>
      </c>
      <c r="M352" t="str">
        <f>IF([1]Sheet1!M388="","",[1]Sheet1!M388)</f>
        <v/>
      </c>
      <c r="N352" t="str">
        <f>IF([1]Sheet1!N388="","",[1]Sheet1!N388)</f>
        <v/>
      </c>
      <c r="O352" t="str">
        <f>IF([1]Sheet1!O388="","",[1]Sheet1!O388)</f>
        <v/>
      </c>
      <c r="P352" t="str">
        <f>IF([1]Sheet1!P388="","",[1]Sheet1!P388)</f>
        <v/>
      </c>
    </row>
    <row r="353" spans="1:16" x14ac:dyDescent="0.25">
      <c r="A353" t="str">
        <f>IF([1]Sheet1!A389="","",[1]Sheet1!A389)</f>
        <v/>
      </c>
      <c r="B353" t="str">
        <f>IF([1]Sheet1!B389="","",[1]Sheet1!B389)</f>
        <v/>
      </c>
      <c r="C353" t="str">
        <f>IF([1]Sheet1!C389="","",[1]Sheet1!C389)</f>
        <v/>
      </c>
      <c r="D353" t="str">
        <f>IF([1]Sheet1!D389="","",[1]Sheet1!D389)</f>
        <v/>
      </c>
      <c r="E353" t="str">
        <f>IF([1]Sheet1!E389="","",[1]Sheet1!E389)</f>
        <v/>
      </c>
      <c r="F353" t="str">
        <f>IF([1]Sheet1!F389="","",[1]Sheet1!F389)</f>
        <v/>
      </c>
      <c r="G353" t="str">
        <f>IF([1]Sheet1!G389="","",[1]Sheet1!G389)</f>
        <v/>
      </c>
      <c r="H353" t="str">
        <f>IF([1]Sheet1!H389="","",[1]Sheet1!H389)</f>
        <v/>
      </c>
      <c r="I353" t="str">
        <f>IF([1]Sheet1!I389="","",[1]Sheet1!I389)</f>
        <v/>
      </c>
      <c r="J353" t="str">
        <f>IF([1]Sheet1!J389="","",[1]Sheet1!J389)</f>
        <v/>
      </c>
      <c r="K353" t="str">
        <f>IF([1]Sheet1!K389="","",[1]Sheet1!K389)</f>
        <v/>
      </c>
      <c r="L353" t="str">
        <f>IF([1]Sheet1!L389="","",[1]Sheet1!L389)</f>
        <v/>
      </c>
      <c r="M353" t="str">
        <f>IF([1]Sheet1!M389="","",[1]Sheet1!M389)</f>
        <v/>
      </c>
      <c r="N353" t="str">
        <f>IF([1]Sheet1!N389="","",[1]Sheet1!N389)</f>
        <v/>
      </c>
      <c r="O353" t="str">
        <f>IF([1]Sheet1!O389="","",[1]Sheet1!O389)</f>
        <v/>
      </c>
      <c r="P353" t="str">
        <f>IF([1]Sheet1!P389="","",[1]Sheet1!P389)</f>
        <v/>
      </c>
    </row>
    <row r="354" spans="1:16" x14ac:dyDescent="0.25">
      <c r="A354" t="str">
        <f>IF([1]Sheet1!A390="","",[1]Sheet1!A390)</f>
        <v/>
      </c>
      <c r="B354" t="str">
        <f>IF([1]Sheet1!B390="","",[1]Sheet1!B390)</f>
        <v/>
      </c>
      <c r="C354" t="str">
        <f>IF([1]Sheet1!C390="","",[1]Sheet1!C390)</f>
        <v/>
      </c>
      <c r="D354" t="str">
        <f>IF([1]Sheet1!D390="","",[1]Sheet1!D390)</f>
        <v/>
      </c>
      <c r="E354" t="str">
        <f>IF([1]Sheet1!E390="","",[1]Sheet1!E390)</f>
        <v/>
      </c>
      <c r="F354" t="str">
        <f>IF([1]Sheet1!F390="","",[1]Sheet1!F390)</f>
        <v/>
      </c>
      <c r="G354" t="str">
        <f>IF([1]Sheet1!G390="","",[1]Sheet1!G390)</f>
        <v/>
      </c>
      <c r="H354" t="str">
        <f>IF([1]Sheet1!H390="","",[1]Sheet1!H390)</f>
        <v/>
      </c>
      <c r="I354" t="str">
        <f>IF([1]Sheet1!I390="","",[1]Sheet1!I390)</f>
        <v/>
      </c>
      <c r="J354" t="str">
        <f>IF([1]Sheet1!J390="","",[1]Sheet1!J390)</f>
        <v/>
      </c>
      <c r="K354" t="str">
        <f>IF([1]Sheet1!K390="","",[1]Sheet1!K390)</f>
        <v/>
      </c>
      <c r="L354" t="str">
        <f>IF([1]Sheet1!L390="","",[1]Sheet1!L390)</f>
        <v/>
      </c>
      <c r="M354" t="str">
        <f>IF([1]Sheet1!M390="","",[1]Sheet1!M390)</f>
        <v/>
      </c>
      <c r="N354" t="str">
        <f>IF([1]Sheet1!N390="","",[1]Sheet1!N390)</f>
        <v/>
      </c>
      <c r="O354" t="str">
        <f>IF([1]Sheet1!O390="","",[1]Sheet1!O390)</f>
        <v/>
      </c>
      <c r="P354" t="str">
        <f>IF([1]Sheet1!P390="","",[1]Sheet1!P390)</f>
        <v/>
      </c>
    </row>
    <row r="355" spans="1:16" x14ac:dyDescent="0.25">
      <c r="A355" t="str">
        <f>IF([1]Sheet1!A391="","",[1]Sheet1!A391)</f>
        <v/>
      </c>
      <c r="B355" t="str">
        <f>IF([1]Sheet1!B391="","",[1]Sheet1!B391)</f>
        <v/>
      </c>
      <c r="C355" t="str">
        <f>IF([1]Sheet1!C391="","",[1]Sheet1!C391)</f>
        <v/>
      </c>
      <c r="D355" t="str">
        <f>IF([1]Sheet1!D391="","",[1]Sheet1!D391)</f>
        <v/>
      </c>
      <c r="E355" t="str">
        <f>IF([1]Sheet1!E391="","",[1]Sheet1!E391)</f>
        <v/>
      </c>
      <c r="F355" t="str">
        <f>IF([1]Sheet1!F391="","",[1]Sheet1!F391)</f>
        <v/>
      </c>
      <c r="G355" t="str">
        <f>IF([1]Sheet1!G391="","",[1]Sheet1!G391)</f>
        <v/>
      </c>
      <c r="H355" t="str">
        <f>IF([1]Sheet1!H391="","",[1]Sheet1!H391)</f>
        <v/>
      </c>
      <c r="I355" t="str">
        <f>IF([1]Sheet1!I391="","",[1]Sheet1!I391)</f>
        <v/>
      </c>
      <c r="J355" t="str">
        <f>IF([1]Sheet1!J391="","",[1]Sheet1!J391)</f>
        <v/>
      </c>
      <c r="K355" t="str">
        <f>IF([1]Sheet1!K391="","",[1]Sheet1!K391)</f>
        <v/>
      </c>
      <c r="L355" t="str">
        <f>IF([1]Sheet1!L391="","",[1]Sheet1!L391)</f>
        <v/>
      </c>
      <c r="M355" t="str">
        <f>IF([1]Sheet1!M391="","",[1]Sheet1!M391)</f>
        <v/>
      </c>
      <c r="N355" t="str">
        <f>IF([1]Sheet1!N391="","",[1]Sheet1!N391)</f>
        <v/>
      </c>
      <c r="O355" t="str">
        <f>IF([1]Sheet1!O391="","",[1]Sheet1!O391)</f>
        <v/>
      </c>
      <c r="P355" t="str">
        <f>IF([1]Sheet1!P391="","",[1]Sheet1!P391)</f>
        <v/>
      </c>
    </row>
    <row r="356" spans="1:16" x14ac:dyDescent="0.25">
      <c r="A356" t="str">
        <f>IF([1]Sheet1!A392="","",[1]Sheet1!A392)</f>
        <v/>
      </c>
      <c r="B356" t="str">
        <f>IF([1]Sheet1!B392="","",[1]Sheet1!B392)</f>
        <v/>
      </c>
      <c r="C356" t="str">
        <f>IF([1]Sheet1!C392="","",[1]Sheet1!C392)</f>
        <v/>
      </c>
      <c r="D356" t="str">
        <f>IF([1]Sheet1!D392="","",[1]Sheet1!D392)</f>
        <v/>
      </c>
      <c r="E356" t="str">
        <f>IF([1]Sheet1!E392="","",[1]Sheet1!E392)</f>
        <v/>
      </c>
      <c r="F356" t="str">
        <f>IF([1]Sheet1!F392="","",[1]Sheet1!F392)</f>
        <v/>
      </c>
      <c r="G356" t="str">
        <f>IF([1]Sheet1!G392="","",[1]Sheet1!G392)</f>
        <v/>
      </c>
      <c r="H356" t="str">
        <f>IF([1]Sheet1!H392="","",[1]Sheet1!H392)</f>
        <v/>
      </c>
      <c r="I356" t="str">
        <f>IF([1]Sheet1!I392="","",[1]Sheet1!I392)</f>
        <v/>
      </c>
      <c r="J356" t="str">
        <f>IF([1]Sheet1!J392="","",[1]Sheet1!J392)</f>
        <v/>
      </c>
      <c r="K356" t="str">
        <f>IF([1]Sheet1!K392="","",[1]Sheet1!K392)</f>
        <v/>
      </c>
      <c r="L356" t="str">
        <f>IF([1]Sheet1!L392="","",[1]Sheet1!L392)</f>
        <v/>
      </c>
      <c r="M356" t="str">
        <f>IF([1]Sheet1!M392="","",[1]Sheet1!M392)</f>
        <v/>
      </c>
      <c r="N356" t="str">
        <f>IF([1]Sheet1!N392="","",[1]Sheet1!N392)</f>
        <v/>
      </c>
      <c r="O356" t="str">
        <f>IF([1]Sheet1!O392="","",[1]Sheet1!O392)</f>
        <v/>
      </c>
      <c r="P356" t="str">
        <f>IF([1]Sheet1!P392="","",[1]Sheet1!P392)</f>
        <v/>
      </c>
    </row>
    <row r="357" spans="1:16" x14ac:dyDescent="0.25">
      <c r="A357" t="str">
        <f>IF([1]Sheet1!A393="","",[1]Sheet1!A393)</f>
        <v/>
      </c>
      <c r="B357" t="str">
        <f>IF([1]Sheet1!B393="","",[1]Sheet1!B393)</f>
        <v/>
      </c>
      <c r="C357" t="str">
        <f>IF([1]Sheet1!C393="","",[1]Sheet1!C393)</f>
        <v/>
      </c>
      <c r="D357" t="str">
        <f>IF([1]Sheet1!D393="","",[1]Sheet1!D393)</f>
        <v/>
      </c>
      <c r="E357" t="str">
        <f>IF([1]Sheet1!E393="","",[1]Sheet1!E393)</f>
        <v/>
      </c>
      <c r="F357" t="str">
        <f>IF([1]Sheet1!F393="","",[1]Sheet1!F393)</f>
        <v/>
      </c>
      <c r="G357" t="str">
        <f>IF([1]Sheet1!G393="","",[1]Sheet1!G393)</f>
        <v/>
      </c>
      <c r="H357" t="str">
        <f>IF([1]Sheet1!H393="","",[1]Sheet1!H393)</f>
        <v/>
      </c>
      <c r="I357" t="str">
        <f>IF([1]Sheet1!I393="","",[1]Sheet1!I393)</f>
        <v/>
      </c>
      <c r="J357" t="str">
        <f>IF([1]Sheet1!J393="","",[1]Sheet1!J393)</f>
        <v/>
      </c>
      <c r="K357" t="str">
        <f>IF([1]Sheet1!K393="","",[1]Sheet1!K393)</f>
        <v/>
      </c>
      <c r="L357" t="str">
        <f>IF([1]Sheet1!L393="","",[1]Sheet1!L393)</f>
        <v/>
      </c>
      <c r="M357" t="str">
        <f>IF([1]Sheet1!M393="","",[1]Sheet1!M393)</f>
        <v/>
      </c>
      <c r="N357" t="str">
        <f>IF([1]Sheet1!N393="","",[1]Sheet1!N393)</f>
        <v/>
      </c>
      <c r="O357" t="str">
        <f>IF([1]Sheet1!O393="","",[1]Sheet1!O393)</f>
        <v/>
      </c>
      <c r="P357" t="str">
        <f>IF([1]Sheet1!P393="","",[1]Sheet1!P393)</f>
        <v/>
      </c>
    </row>
    <row r="358" spans="1:16" x14ac:dyDescent="0.25">
      <c r="A358" t="str">
        <f>IF([1]Sheet1!A394="","",[1]Sheet1!A394)</f>
        <v/>
      </c>
      <c r="B358" t="str">
        <f>IF([1]Sheet1!B394="","",[1]Sheet1!B394)</f>
        <v/>
      </c>
      <c r="C358" t="str">
        <f>IF([1]Sheet1!C394="","",[1]Sheet1!C394)</f>
        <v/>
      </c>
      <c r="D358" t="str">
        <f>IF([1]Sheet1!D394="","",[1]Sheet1!D394)</f>
        <v/>
      </c>
      <c r="E358" t="str">
        <f>IF([1]Sheet1!E394="","",[1]Sheet1!E394)</f>
        <v/>
      </c>
      <c r="F358" t="str">
        <f>IF([1]Sheet1!F394="","",[1]Sheet1!F394)</f>
        <v/>
      </c>
      <c r="G358" t="str">
        <f>IF([1]Sheet1!G394="","",[1]Sheet1!G394)</f>
        <v/>
      </c>
      <c r="H358" t="str">
        <f>IF([1]Sheet1!H394="","",[1]Sheet1!H394)</f>
        <v/>
      </c>
      <c r="I358" t="str">
        <f>IF([1]Sheet1!I394="","",[1]Sheet1!I394)</f>
        <v/>
      </c>
      <c r="J358" t="str">
        <f>IF([1]Sheet1!J394="","",[1]Sheet1!J394)</f>
        <v/>
      </c>
      <c r="K358" t="str">
        <f>IF([1]Sheet1!K394="","",[1]Sheet1!K394)</f>
        <v/>
      </c>
      <c r="L358" t="str">
        <f>IF([1]Sheet1!L394="","",[1]Sheet1!L394)</f>
        <v/>
      </c>
      <c r="M358" t="str">
        <f>IF([1]Sheet1!M394="","",[1]Sheet1!M394)</f>
        <v/>
      </c>
      <c r="N358" t="str">
        <f>IF([1]Sheet1!N394="","",[1]Sheet1!N394)</f>
        <v/>
      </c>
      <c r="O358" t="str">
        <f>IF([1]Sheet1!O394="","",[1]Sheet1!O394)</f>
        <v/>
      </c>
      <c r="P358" t="str">
        <f>IF([1]Sheet1!P394="","",[1]Sheet1!P394)</f>
        <v/>
      </c>
    </row>
    <row r="359" spans="1:16" x14ac:dyDescent="0.25">
      <c r="A359" t="str">
        <f>IF([1]Sheet1!A395="","",[1]Sheet1!A395)</f>
        <v/>
      </c>
      <c r="B359" t="str">
        <f>IF([1]Sheet1!B395="","",[1]Sheet1!B395)</f>
        <v/>
      </c>
      <c r="C359" t="str">
        <f>IF([1]Sheet1!C395="","",[1]Sheet1!C395)</f>
        <v/>
      </c>
      <c r="D359" t="str">
        <f>IF([1]Sheet1!D395="","",[1]Sheet1!D395)</f>
        <v/>
      </c>
      <c r="E359" t="str">
        <f>IF([1]Sheet1!E395="","",[1]Sheet1!E395)</f>
        <v/>
      </c>
      <c r="F359" t="str">
        <f>IF([1]Sheet1!F395="","",[1]Sheet1!F395)</f>
        <v/>
      </c>
      <c r="G359" t="str">
        <f>IF([1]Sheet1!G395="","",[1]Sheet1!G395)</f>
        <v/>
      </c>
      <c r="H359" t="str">
        <f>IF([1]Sheet1!H395="","",[1]Sheet1!H395)</f>
        <v/>
      </c>
      <c r="I359" t="str">
        <f>IF([1]Sheet1!I395="","",[1]Sheet1!I395)</f>
        <v/>
      </c>
      <c r="J359" t="str">
        <f>IF([1]Sheet1!J395="","",[1]Sheet1!J395)</f>
        <v/>
      </c>
      <c r="K359" t="str">
        <f>IF([1]Sheet1!K395="","",[1]Sheet1!K395)</f>
        <v/>
      </c>
      <c r="L359" t="str">
        <f>IF([1]Sheet1!L395="","",[1]Sheet1!L395)</f>
        <v/>
      </c>
      <c r="M359" t="str">
        <f>IF([1]Sheet1!M395="","",[1]Sheet1!M395)</f>
        <v/>
      </c>
      <c r="N359" t="str">
        <f>IF([1]Sheet1!N395="","",[1]Sheet1!N395)</f>
        <v/>
      </c>
      <c r="O359" t="str">
        <f>IF([1]Sheet1!O395="","",[1]Sheet1!O395)</f>
        <v/>
      </c>
      <c r="P359" t="str">
        <f>IF([1]Sheet1!P395="","",[1]Sheet1!P395)</f>
        <v/>
      </c>
    </row>
    <row r="360" spans="1:16" x14ac:dyDescent="0.25">
      <c r="A360" t="str">
        <f>IF([1]Sheet1!A396="","",[1]Sheet1!A396)</f>
        <v/>
      </c>
      <c r="B360" t="str">
        <f>IF([1]Sheet1!B396="","",[1]Sheet1!B396)</f>
        <v/>
      </c>
      <c r="C360" t="str">
        <f>IF([1]Sheet1!C396="","",[1]Sheet1!C396)</f>
        <v/>
      </c>
      <c r="D360" t="str">
        <f>IF([1]Sheet1!D396="","",[1]Sheet1!D396)</f>
        <v/>
      </c>
      <c r="E360" t="str">
        <f>IF([1]Sheet1!E396="","",[1]Sheet1!E396)</f>
        <v/>
      </c>
      <c r="F360" t="str">
        <f>IF([1]Sheet1!F396="","",[1]Sheet1!F396)</f>
        <v/>
      </c>
      <c r="G360" t="str">
        <f>IF([1]Sheet1!G396="","",[1]Sheet1!G396)</f>
        <v/>
      </c>
      <c r="H360" t="str">
        <f>IF([1]Sheet1!H396="","",[1]Sheet1!H396)</f>
        <v/>
      </c>
      <c r="I360" t="str">
        <f>IF([1]Sheet1!I396="","",[1]Sheet1!I396)</f>
        <v/>
      </c>
      <c r="J360" t="str">
        <f>IF([1]Sheet1!J396="","",[1]Sheet1!J396)</f>
        <v/>
      </c>
      <c r="K360" t="str">
        <f>IF([1]Sheet1!K396="","",[1]Sheet1!K396)</f>
        <v/>
      </c>
      <c r="L360" t="str">
        <f>IF([1]Sheet1!L396="","",[1]Sheet1!L396)</f>
        <v/>
      </c>
      <c r="M360" t="str">
        <f>IF([1]Sheet1!M396="","",[1]Sheet1!M396)</f>
        <v/>
      </c>
      <c r="N360" t="str">
        <f>IF([1]Sheet1!N396="","",[1]Sheet1!N396)</f>
        <v/>
      </c>
      <c r="O360" t="str">
        <f>IF([1]Sheet1!O396="","",[1]Sheet1!O396)</f>
        <v/>
      </c>
      <c r="P360" t="str">
        <f>IF([1]Sheet1!P396="","",[1]Sheet1!P396)</f>
        <v/>
      </c>
    </row>
    <row r="361" spans="1:16" x14ac:dyDescent="0.25">
      <c r="A361" t="str">
        <f>IF([1]Sheet1!A397="","",[1]Sheet1!A397)</f>
        <v/>
      </c>
      <c r="B361" t="str">
        <f>IF([1]Sheet1!B397="","",[1]Sheet1!B397)</f>
        <v/>
      </c>
      <c r="C361" t="str">
        <f>IF([1]Sheet1!C397="","",[1]Sheet1!C397)</f>
        <v/>
      </c>
      <c r="D361" t="str">
        <f>IF([1]Sheet1!D397="","",[1]Sheet1!D397)</f>
        <v/>
      </c>
      <c r="E361" t="str">
        <f>IF([1]Sheet1!E397="","",[1]Sheet1!E397)</f>
        <v/>
      </c>
      <c r="F361" t="str">
        <f>IF([1]Sheet1!F397="","",[1]Sheet1!F397)</f>
        <v/>
      </c>
      <c r="G361" t="str">
        <f>IF([1]Sheet1!G397="","",[1]Sheet1!G397)</f>
        <v/>
      </c>
      <c r="H361" t="str">
        <f>IF([1]Sheet1!H397="","",[1]Sheet1!H397)</f>
        <v/>
      </c>
      <c r="I361" t="str">
        <f>IF([1]Sheet1!I397="","",[1]Sheet1!I397)</f>
        <v/>
      </c>
      <c r="J361" t="str">
        <f>IF([1]Sheet1!J397="","",[1]Sheet1!J397)</f>
        <v/>
      </c>
      <c r="K361" t="str">
        <f>IF([1]Sheet1!K397="","",[1]Sheet1!K397)</f>
        <v/>
      </c>
      <c r="L361" t="str">
        <f>IF([1]Sheet1!L397="","",[1]Sheet1!L397)</f>
        <v/>
      </c>
      <c r="M361" t="str">
        <f>IF([1]Sheet1!M397="","",[1]Sheet1!M397)</f>
        <v/>
      </c>
      <c r="N361" t="str">
        <f>IF([1]Sheet1!N397="","",[1]Sheet1!N397)</f>
        <v/>
      </c>
      <c r="O361" t="str">
        <f>IF([1]Sheet1!O397="","",[1]Sheet1!O397)</f>
        <v/>
      </c>
      <c r="P361" t="str">
        <f>IF([1]Sheet1!P397="","",[1]Sheet1!P397)</f>
        <v/>
      </c>
    </row>
    <row r="362" spans="1:16" x14ac:dyDescent="0.25">
      <c r="A362" t="str">
        <f>IF([1]Sheet1!A398="","",[1]Sheet1!A398)</f>
        <v/>
      </c>
      <c r="B362" t="str">
        <f>IF([1]Sheet1!B398="","",[1]Sheet1!B398)</f>
        <v/>
      </c>
      <c r="C362" t="str">
        <f>IF([1]Sheet1!C398="","",[1]Sheet1!C398)</f>
        <v/>
      </c>
      <c r="D362" t="str">
        <f>IF([1]Sheet1!D398="","",[1]Sheet1!D398)</f>
        <v/>
      </c>
      <c r="E362" t="str">
        <f>IF([1]Sheet1!E398="","",[1]Sheet1!E398)</f>
        <v/>
      </c>
      <c r="F362" t="str">
        <f>IF([1]Sheet1!F398="","",[1]Sheet1!F398)</f>
        <v/>
      </c>
      <c r="G362" t="str">
        <f>IF([1]Sheet1!G398="","",[1]Sheet1!G398)</f>
        <v/>
      </c>
      <c r="H362" t="str">
        <f>IF([1]Sheet1!H398="","",[1]Sheet1!H398)</f>
        <v/>
      </c>
      <c r="I362" t="str">
        <f>IF([1]Sheet1!I398="","",[1]Sheet1!I398)</f>
        <v/>
      </c>
      <c r="J362" t="str">
        <f>IF([1]Sheet1!J398="","",[1]Sheet1!J398)</f>
        <v/>
      </c>
      <c r="K362" t="str">
        <f>IF([1]Sheet1!K398="","",[1]Sheet1!K398)</f>
        <v/>
      </c>
      <c r="L362" t="str">
        <f>IF([1]Sheet1!L398="","",[1]Sheet1!L398)</f>
        <v/>
      </c>
      <c r="M362" t="str">
        <f>IF([1]Sheet1!M398="","",[1]Sheet1!M398)</f>
        <v/>
      </c>
      <c r="N362" t="str">
        <f>IF([1]Sheet1!N398="","",[1]Sheet1!N398)</f>
        <v/>
      </c>
      <c r="O362" t="str">
        <f>IF([1]Sheet1!O398="","",[1]Sheet1!O398)</f>
        <v/>
      </c>
      <c r="P362" t="str">
        <f>IF([1]Sheet1!P398="","",[1]Sheet1!P398)</f>
        <v/>
      </c>
    </row>
    <row r="363" spans="1:16" x14ac:dyDescent="0.25">
      <c r="A363" t="str">
        <f>IF([1]Sheet1!A399="","",[1]Sheet1!A399)</f>
        <v/>
      </c>
      <c r="B363" t="str">
        <f>IF([1]Sheet1!B399="","",[1]Sheet1!B399)</f>
        <v/>
      </c>
      <c r="C363" t="str">
        <f>IF([1]Sheet1!C399="","",[1]Sheet1!C399)</f>
        <v/>
      </c>
      <c r="D363" t="str">
        <f>IF([1]Sheet1!D399="","",[1]Sheet1!D399)</f>
        <v/>
      </c>
      <c r="E363" t="str">
        <f>IF([1]Sheet1!E399="","",[1]Sheet1!E399)</f>
        <v/>
      </c>
      <c r="F363" t="str">
        <f>IF([1]Sheet1!F399="","",[1]Sheet1!F399)</f>
        <v/>
      </c>
      <c r="G363" t="str">
        <f>IF([1]Sheet1!G399="","",[1]Sheet1!G399)</f>
        <v/>
      </c>
      <c r="H363" t="str">
        <f>IF([1]Sheet1!H399="","",[1]Sheet1!H399)</f>
        <v/>
      </c>
      <c r="I363" t="str">
        <f>IF([1]Sheet1!I399="","",[1]Sheet1!I399)</f>
        <v/>
      </c>
      <c r="J363" t="str">
        <f>IF([1]Sheet1!J399="","",[1]Sheet1!J399)</f>
        <v/>
      </c>
      <c r="K363" t="str">
        <f>IF([1]Sheet1!K399="","",[1]Sheet1!K399)</f>
        <v/>
      </c>
      <c r="L363" t="str">
        <f>IF([1]Sheet1!L399="","",[1]Sheet1!L399)</f>
        <v/>
      </c>
      <c r="M363" t="str">
        <f>IF([1]Sheet1!M399="","",[1]Sheet1!M399)</f>
        <v/>
      </c>
      <c r="N363" t="str">
        <f>IF([1]Sheet1!N399="","",[1]Sheet1!N399)</f>
        <v/>
      </c>
      <c r="O363" t="str">
        <f>IF([1]Sheet1!O399="","",[1]Sheet1!O399)</f>
        <v/>
      </c>
      <c r="P363" t="str">
        <f>IF([1]Sheet1!P399="","",[1]Sheet1!P399)</f>
        <v/>
      </c>
    </row>
    <row r="364" spans="1:16" x14ac:dyDescent="0.25">
      <c r="A364" t="str">
        <f>IF([1]Sheet1!A400="","",[1]Sheet1!A400)</f>
        <v/>
      </c>
      <c r="B364" t="str">
        <f>IF([1]Sheet1!B400="","",[1]Sheet1!B400)</f>
        <v/>
      </c>
      <c r="C364" t="str">
        <f>IF([1]Sheet1!C400="","",[1]Sheet1!C400)</f>
        <v/>
      </c>
      <c r="D364" t="str">
        <f>IF([1]Sheet1!D400="","",[1]Sheet1!D400)</f>
        <v/>
      </c>
      <c r="E364" t="str">
        <f>IF([1]Sheet1!E400="","",[1]Sheet1!E400)</f>
        <v/>
      </c>
      <c r="F364" t="str">
        <f>IF([1]Sheet1!F400="","",[1]Sheet1!F400)</f>
        <v/>
      </c>
      <c r="G364" t="str">
        <f>IF([1]Sheet1!G400="","",[1]Sheet1!G400)</f>
        <v/>
      </c>
      <c r="H364" t="str">
        <f>IF([1]Sheet1!H400="","",[1]Sheet1!H400)</f>
        <v/>
      </c>
      <c r="I364" t="str">
        <f>IF([1]Sheet1!I400="","",[1]Sheet1!I400)</f>
        <v/>
      </c>
      <c r="J364" t="str">
        <f>IF([1]Sheet1!J400="","",[1]Sheet1!J400)</f>
        <v/>
      </c>
      <c r="K364" t="str">
        <f>IF([1]Sheet1!K400="","",[1]Sheet1!K400)</f>
        <v/>
      </c>
      <c r="L364" t="str">
        <f>IF([1]Sheet1!L400="","",[1]Sheet1!L400)</f>
        <v/>
      </c>
      <c r="M364" t="str">
        <f>IF([1]Sheet1!M400="","",[1]Sheet1!M400)</f>
        <v/>
      </c>
      <c r="N364" t="str">
        <f>IF([1]Sheet1!N400="","",[1]Sheet1!N400)</f>
        <v/>
      </c>
      <c r="O364" t="str">
        <f>IF([1]Sheet1!O400="","",[1]Sheet1!O400)</f>
        <v/>
      </c>
      <c r="P364" t="str">
        <f>IF([1]Sheet1!P400="","",[1]Sheet1!P400)</f>
        <v/>
      </c>
    </row>
    <row r="365" spans="1:16" x14ac:dyDescent="0.25">
      <c r="A365" t="str">
        <f>IF([1]Sheet1!A401="","",[1]Sheet1!A401)</f>
        <v/>
      </c>
      <c r="B365" t="str">
        <f>IF([1]Sheet1!B401="","",[1]Sheet1!B401)</f>
        <v/>
      </c>
      <c r="C365" t="str">
        <f>IF([1]Sheet1!C401="","",[1]Sheet1!C401)</f>
        <v/>
      </c>
      <c r="D365" t="str">
        <f>IF([1]Sheet1!D401="","",[1]Sheet1!D401)</f>
        <v/>
      </c>
      <c r="E365" t="str">
        <f>IF([1]Sheet1!E401="","",[1]Sheet1!E401)</f>
        <v/>
      </c>
      <c r="F365" t="str">
        <f>IF([1]Sheet1!F401="","",[1]Sheet1!F401)</f>
        <v/>
      </c>
      <c r="G365" t="str">
        <f>IF([1]Sheet1!G401="","",[1]Sheet1!G401)</f>
        <v/>
      </c>
      <c r="H365" t="str">
        <f>IF([1]Sheet1!H401="","",[1]Sheet1!H401)</f>
        <v/>
      </c>
      <c r="I365" t="str">
        <f>IF([1]Sheet1!I401="","",[1]Sheet1!I401)</f>
        <v/>
      </c>
      <c r="J365" t="str">
        <f>IF([1]Sheet1!J401="","",[1]Sheet1!J401)</f>
        <v/>
      </c>
      <c r="K365" t="str">
        <f>IF([1]Sheet1!K401="","",[1]Sheet1!K401)</f>
        <v/>
      </c>
      <c r="L365" t="str">
        <f>IF([1]Sheet1!L401="","",[1]Sheet1!L401)</f>
        <v/>
      </c>
      <c r="M365" t="str">
        <f>IF([1]Sheet1!M401="","",[1]Sheet1!M401)</f>
        <v/>
      </c>
      <c r="N365" t="str">
        <f>IF([1]Sheet1!N401="","",[1]Sheet1!N401)</f>
        <v/>
      </c>
      <c r="O365" t="str">
        <f>IF([1]Sheet1!O401="","",[1]Sheet1!O401)</f>
        <v/>
      </c>
      <c r="P365" t="str">
        <f>IF([1]Sheet1!P401="","",[1]Sheet1!P401)</f>
        <v/>
      </c>
    </row>
    <row r="366" spans="1:16" x14ac:dyDescent="0.25">
      <c r="A366" t="str">
        <f>IF([1]Sheet1!A402="","",[1]Sheet1!A402)</f>
        <v/>
      </c>
      <c r="B366" t="str">
        <f>IF([1]Sheet1!B402="","",[1]Sheet1!B402)</f>
        <v/>
      </c>
      <c r="C366" t="str">
        <f>IF([1]Sheet1!C402="","",[1]Sheet1!C402)</f>
        <v/>
      </c>
      <c r="D366" t="str">
        <f>IF([1]Sheet1!D402="","",[1]Sheet1!D402)</f>
        <v/>
      </c>
      <c r="E366" t="str">
        <f>IF([1]Sheet1!E402="","",[1]Sheet1!E402)</f>
        <v/>
      </c>
      <c r="F366" t="str">
        <f>IF([1]Sheet1!F402="","",[1]Sheet1!F402)</f>
        <v/>
      </c>
      <c r="G366" t="str">
        <f>IF([1]Sheet1!G402="","",[1]Sheet1!G402)</f>
        <v/>
      </c>
      <c r="H366" t="str">
        <f>IF([1]Sheet1!H402="","",[1]Sheet1!H402)</f>
        <v/>
      </c>
      <c r="I366" t="str">
        <f>IF([1]Sheet1!I402="","",[1]Sheet1!I402)</f>
        <v/>
      </c>
      <c r="J366" t="str">
        <f>IF([1]Sheet1!J402="","",[1]Sheet1!J402)</f>
        <v/>
      </c>
      <c r="K366" t="str">
        <f>IF([1]Sheet1!K402="","",[1]Sheet1!K402)</f>
        <v/>
      </c>
      <c r="L366" t="str">
        <f>IF([1]Sheet1!L402="","",[1]Sheet1!L402)</f>
        <v/>
      </c>
      <c r="M366" t="str">
        <f>IF([1]Sheet1!M402="","",[1]Sheet1!M402)</f>
        <v/>
      </c>
      <c r="N366" t="str">
        <f>IF([1]Sheet1!N402="","",[1]Sheet1!N402)</f>
        <v/>
      </c>
      <c r="O366" t="str">
        <f>IF([1]Sheet1!O402="","",[1]Sheet1!O402)</f>
        <v/>
      </c>
      <c r="P366" t="str">
        <f>IF([1]Sheet1!P402="","",[1]Sheet1!P402)</f>
        <v/>
      </c>
    </row>
    <row r="367" spans="1:16" x14ac:dyDescent="0.25">
      <c r="A367" t="str">
        <f>IF([1]Sheet1!A403="","",[1]Sheet1!A403)</f>
        <v/>
      </c>
      <c r="B367" t="str">
        <f>IF([1]Sheet1!B403="","",[1]Sheet1!B403)</f>
        <v/>
      </c>
      <c r="C367" t="str">
        <f>IF([1]Sheet1!C403="","",[1]Sheet1!C403)</f>
        <v/>
      </c>
      <c r="D367" t="str">
        <f>IF([1]Sheet1!D403="","",[1]Sheet1!D403)</f>
        <v/>
      </c>
      <c r="E367" t="str">
        <f>IF([1]Sheet1!E403="","",[1]Sheet1!E403)</f>
        <v/>
      </c>
      <c r="F367" t="str">
        <f>IF([1]Sheet1!F403="","",[1]Sheet1!F403)</f>
        <v/>
      </c>
      <c r="G367" t="str">
        <f>IF([1]Sheet1!G403="","",[1]Sheet1!G403)</f>
        <v/>
      </c>
      <c r="H367" t="str">
        <f>IF([1]Sheet1!H403="","",[1]Sheet1!H403)</f>
        <v/>
      </c>
      <c r="I367" t="str">
        <f>IF([1]Sheet1!I403="","",[1]Sheet1!I403)</f>
        <v/>
      </c>
      <c r="J367" t="str">
        <f>IF([1]Sheet1!J403="","",[1]Sheet1!J403)</f>
        <v/>
      </c>
      <c r="K367" t="str">
        <f>IF([1]Sheet1!K403="","",[1]Sheet1!K403)</f>
        <v/>
      </c>
      <c r="L367" t="str">
        <f>IF([1]Sheet1!L403="","",[1]Sheet1!L403)</f>
        <v/>
      </c>
      <c r="M367" t="str">
        <f>IF([1]Sheet1!M403="","",[1]Sheet1!M403)</f>
        <v/>
      </c>
      <c r="N367" t="str">
        <f>IF([1]Sheet1!N403="","",[1]Sheet1!N403)</f>
        <v/>
      </c>
      <c r="O367" t="str">
        <f>IF([1]Sheet1!O403="","",[1]Sheet1!O403)</f>
        <v/>
      </c>
      <c r="P367" t="str">
        <f>IF([1]Sheet1!P403="","",[1]Sheet1!P403)</f>
        <v/>
      </c>
    </row>
    <row r="368" spans="1:16" x14ac:dyDescent="0.25">
      <c r="A368" t="str">
        <f>IF([1]Sheet1!A404="","",[1]Sheet1!A404)</f>
        <v/>
      </c>
      <c r="B368" t="str">
        <f>IF([1]Sheet1!B404="","",[1]Sheet1!B404)</f>
        <v/>
      </c>
      <c r="C368" t="str">
        <f>IF([1]Sheet1!C404="","",[1]Sheet1!C404)</f>
        <v/>
      </c>
      <c r="D368" t="str">
        <f>IF([1]Sheet1!D404="","",[1]Sheet1!D404)</f>
        <v/>
      </c>
      <c r="E368" t="str">
        <f>IF([1]Sheet1!E404="","",[1]Sheet1!E404)</f>
        <v/>
      </c>
      <c r="F368" t="str">
        <f>IF([1]Sheet1!F404="","",[1]Sheet1!F404)</f>
        <v/>
      </c>
      <c r="G368" t="str">
        <f>IF([1]Sheet1!G404="","",[1]Sheet1!G404)</f>
        <v/>
      </c>
      <c r="H368" t="str">
        <f>IF([1]Sheet1!H404="","",[1]Sheet1!H404)</f>
        <v/>
      </c>
      <c r="I368" t="str">
        <f>IF([1]Sheet1!I404="","",[1]Sheet1!I404)</f>
        <v/>
      </c>
      <c r="J368" t="str">
        <f>IF([1]Sheet1!J404="","",[1]Sheet1!J404)</f>
        <v/>
      </c>
      <c r="K368" t="str">
        <f>IF([1]Sheet1!K404="","",[1]Sheet1!K404)</f>
        <v/>
      </c>
      <c r="L368" t="str">
        <f>IF([1]Sheet1!L404="","",[1]Sheet1!L404)</f>
        <v/>
      </c>
      <c r="M368" t="str">
        <f>IF([1]Sheet1!M404="","",[1]Sheet1!M404)</f>
        <v/>
      </c>
      <c r="N368" t="str">
        <f>IF([1]Sheet1!N404="","",[1]Sheet1!N404)</f>
        <v/>
      </c>
      <c r="O368" t="str">
        <f>IF([1]Sheet1!O404="","",[1]Sheet1!O404)</f>
        <v/>
      </c>
      <c r="P368" t="str">
        <f>IF([1]Sheet1!P404="","",[1]Sheet1!P404)</f>
        <v/>
      </c>
    </row>
    <row r="369" spans="1:16" x14ac:dyDescent="0.25">
      <c r="A369" t="str">
        <f>IF([1]Sheet1!A405="","",[1]Sheet1!A405)</f>
        <v/>
      </c>
      <c r="B369" t="str">
        <f>IF([1]Sheet1!B405="","",[1]Sheet1!B405)</f>
        <v/>
      </c>
      <c r="C369" t="str">
        <f>IF([1]Sheet1!C405="","",[1]Sheet1!C405)</f>
        <v/>
      </c>
      <c r="D369" t="str">
        <f>IF([1]Sheet1!D405="","",[1]Sheet1!D405)</f>
        <v/>
      </c>
      <c r="E369" t="str">
        <f>IF([1]Sheet1!E405="","",[1]Sheet1!E405)</f>
        <v/>
      </c>
      <c r="F369" t="str">
        <f>IF([1]Sheet1!F405="","",[1]Sheet1!F405)</f>
        <v/>
      </c>
      <c r="G369" t="str">
        <f>IF([1]Sheet1!G405="","",[1]Sheet1!G405)</f>
        <v/>
      </c>
      <c r="H369" t="str">
        <f>IF([1]Sheet1!H405="","",[1]Sheet1!H405)</f>
        <v/>
      </c>
      <c r="I369" t="str">
        <f>IF([1]Sheet1!I405="","",[1]Sheet1!I405)</f>
        <v/>
      </c>
      <c r="J369" t="str">
        <f>IF([1]Sheet1!J405="","",[1]Sheet1!J405)</f>
        <v/>
      </c>
      <c r="K369" t="str">
        <f>IF([1]Sheet1!K405="","",[1]Sheet1!K405)</f>
        <v/>
      </c>
      <c r="L369" t="str">
        <f>IF([1]Sheet1!L405="","",[1]Sheet1!L405)</f>
        <v/>
      </c>
      <c r="M369" t="str">
        <f>IF([1]Sheet1!M405="","",[1]Sheet1!M405)</f>
        <v/>
      </c>
      <c r="N369" t="str">
        <f>IF([1]Sheet1!N405="","",[1]Sheet1!N405)</f>
        <v/>
      </c>
      <c r="O369" t="str">
        <f>IF([1]Sheet1!O405="","",[1]Sheet1!O405)</f>
        <v/>
      </c>
      <c r="P369" t="str">
        <f>IF([1]Sheet1!P405="","",[1]Sheet1!P405)</f>
        <v/>
      </c>
    </row>
    <row r="370" spans="1:16" x14ac:dyDescent="0.25">
      <c r="A370" t="str">
        <f>IF([1]Sheet1!A406="","",[1]Sheet1!A406)</f>
        <v/>
      </c>
      <c r="B370" t="str">
        <f>IF([1]Sheet1!B406="","",[1]Sheet1!B406)</f>
        <v/>
      </c>
      <c r="C370" t="str">
        <f>IF([1]Sheet1!C406="","",[1]Sheet1!C406)</f>
        <v/>
      </c>
      <c r="D370" t="str">
        <f>IF([1]Sheet1!D406="","",[1]Sheet1!D406)</f>
        <v/>
      </c>
      <c r="E370" t="str">
        <f>IF([1]Sheet1!E406="","",[1]Sheet1!E406)</f>
        <v/>
      </c>
      <c r="F370" t="str">
        <f>IF([1]Sheet1!F406="","",[1]Sheet1!F406)</f>
        <v/>
      </c>
      <c r="G370" t="str">
        <f>IF([1]Sheet1!G406="","",[1]Sheet1!G406)</f>
        <v/>
      </c>
      <c r="H370" t="str">
        <f>IF([1]Sheet1!H406="","",[1]Sheet1!H406)</f>
        <v/>
      </c>
      <c r="I370" t="str">
        <f>IF([1]Sheet1!I406="","",[1]Sheet1!I406)</f>
        <v/>
      </c>
      <c r="J370" t="str">
        <f>IF([1]Sheet1!J406="","",[1]Sheet1!J406)</f>
        <v/>
      </c>
      <c r="K370" t="str">
        <f>IF([1]Sheet1!K406="","",[1]Sheet1!K406)</f>
        <v/>
      </c>
      <c r="L370" t="str">
        <f>IF([1]Sheet1!L406="","",[1]Sheet1!L406)</f>
        <v/>
      </c>
      <c r="M370" t="str">
        <f>IF([1]Sheet1!M406="","",[1]Sheet1!M406)</f>
        <v/>
      </c>
      <c r="N370" t="str">
        <f>IF([1]Sheet1!N406="","",[1]Sheet1!N406)</f>
        <v/>
      </c>
      <c r="O370" t="str">
        <f>IF([1]Sheet1!O406="","",[1]Sheet1!O406)</f>
        <v/>
      </c>
      <c r="P370" t="str">
        <f>IF([1]Sheet1!P406="","",[1]Sheet1!P406)</f>
        <v/>
      </c>
    </row>
    <row r="371" spans="1:16" x14ac:dyDescent="0.25">
      <c r="A371" t="str">
        <f>IF([1]Sheet1!A407="","",[1]Sheet1!A407)</f>
        <v/>
      </c>
      <c r="B371" t="str">
        <f>IF([1]Sheet1!B407="","",[1]Sheet1!B407)</f>
        <v/>
      </c>
      <c r="C371" t="str">
        <f>IF([1]Sheet1!C407="","",[1]Sheet1!C407)</f>
        <v/>
      </c>
      <c r="D371" t="str">
        <f>IF([1]Sheet1!D407="","",[1]Sheet1!D407)</f>
        <v/>
      </c>
      <c r="E371" t="str">
        <f>IF([1]Sheet1!E407="","",[1]Sheet1!E407)</f>
        <v/>
      </c>
      <c r="F371" t="str">
        <f>IF([1]Sheet1!F407="","",[1]Sheet1!F407)</f>
        <v/>
      </c>
      <c r="G371" t="str">
        <f>IF([1]Sheet1!G407="","",[1]Sheet1!G407)</f>
        <v/>
      </c>
      <c r="H371" t="str">
        <f>IF([1]Sheet1!H407="","",[1]Sheet1!H407)</f>
        <v/>
      </c>
      <c r="I371" t="str">
        <f>IF([1]Sheet1!I407="","",[1]Sheet1!I407)</f>
        <v/>
      </c>
      <c r="J371" t="str">
        <f>IF([1]Sheet1!J407="","",[1]Sheet1!J407)</f>
        <v/>
      </c>
      <c r="K371" t="str">
        <f>IF([1]Sheet1!K407="","",[1]Sheet1!K407)</f>
        <v/>
      </c>
      <c r="L371" t="str">
        <f>IF([1]Sheet1!L407="","",[1]Sheet1!L407)</f>
        <v/>
      </c>
      <c r="M371" t="str">
        <f>IF([1]Sheet1!M407="","",[1]Sheet1!M407)</f>
        <v/>
      </c>
      <c r="N371" t="str">
        <f>IF([1]Sheet1!N407="","",[1]Sheet1!N407)</f>
        <v/>
      </c>
      <c r="O371" t="str">
        <f>IF([1]Sheet1!O407="","",[1]Sheet1!O407)</f>
        <v/>
      </c>
      <c r="P371" t="str">
        <f>IF([1]Sheet1!P407="","",[1]Sheet1!P407)</f>
        <v/>
      </c>
    </row>
    <row r="372" spans="1:16" x14ac:dyDescent="0.25">
      <c r="A372" t="str">
        <f>IF([1]Sheet1!A408="","",[1]Sheet1!A408)</f>
        <v/>
      </c>
      <c r="B372" t="str">
        <f>IF([1]Sheet1!B408="","",[1]Sheet1!B408)</f>
        <v/>
      </c>
      <c r="C372" t="str">
        <f>IF([1]Sheet1!C408="","",[1]Sheet1!C408)</f>
        <v/>
      </c>
      <c r="D372" t="str">
        <f>IF([1]Sheet1!D408="","",[1]Sheet1!D408)</f>
        <v/>
      </c>
      <c r="E372" t="str">
        <f>IF([1]Sheet1!E408="","",[1]Sheet1!E408)</f>
        <v/>
      </c>
      <c r="F372" t="str">
        <f>IF([1]Sheet1!F408="","",[1]Sheet1!F408)</f>
        <v/>
      </c>
      <c r="G372" t="str">
        <f>IF([1]Sheet1!G408="","",[1]Sheet1!G408)</f>
        <v/>
      </c>
      <c r="H372" t="str">
        <f>IF([1]Sheet1!H408="","",[1]Sheet1!H408)</f>
        <v/>
      </c>
      <c r="I372" t="str">
        <f>IF([1]Sheet1!I408="","",[1]Sheet1!I408)</f>
        <v/>
      </c>
      <c r="J372" t="str">
        <f>IF([1]Sheet1!J408="","",[1]Sheet1!J408)</f>
        <v/>
      </c>
      <c r="K372" t="str">
        <f>IF([1]Sheet1!K408="","",[1]Sheet1!K408)</f>
        <v/>
      </c>
      <c r="L372" t="str">
        <f>IF([1]Sheet1!L408="","",[1]Sheet1!L408)</f>
        <v/>
      </c>
      <c r="M372" t="str">
        <f>IF([1]Sheet1!M408="","",[1]Sheet1!M408)</f>
        <v/>
      </c>
      <c r="N372" t="str">
        <f>IF([1]Sheet1!N408="","",[1]Sheet1!N408)</f>
        <v/>
      </c>
      <c r="O372" t="str">
        <f>IF([1]Sheet1!O408="","",[1]Sheet1!O408)</f>
        <v/>
      </c>
      <c r="P372" t="str">
        <f>IF([1]Sheet1!P408="","",[1]Sheet1!P408)</f>
        <v/>
      </c>
    </row>
    <row r="373" spans="1:16" x14ac:dyDescent="0.25">
      <c r="A373" t="str">
        <f>IF([1]Sheet1!A409="","",[1]Sheet1!A409)</f>
        <v/>
      </c>
      <c r="B373" t="str">
        <f>IF([1]Sheet1!B409="","",[1]Sheet1!B409)</f>
        <v/>
      </c>
      <c r="C373" t="str">
        <f>IF([1]Sheet1!C409="","",[1]Sheet1!C409)</f>
        <v/>
      </c>
      <c r="D373" t="str">
        <f>IF([1]Sheet1!D409="","",[1]Sheet1!D409)</f>
        <v/>
      </c>
      <c r="E373" t="str">
        <f>IF([1]Sheet1!E409="","",[1]Sheet1!E409)</f>
        <v/>
      </c>
      <c r="F373" t="str">
        <f>IF([1]Sheet1!F409="","",[1]Sheet1!F409)</f>
        <v/>
      </c>
      <c r="G373" t="str">
        <f>IF([1]Sheet1!G409="","",[1]Sheet1!G409)</f>
        <v/>
      </c>
      <c r="H373" t="str">
        <f>IF([1]Sheet1!H409="","",[1]Sheet1!H409)</f>
        <v/>
      </c>
      <c r="I373" t="str">
        <f>IF([1]Sheet1!I409="","",[1]Sheet1!I409)</f>
        <v/>
      </c>
      <c r="J373" t="str">
        <f>IF([1]Sheet1!J409="","",[1]Sheet1!J409)</f>
        <v/>
      </c>
      <c r="K373" t="str">
        <f>IF([1]Sheet1!K409="","",[1]Sheet1!K409)</f>
        <v/>
      </c>
      <c r="L373" t="str">
        <f>IF([1]Sheet1!L409="","",[1]Sheet1!L409)</f>
        <v/>
      </c>
      <c r="M373" t="str">
        <f>IF([1]Sheet1!M409="","",[1]Sheet1!M409)</f>
        <v/>
      </c>
      <c r="N373" t="str">
        <f>IF([1]Sheet1!N409="","",[1]Sheet1!N409)</f>
        <v/>
      </c>
      <c r="O373" t="str">
        <f>IF([1]Sheet1!O409="","",[1]Sheet1!O409)</f>
        <v/>
      </c>
      <c r="P373" t="str">
        <f>IF([1]Sheet1!P409="","",[1]Sheet1!P409)</f>
        <v/>
      </c>
    </row>
    <row r="374" spans="1:16" x14ac:dyDescent="0.25">
      <c r="A374" t="str">
        <f>IF([1]Sheet1!A410="","",[1]Sheet1!A410)</f>
        <v/>
      </c>
      <c r="B374" t="str">
        <f>IF([1]Sheet1!B410="","",[1]Sheet1!B410)</f>
        <v/>
      </c>
      <c r="C374" t="str">
        <f>IF([1]Sheet1!C410="","",[1]Sheet1!C410)</f>
        <v/>
      </c>
      <c r="D374" t="str">
        <f>IF([1]Sheet1!D410="","",[1]Sheet1!D410)</f>
        <v/>
      </c>
      <c r="E374" t="str">
        <f>IF([1]Sheet1!E410="","",[1]Sheet1!E410)</f>
        <v/>
      </c>
      <c r="F374" t="str">
        <f>IF([1]Sheet1!F410="","",[1]Sheet1!F410)</f>
        <v/>
      </c>
      <c r="G374" t="str">
        <f>IF([1]Sheet1!G410="","",[1]Sheet1!G410)</f>
        <v/>
      </c>
      <c r="H374" t="str">
        <f>IF([1]Sheet1!H410="","",[1]Sheet1!H410)</f>
        <v/>
      </c>
      <c r="I374" t="str">
        <f>IF([1]Sheet1!I410="","",[1]Sheet1!I410)</f>
        <v/>
      </c>
      <c r="J374" t="str">
        <f>IF([1]Sheet1!J410="","",[1]Sheet1!J410)</f>
        <v/>
      </c>
      <c r="K374" t="str">
        <f>IF([1]Sheet1!K410="","",[1]Sheet1!K410)</f>
        <v/>
      </c>
      <c r="L374" t="str">
        <f>IF([1]Sheet1!L410="","",[1]Sheet1!L410)</f>
        <v/>
      </c>
      <c r="M374" t="str">
        <f>IF([1]Sheet1!M410="","",[1]Sheet1!M410)</f>
        <v/>
      </c>
      <c r="N374" t="str">
        <f>IF([1]Sheet1!N410="","",[1]Sheet1!N410)</f>
        <v/>
      </c>
      <c r="O374" t="str">
        <f>IF([1]Sheet1!O410="","",[1]Sheet1!O410)</f>
        <v/>
      </c>
      <c r="P374" t="str">
        <f>IF([1]Sheet1!P410="","",[1]Sheet1!P410)</f>
        <v/>
      </c>
    </row>
    <row r="375" spans="1:16" x14ac:dyDescent="0.25">
      <c r="A375" t="str">
        <f>IF([1]Sheet1!A411="","",[1]Sheet1!A411)</f>
        <v/>
      </c>
      <c r="B375" t="str">
        <f>IF([1]Sheet1!B411="","",[1]Sheet1!B411)</f>
        <v/>
      </c>
      <c r="C375" t="str">
        <f>IF([1]Sheet1!C411="","",[1]Sheet1!C411)</f>
        <v/>
      </c>
      <c r="D375" t="str">
        <f>IF([1]Sheet1!D411="","",[1]Sheet1!D411)</f>
        <v/>
      </c>
      <c r="E375" t="str">
        <f>IF([1]Sheet1!E411="","",[1]Sheet1!E411)</f>
        <v/>
      </c>
      <c r="F375" t="str">
        <f>IF([1]Sheet1!F411="","",[1]Sheet1!F411)</f>
        <v/>
      </c>
      <c r="G375" t="str">
        <f>IF([1]Sheet1!G411="","",[1]Sheet1!G411)</f>
        <v/>
      </c>
      <c r="H375" t="str">
        <f>IF([1]Sheet1!H411="","",[1]Sheet1!H411)</f>
        <v/>
      </c>
      <c r="I375" t="str">
        <f>IF([1]Sheet1!I411="","",[1]Sheet1!I411)</f>
        <v/>
      </c>
      <c r="J375" t="str">
        <f>IF([1]Sheet1!J411="","",[1]Sheet1!J411)</f>
        <v/>
      </c>
      <c r="K375" t="str">
        <f>IF([1]Sheet1!K411="","",[1]Sheet1!K411)</f>
        <v/>
      </c>
      <c r="L375" t="str">
        <f>IF([1]Sheet1!L411="","",[1]Sheet1!L411)</f>
        <v/>
      </c>
      <c r="M375" t="str">
        <f>IF([1]Sheet1!M411="","",[1]Sheet1!M411)</f>
        <v/>
      </c>
      <c r="N375" t="str">
        <f>IF([1]Sheet1!N411="","",[1]Sheet1!N411)</f>
        <v/>
      </c>
      <c r="O375" t="str">
        <f>IF([1]Sheet1!O411="","",[1]Sheet1!O411)</f>
        <v/>
      </c>
      <c r="P375" t="str">
        <f>IF([1]Sheet1!P411="","",[1]Sheet1!P411)</f>
        <v/>
      </c>
    </row>
    <row r="376" spans="1:16" x14ac:dyDescent="0.25">
      <c r="A376" t="str">
        <f>IF([1]Sheet1!A412="","",[1]Sheet1!A412)</f>
        <v/>
      </c>
      <c r="B376" t="str">
        <f>IF([1]Sheet1!B412="","",[1]Sheet1!B412)</f>
        <v/>
      </c>
      <c r="C376" t="str">
        <f>IF([1]Sheet1!C412="","",[1]Sheet1!C412)</f>
        <v/>
      </c>
      <c r="D376" t="str">
        <f>IF([1]Sheet1!D412="","",[1]Sheet1!D412)</f>
        <v/>
      </c>
      <c r="E376" t="str">
        <f>IF([1]Sheet1!E412="","",[1]Sheet1!E412)</f>
        <v/>
      </c>
      <c r="F376" t="str">
        <f>IF([1]Sheet1!F412="","",[1]Sheet1!F412)</f>
        <v/>
      </c>
      <c r="G376" t="str">
        <f>IF([1]Sheet1!G412="","",[1]Sheet1!G412)</f>
        <v/>
      </c>
      <c r="H376" t="str">
        <f>IF([1]Sheet1!H412="","",[1]Sheet1!H412)</f>
        <v/>
      </c>
      <c r="I376" t="str">
        <f>IF([1]Sheet1!I412="","",[1]Sheet1!I412)</f>
        <v/>
      </c>
      <c r="J376" t="str">
        <f>IF([1]Sheet1!J412="","",[1]Sheet1!J412)</f>
        <v/>
      </c>
      <c r="K376" t="str">
        <f>IF([1]Sheet1!K412="","",[1]Sheet1!K412)</f>
        <v/>
      </c>
      <c r="L376" t="str">
        <f>IF([1]Sheet1!L412="","",[1]Sheet1!L412)</f>
        <v/>
      </c>
      <c r="M376" t="str">
        <f>IF([1]Sheet1!M412="","",[1]Sheet1!M412)</f>
        <v/>
      </c>
      <c r="N376" t="str">
        <f>IF([1]Sheet1!N412="","",[1]Sheet1!N412)</f>
        <v/>
      </c>
      <c r="O376" t="str">
        <f>IF([1]Sheet1!O412="","",[1]Sheet1!O412)</f>
        <v/>
      </c>
      <c r="P376" t="str">
        <f>IF([1]Sheet1!P412="","",[1]Sheet1!P412)</f>
        <v/>
      </c>
    </row>
    <row r="377" spans="1:16" x14ac:dyDescent="0.25">
      <c r="A377" t="str">
        <f>IF([1]Sheet1!A413="","",[1]Sheet1!A413)</f>
        <v/>
      </c>
      <c r="B377" t="str">
        <f>IF([1]Sheet1!B413="","",[1]Sheet1!B413)</f>
        <v/>
      </c>
      <c r="C377" t="str">
        <f>IF([1]Sheet1!C413="","",[1]Sheet1!C413)</f>
        <v/>
      </c>
      <c r="D377" t="str">
        <f>IF([1]Sheet1!D413="","",[1]Sheet1!D413)</f>
        <v/>
      </c>
      <c r="E377" t="str">
        <f>IF([1]Sheet1!E413="","",[1]Sheet1!E413)</f>
        <v/>
      </c>
      <c r="F377" t="str">
        <f>IF([1]Sheet1!F413="","",[1]Sheet1!F413)</f>
        <v/>
      </c>
      <c r="G377" t="str">
        <f>IF([1]Sheet1!G413="","",[1]Sheet1!G413)</f>
        <v/>
      </c>
      <c r="H377" t="str">
        <f>IF([1]Sheet1!H413="","",[1]Sheet1!H413)</f>
        <v/>
      </c>
      <c r="I377" t="str">
        <f>IF([1]Sheet1!I413="","",[1]Sheet1!I413)</f>
        <v/>
      </c>
      <c r="J377" t="str">
        <f>IF([1]Sheet1!J413="","",[1]Sheet1!J413)</f>
        <v/>
      </c>
      <c r="K377" t="str">
        <f>IF([1]Sheet1!K413="","",[1]Sheet1!K413)</f>
        <v/>
      </c>
      <c r="L377" t="str">
        <f>IF([1]Sheet1!L413="","",[1]Sheet1!L413)</f>
        <v/>
      </c>
      <c r="M377" t="str">
        <f>IF([1]Sheet1!M413="","",[1]Sheet1!M413)</f>
        <v/>
      </c>
      <c r="N377" t="str">
        <f>IF([1]Sheet1!N413="","",[1]Sheet1!N413)</f>
        <v/>
      </c>
      <c r="O377" t="str">
        <f>IF([1]Sheet1!O413="","",[1]Sheet1!O413)</f>
        <v/>
      </c>
      <c r="P377" t="str">
        <f>IF([1]Sheet1!P413="","",[1]Sheet1!P413)</f>
        <v/>
      </c>
    </row>
    <row r="378" spans="1:16" x14ac:dyDescent="0.25">
      <c r="A378" t="str">
        <f>IF([1]Sheet1!A414="","",[1]Sheet1!A414)</f>
        <v/>
      </c>
      <c r="B378" t="str">
        <f>IF([1]Sheet1!B414="","",[1]Sheet1!B414)</f>
        <v/>
      </c>
      <c r="C378" t="str">
        <f>IF([1]Sheet1!C414="","",[1]Sheet1!C414)</f>
        <v/>
      </c>
      <c r="D378" t="str">
        <f>IF([1]Sheet1!D414="","",[1]Sheet1!D414)</f>
        <v/>
      </c>
      <c r="E378" t="str">
        <f>IF([1]Sheet1!E414="","",[1]Sheet1!E414)</f>
        <v/>
      </c>
      <c r="F378" t="str">
        <f>IF([1]Sheet1!F414="","",[1]Sheet1!F414)</f>
        <v/>
      </c>
      <c r="G378" t="str">
        <f>IF([1]Sheet1!G414="","",[1]Sheet1!G414)</f>
        <v/>
      </c>
      <c r="H378" t="str">
        <f>IF([1]Sheet1!H414="","",[1]Sheet1!H414)</f>
        <v/>
      </c>
      <c r="I378" t="str">
        <f>IF([1]Sheet1!I414="","",[1]Sheet1!I414)</f>
        <v/>
      </c>
      <c r="J378" t="str">
        <f>IF([1]Sheet1!J414="","",[1]Sheet1!J414)</f>
        <v/>
      </c>
      <c r="K378" t="str">
        <f>IF([1]Sheet1!K414="","",[1]Sheet1!K414)</f>
        <v/>
      </c>
      <c r="L378" t="str">
        <f>IF([1]Sheet1!L414="","",[1]Sheet1!L414)</f>
        <v/>
      </c>
      <c r="M378" t="str">
        <f>IF([1]Sheet1!M414="","",[1]Sheet1!M414)</f>
        <v/>
      </c>
      <c r="N378" t="str">
        <f>IF([1]Sheet1!N414="","",[1]Sheet1!N414)</f>
        <v/>
      </c>
      <c r="O378" t="str">
        <f>IF([1]Sheet1!O414="","",[1]Sheet1!O414)</f>
        <v/>
      </c>
      <c r="P378" t="str">
        <f>IF([1]Sheet1!P414="","",[1]Sheet1!P414)</f>
        <v/>
      </c>
    </row>
    <row r="379" spans="1:16" x14ac:dyDescent="0.25">
      <c r="A379" t="str">
        <f>IF([1]Sheet1!A415="","",[1]Sheet1!A415)</f>
        <v/>
      </c>
      <c r="B379" t="str">
        <f>IF([1]Sheet1!B415="","",[1]Sheet1!B415)</f>
        <v/>
      </c>
      <c r="C379" t="str">
        <f>IF([1]Sheet1!C415="","",[1]Sheet1!C415)</f>
        <v/>
      </c>
      <c r="D379" t="str">
        <f>IF([1]Sheet1!D415="","",[1]Sheet1!D415)</f>
        <v/>
      </c>
      <c r="E379" t="str">
        <f>IF([1]Sheet1!E415="","",[1]Sheet1!E415)</f>
        <v/>
      </c>
      <c r="F379" t="str">
        <f>IF([1]Sheet1!F415="","",[1]Sheet1!F415)</f>
        <v/>
      </c>
      <c r="G379" t="str">
        <f>IF([1]Sheet1!G415="","",[1]Sheet1!G415)</f>
        <v/>
      </c>
      <c r="H379" t="str">
        <f>IF([1]Sheet1!H415="","",[1]Sheet1!H415)</f>
        <v/>
      </c>
      <c r="I379" t="str">
        <f>IF([1]Sheet1!I415="","",[1]Sheet1!I415)</f>
        <v/>
      </c>
      <c r="J379" t="str">
        <f>IF([1]Sheet1!J415="","",[1]Sheet1!J415)</f>
        <v/>
      </c>
      <c r="K379" t="str">
        <f>IF([1]Sheet1!K415="","",[1]Sheet1!K415)</f>
        <v/>
      </c>
      <c r="L379" t="str">
        <f>IF([1]Sheet1!L415="","",[1]Sheet1!L415)</f>
        <v/>
      </c>
      <c r="M379" t="str">
        <f>IF([1]Sheet1!M415="","",[1]Sheet1!M415)</f>
        <v/>
      </c>
      <c r="N379" t="str">
        <f>IF([1]Sheet1!N415="","",[1]Sheet1!N415)</f>
        <v/>
      </c>
      <c r="O379" t="str">
        <f>IF([1]Sheet1!O415="","",[1]Sheet1!O415)</f>
        <v/>
      </c>
      <c r="P379" t="str">
        <f>IF([1]Sheet1!P415="","",[1]Sheet1!P415)</f>
        <v/>
      </c>
    </row>
    <row r="380" spans="1:16" x14ac:dyDescent="0.25">
      <c r="A380" t="str">
        <f>IF([1]Sheet1!A416="","",[1]Sheet1!A416)</f>
        <v/>
      </c>
      <c r="B380" t="str">
        <f>IF([1]Sheet1!B416="","",[1]Sheet1!B416)</f>
        <v/>
      </c>
      <c r="C380" t="str">
        <f>IF([1]Sheet1!C416="","",[1]Sheet1!C416)</f>
        <v/>
      </c>
      <c r="D380" t="str">
        <f>IF([1]Sheet1!D416="","",[1]Sheet1!D416)</f>
        <v/>
      </c>
      <c r="E380" t="str">
        <f>IF([1]Sheet1!E416="","",[1]Sheet1!E416)</f>
        <v/>
      </c>
      <c r="F380" t="str">
        <f>IF([1]Sheet1!F416="","",[1]Sheet1!F416)</f>
        <v/>
      </c>
      <c r="G380" t="str">
        <f>IF([1]Sheet1!G416="","",[1]Sheet1!G416)</f>
        <v/>
      </c>
      <c r="H380" t="str">
        <f>IF([1]Sheet1!H416="","",[1]Sheet1!H416)</f>
        <v/>
      </c>
      <c r="I380" t="str">
        <f>IF([1]Sheet1!I416="","",[1]Sheet1!I416)</f>
        <v/>
      </c>
      <c r="J380" t="str">
        <f>IF([1]Sheet1!J416="","",[1]Sheet1!J416)</f>
        <v/>
      </c>
      <c r="K380" t="str">
        <f>IF([1]Sheet1!K416="","",[1]Sheet1!K416)</f>
        <v/>
      </c>
      <c r="L380" t="str">
        <f>IF([1]Sheet1!L416="","",[1]Sheet1!L416)</f>
        <v/>
      </c>
      <c r="M380" t="str">
        <f>IF([1]Sheet1!M416="","",[1]Sheet1!M416)</f>
        <v/>
      </c>
      <c r="N380" t="str">
        <f>IF([1]Sheet1!N416="","",[1]Sheet1!N416)</f>
        <v/>
      </c>
      <c r="O380" t="str">
        <f>IF([1]Sheet1!O416="","",[1]Sheet1!O416)</f>
        <v/>
      </c>
      <c r="P380" t="str">
        <f>IF([1]Sheet1!P416="","",[1]Sheet1!P416)</f>
        <v/>
      </c>
    </row>
    <row r="381" spans="1:16" x14ac:dyDescent="0.25">
      <c r="A381" t="str">
        <f>IF([1]Sheet1!A417="","",[1]Sheet1!A417)</f>
        <v/>
      </c>
      <c r="B381" t="str">
        <f>IF([1]Sheet1!B417="","",[1]Sheet1!B417)</f>
        <v/>
      </c>
      <c r="C381" t="str">
        <f>IF([1]Sheet1!C417="","",[1]Sheet1!C417)</f>
        <v/>
      </c>
      <c r="D381" t="str">
        <f>IF([1]Sheet1!D417="","",[1]Sheet1!D417)</f>
        <v/>
      </c>
      <c r="E381" t="str">
        <f>IF([1]Sheet1!E417="","",[1]Sheet1!E417)</f>
        <v/>
      </c>
      <c r="F381" t="str">
        <f>IF([1]Sheet1!F417="","",[1]Sheet1!F417)</f>
        <v/>
      </c>
      <c r="G381" t="str">
        <f>IF([1]Sheet1!G417="","",[1]Sheet1!G417)</f>
        <v/>
      </c>
      <c r="H381" t="str">
        <f>IF([1]Sheet1!H417="","",[1]Sheet1!H417)</f>
        <v/>
      </c>
      <c r="I381" t="str">
        <f>IF([1]Sheet1!I417="","",[1]Sheet1!I417)</f>
        <v/>
      </c>
      <c r="J381" t="str">
        <f>IF([1]Sheet1!J417="","",[1]Sheet1!J417)</f>
        <v/>
      </c>
      <c r="K381" t="str">
        <f>IF([1]Sheet1!K417="","",[1]Sheet1!K417)</f>
        <v/>
      </c>
      <c r="L381" t="str">
        <f>IF([1]Sheet1!L417="","",[1]Sheet1!L417)</f>
        <v/>
      </c>
      <c r="M381" t="str">
        <f>IF([1]Sheet1!M417="","",[1]Sheet1!M417)</f>
        <v/>
      </c>
      <c r="N381" t="str">
        <f>IF([1]Sheet1!N417="","",[1]Sheet1!N417)</f>
        <v/>
      </c>
      <c r="O381" t="str">
        <f>IF([1]Sheet1!O417="","",[1]Sheet1!O417)</f>
        <v/>
      </c>
      <c r="P381" t="str">
        <f>IF([1]Sheet1!P417="","",[1]Sheet1!P417)</f>
        <v/>
      </c>
    </row>
    <row r="382" spans="1:16" x14ac:dyDescent="0.25">
      <c r="A382" t="str">
        <f>IF([1]Sheet1!A418="","",[1]Sheet1!A418)</f>
        <v/>
      </c>
      <c r="B382" t="str">
        <f>IF([1]Sheet1!B418="","",[1]Sheet1!B418)</f>
        <v/>
      </c>
      <c r="C382" t="str">
        <f>IF([1]Sheet1!C418="","",[1]Sheet1!C418)</f>
        <v/>
      </c>
      <c r="D382" t="str">
        <f>IF([1]Sheet1!D418="","",[1]Sheet1!D418)</f>
        <v/>
      </c>
      <c r="E382" t="str">
        <f>IF([1]Sheet1!E418="","",[1]Sheet1!E418)</f>
        <v/>
      </c>
      <c r="F382" t="str">
        <f>IF([1]Sheet1!F418="","",[1]Sheet1!F418)</f>
        <v/>
      </c>
      <c r="G382" t="str">
        <f>IF([1]Sheet1!G418="","",[1]Sheet1!G418)</f>
        <v/>
      </c>
      <c r="H382" t="str">
        <f>IF([1]Sheet1!H418="","",[1]Sheet1!H418)</f>
        <v/>
      </c>
      <c r="I382" t="str">
        <f>IF([1]Sheet1!I418="","",[1]Sheet1!I418)</f>
        <v/>
      </c>
      <c r="J382" t="str">
        <f>IF([1]Sheet1!J418="","",[1]Sheet1!J418)</f>
        <v/>
      </c>
      <c r="K382" t="str">
        <f>IF([1]Sheet1!K418="","",[1]Sheet1!K418)</f>
        <v/>
      </c>
      <c r="L382" t="str">
        <f>IF([1]Sheet1!L418="","",[1]Sheet1!L418)</f>
        <v/>
      </c>
      <c r="M382" t="str">
        <f>IF([1]Sheet1!M418="","",[1]Sheet1!M418)</f>
        <v/>
      </c>
      <c r="N382" t="str">
        <f>IF([1]Sheet1!N418="","",[1]Sheet1!N418)</f>
        <v/>
      </c>
      <c r="O382" t="str">
        <f>IF([1]Sheet1!O418="","",[1]Sheet1!O418)</f>
        <v/>
      </c>
      <c r="P382" t="str">
        <f>IF([1]Sheet1!P418="","",[1]Sheet1!P418)</f>
        <v/>
      </c>
    </row>
    <row r="383" spans="1:16" x14ac:dyDescent="0.25">
      <c r="A383" t="str">
        <f>IF([1]Sheet1!A419="","",[1]Sheet1!A419)</f>
        <v/>
      </c>
      <c r="B383" t="str">
        <f>IF([1]Sheet1!B419="","",[1]Sheet1!B419)</f>
        <v/>
      </c>
      <c r="C383" t="str">
        <f>IF([1]Sheet1!C419="","",[1]Sheet1!C419)</f>
        <v/>
      </c>
      <c r="D383" t="str">
        <f>IF([1]Sheet1!D419="","",[1]Sheet1!D419)</f>
        <v/>
      </c>
      <c r="E383" t="str">
        <f>IF([1]Sheet1!E419="","",[1]Sheet1!E419)</f>
        <v/>
      </c>
      <c r="F383" t="str">
        <f>IF([1]Sheet1!F419="","",[1]Sheet1!F419)</f>
        <v/>
      </c>
      <c r="G383" t="str">
        <f>IF([1]Sheet1!G419="","",[1]Sheet1!G419)</f>
        <v/>
      </c>
      <c r="H383" t="str">
        <f>IF([1]Sheet1!H419="","",[1]Sheet1!H419)</f>
        <v/>
      </c>
      <c r="I383" t="str">
        <f>IF([1]Sheet1!I419="","",[1]Sheet1!I419)</f>
        <v/>
      </c>
      <c r="J383" t="str">
        <f>IF([1]Sheet1!J419="","",[1]Sheet1!J419)</f>
        <v/>
      </c>
      <c r="K383" t="str">
        <f>IF([1]Sheet1!K419="","",[1]Sheet1!K419)</f>
        <v/>
      </c>
      <c r="L383" t="str">
        <f>IF([1]Sheet1!L419="","",[1]Sheet1!L419)</f>
        <v/>
      </c>
      <c r="M383" t="str">
        <f>IF([1]Sheet1!M419="","",[1]Sheet1!M419)</f>
        <v/>
      </c>
      <c r="N383" t="str">
        <f>IF([1]Sheet1!N419="","",[1]Sheet1!N419)</f>
        <v/>
      </c>
      <c r="O383" t="str">
        <f>IF([1]Sheet1!O419="","",[1]Sheet1!O419)</f>
        <v/>
      </c>
      <c r="P383" t="str">
        <f>IF([1]Sheet1!P419="","",[1]Sheet1!P419)</f>
        <v/>
      </c>
    </row>
    <row r="384" spans="1:16" x14ac:dyDescent="0.25">
      <c r="A384" t="str">
        <f>IF([1]Sheet1!A420="","",[1]Sheet1!A420)</f>
        <v/>
      </c>
      <c r="B384" t="str">
        <f>IF([1]Sheet1!B420="","",[1]Sheet1!B420)</f>
        <v/>
      </c>
      <c r="C384" t="str">
        <f>IF([1]Sheet1!C420="","",[1]Sheet1!C420)</f>
        <v/>
      </c>
      <c r="D384" t="str">
        <f>IF([1]Sheet1!D420="","",[1]Sheet1!D420)</f>
        <v/>
      </c>
      <c r="E384" t="str">
        <f>IF([1]Sheet1!E420="","",[1]Sheet1!E420)</f>
        <v/>
      </c>
      <c r="F384" t="str">
        <f>IF([1]Sheet1!F420="","",[1]Sheet1!F420)</f>
        <v/>
      </c>
      <c r="G384" t="str">
        <f>IF([1]Sheet1!G420="","",[1]Sheet1!G420)</f>
        <v/>
      </c>
      <c r="H384" t="str">
        <f>IF([1]Sheet1!H420="","",[1]Sheet1!H420)</f>
        <v/>
      </c>
      <c r="I384" t="str">
        <f>IF([1]Sheet1!I420="","",[1]Sheet1!I420)</f>
        <v/>
      </c>
      <c r="J384" t="str">
        <f>IF([1]Sheet1!J420="","",[1]Sheet1!J420)</f>
        <v/>
      </c>
      <c r="K384" t="str">
        <f>IF([1]Sheet1!K420="","",[1]Sheet1!K420)</f>
        <v/>
      </c>
      <c r="L384" t="str">
        <f>IF([1]Sheet1!L420="","",[1]Sheet1!L420)</f>
        <v/>
      </c>
      <c r="M384" t="str">
        <f>IF([1]Sheet1!M420="","",[1]Sheet1!M420)</f>
        <v/>
      </c>
      <c r="N384" t="str">
        <f>IF([1]Sheet1!N420="","",[1]Sheet1!N420)</f>
        <v/>
      </c>
      <c r="O384" t="str">
        <f>IF([1]Sheet1!O420="","",[1]Sheet1!O420)</f>
        <v/>
      </c>
      <c r="P384" t="str">
        <f>IF([1]Sheet1!P420="","",[1]Sheet1!P420)</f>
        <v/>
      </c>
    </row>
    <row r="385" spans="1:16" x14ac:dyDescent="0.25">
      <c r="A385" t="str">
        <f>IF([1]Sheet1!A421="","",[1]Sheet1!A421)</f>
        <v/>
      </c>
      <c r="B385" t="str">
        <f>IF([1]Sheet1!B421="","",[1]Sheet1!B421)</f>
        <v/>
      </c>
      <c r="C385" t="str">
        <f>IF([1]Sheet1!C421="","",[1]Sheet1!C421)</f>
        <v/>
      </c>
      <c r="D385" t="str">
        <f>IF([1]Sheet1!D421="","",[1]Sheet1!D421)</f>
        <v/>
      </c>
      <c r="E385" t="str">
        <f>IF([1]Sheet1!E421="","",[1]Sheet1!E421)</f>
        <v/>
      </c>
      <c r="F385" t="str">
        <f>IF([1]Sheet1!F421="","",[1]Sheet1!F421)</f>
        <v/>
      </c>
      <c r="G385" t="str">
        <f>IF([1]Sheet1!G421="","",[1]Sheet1!G421)</f>
        <v/>
      </c>
      <c r="H385" t="str">
        <f>IF([1]Sheet1!H421="","",[1]Sheet1!H421)</f>
        <v/>
      </c>
      <c r="I385" t="str">
        <f>IF([1]Sheet1!I421="","",[1]Sheet1!I421)</f>
        <v/>
      </c>
      <c r="J385" t="str">
        <f>IF([1]Sheet1!J421="","",[1]Sheet1!J421)</f>
        <v/>
      </c>
      <c r="K385" t="str">
        <f>IF([1]Sheet1!K421="","",[1]Sheet1!K421)</f>
        <v/>
      </c>
      <c r="L385" t="str">
        <f>IF([1]Sheet1!L421="","",[1]Sheet1!L421)</f>
        <v/>
      </c>
      <c r="M385" t="str">
        <f>IF([1]Sheet1!M421="","",[1]Sheet1!M421)</f>
        <v/>
      </c>
      <c r="N385" t="str">
        <f>IF([1]Sheet1!N421="","",[1]Sheet1!N421)</f>
        <v/>
      </c>
      <c r="O385" t="str">
        <f>IF([1]Sheet1!O421="","",[1]Sheet1!O421)</f>
        <v/>
      </c>
      <c r="P385" t="str">
        <f>IF([1]Sheet1!P421="","",[1]Sheet1!P421)</f>
        <v/>
      </c>
    </row>
    <row r="386" spans="1:16" x14ac:dyDescent="0.25">
      <c r="A386" t="str">
        <f>IF([1]Sheet1!A422="","",[1]Sheet1!A422)</f>
        <v/>
      </c>
      <c r="B386" t="str">
        <f>IF([1]Sheet1!B422="","",[1]Sheet1!B422)</f>
        <v/>
      </c>
      <c r="C386" t="str">
        <f>IF([1]Sheet1!C422="","",[1]Sheet1!C422)</f>
        <v/>
      </c>
      <c r="D386" t="str">
        <f>IF([1]Sheet1!D422="","",[1]Sheet1!D422)</f>
        <v/>
      </c>
      <c r="E386" t="str">
        <f>IF([1]Sheet1!E422="","",[1]Sheet1!E422)</f>
        <v/>
      </c>
      <c r="F386" t="str">
        <f>IF([1]Sheet1!F422="","",[1]Sheet1!F422)</f>
        <v/>
      </c>
      <c r="G386" t="str">
        <f>IF([1]Sheet1!G422="","",[1]Sheet1!G422)</f>
        <v/>
      </c>
      <c r="H386" t="str">
        <f>IF([1]Sheet1!H422="","",[1]Sheet1!H422)</f>
        <v/>
      </c>
      <c r="I386" t="str">
        <f>IF([1]Sheet1!I422="","",[1]Sheet1!I422)</f>
        <v/>
      </c>
      <c r="J386" t="str">
        <f>IF([1]Sheet1!J422="","",[1]Sheet1!J422)</f>
        <v/>
      </c>
      <c r="K386" t="str">
        <f>IF([1]Sheet1!K422="","",[1]Sheet1!K422)</f>
        <v/>
      </c>
      <c r="L386" t="str">
        <f>IF([1]Sheet1!L422="","",[1]Sheet1!L422)</f>
        <v/>
      </c>
      <c r="M386" t="str">
        <f>IF([1]Sheet1!M422="","",[1]Sheet1!M422)</f>
        <v/>
      </c>
      <c r="N386" t="str">
        <f>IF([1]Sheet1!N422="","",[1]Sheet1!N422)</f>
        <v/>
      </c>
      <c r="O386" t="str">
        <f>IF([1]Sheet1!O422="","",[1]Sheet1!O422)</f>
        <v/>
      </c>
      <c r="P386" t="str">
        <f>IF([1]Sheet1!P422="","",[1]Sheet1!P422)</f>
        <v/>
      </c>
    </row>
    <row r="387" spans="1:16" x14ac:dyDescent="0.25">
      <c r="A387" t="str">
        <f>IF([1]Sheet1!A423="","",[1]Sheet1!A423)</f>
        <v/>
      </c>
      <c r="B387" t="str">
        <f>IF([1]Sheet1!B423="","",[1]Sheet1!B423)</f>
        <v/>
      </c>
      <c r="C387" t="str">
        <f>IF([1]Sheet1!C423="","",[1]Sheet1!C423)</f>
        <v/>
      </c>
      <c r="D387" t="str">
        <f>IF([1]Sheet1!D423="","",[1]Sheet1!D423)</f>
        <v/>
      </c>
      <c r="E387" t="str">
        <f>IF([1]Sheet1!E423="","",[1]Sheet1!E423)</f>
        <v/>
      </c>
      <c r="F387" t="str">
        <f>IF([1]Sheet1!F423="","",[1]Sheet1!F423)</f>
        <v/>
      </c>
      <c r="G387" t="str">
        <f>IF([1]Sheet1!G423="","",[1]Sheet1!G423)</f>
        <v/>
      </c>
      <c r="H387" t="str">
        <f>IF([1]Sheet1!H423="","",[1]Sheet1!H423)</f>
        <v/>
      </c>
      <c r="I387" t="str">
        <f>IF([1]Sheet1!I423="","",[1]Sheet1!I423)</f>
        <v/>
      </c>
      <c r="J387" t="str">
        <f>IF([1]Sheet1!J423="","",[1]Sheet1!J423)</f>
        <v/>
      </c>
      <c r="K387" t="str">
        <f>IF([1]Sheet1!K423="","",[1]Sheet1!K423)</f>
        <v/>
      </c>
      <c r="L387" t="str">
        <f>IF([1]Sheet1!L423="","",[1]Sheet1!L423)</f>
        <v/>
      </c>
      <c r="M387" t="str">
        <f>IF([1]Sheet1!M423="","",[1]Sheet1!M423)</f>
        <v/>
      </c>
      <c r="N387" t="str">
        <f>IF([1]Sheet1!N423="","",[1]Sheet1!N423)</f>
        <v/>
      </c>
      <c r="O387" t="str">
        <f>IF([1]Sheet1!O423="","",[1]Sheet1!O423)</f>
        <v/>
      </c>
      <c r="P387" t="str">
        <f>IF([1]Sheet1!P423="","",[1]Sheet1!P423)</f>
        <v/>
      </c>
    </row>
    <row r="388" spans="1:16" x14ac:dyDescent="0.25">
      <c r="A388" t="str">
        <f>IF([1]Sheet1!A424="","",[1]Sheet1!A424)</f>
        <v/>
      </c>
      <c r="B388" t="str">
        <f>IF([1]Sheet1!B424="","",[1]Sheet1!B424)</f>
        <v/>
      </c>
      <c r="C388" t="str">
        <f>IF([1]Sheet1!C424="","",[1]Sheet1!C424)</f>
        <v/>
      </c>
      <c r="D388" t="str">
        <f>IF([1]Sheet1!D424="","",[1]Sheet1!D424)</f>
        <v/>
      </c>
      <c r="E388" t="str">
        <f>IF([1]Sheet1!E424="","",[1]Sheet1!E424)</f>
        <v/>
      </c>
      <c r="F388" t="str">
        <f>IF([1]Sheet1!F424="","",[1]Sheet1!F424)</f>
        <v/>
      </c>
      <c r="G388" t="str">
        <f>IF([1]Sheet1!G424="","",[1]Sheet1!G424)</f>
        <v/>
      </c>
      <c r="H388" t="str">
        <f>IF([1]Sheet1!H424="","",[1]Sheet1!H424)</f>
        <v/>
      </c>
      <c r="I388" t="str">
        <f>IF([1]Sheet1!I424="","",[1]Sheet1!I424)</f>
        <v/>
      </c>
      <c r="J388" t="str">
        <f>IF([1]Sheet1!J424="","",[1]Sheet1!J424)</f>
        <v/>
      </c>
      <c r="K388" t="str">
        <f>IF([1]Sheet1!K424="","",[1]Sheet1!K424)</f>
        <v/>
      </c>
      <c r="L388" t="str">
        <f>IF([1]Sheet1!L424="","",[1]Sheet1!L424)</f>
        <v/>
      </c>
      <c r="M388" t="str">
        <f>IF([1]Sheet1!M424="","",[1]Sheet1!M424)</f>
        <v/>
      </c>
      <c r="N388" t="str">
        <f>IF([1]Sheet1!N424="","",[1]Sheet1!N424)</f>
        <v/>
      </c>
      <c r="O388" t="str">
        <f>IF([1]Sheet1!O424="","",[1]Sheet1!O424)</f>
        <v/>
      </c>
      <c r="P388" t="str">
        <f>IF([1]Sheet1!P424="","",[1]Sheet1!P424)</f>
        <v/>
      </c>
    </row>
    <row r="389" spans="1:16" x14ac:dyDescent="0.25">
      <c r="A389" t="str">
        <f>IF([1]Sheet1!A425="","",[1]Sheet1!A425)</f>
        <v/>
      </c>
      <c r="B389" t="str">
        <f>IF([1]Sheet1!B425="","",[1]Sheet1!B425)</f>
        <v/>
      </c>
      <c r="C389" t="str">
        <f>IF([1]Sheet1!C425="","",[1]Sheet1!C425)</f>
        <v/>
      </c>
      <c r="D389" t="str">
        <f>IF([1]Sheet1!D425="","",[1]Sheet1!D425)</f>
        <v/>
      </c>
      <c r="E389" t="str">
        <f>IF([1]Sheet1!E425="","",[1]Sheet1!E425)</f>
        <v/>
      </c>
      <c r="F389" t="str">
        <f>IF([1]Sheet1!F425="","",[1]Sheet1!F425)</f>
        <v/>
      </c>
      <c r="G389" t="str">
        <f>IF([1]Sheet1!G425="","",[1]Sheet1!G425)</f>
        <v/>
      </c>
      <c r="H389" t="str">
        <f>IF([1]Sheet1!H425="","",[1]Sheet1!H425)</f>
        <v/>
      </c>
      <c r="I389" t="str">
        <f>IF([1]Sheet1!I425="","",[1]Sheet1!I425)</f>
        <v/>
      </c>
      <c r="J389" t="str">
        <f>IF([1]Sheet1!J425="","",[1]Sheet1!J425)</f>
        <v/>
      </c>
      <c r="K389" t="str">
        <f>IF([1]Sheet1!K425="","",[1]Sheet1!K425)</f>
        <v/>
      </c>
      <c r="L389" t="str">
        <f>IF([1]Sheet1!L425="","",[1]Sheet1!L425)</f>
        <v/>
      </c>
      <c r="M389" t="str">
        <f>IF([1]Sheet1!M425="","",[1]Sheet1!M425)</f>
        <v/>
      </c>
      <c r="N389" t="str">
        <f>IF([1]Sheet1!N425="","",[1]Sheet1!N425)</f>
        <v/>
      </c>
      <c r="O389" t="str">
        <f>IF([1]Sheet1!O425="","",[1]Sheet1!O425)</f>
        <v/>
      </c>
      <c r="P389" t="str">
        <f>IF([1]Sheet1!P425="","",[1]Sheet1!P425)</f>
        <v/>
      </c>
    </row>
    <row r="390" spans="1:16" x14ac:dyDescent="0.25">
      <c r="A390" t="str">
        <f>IF([1]Sheet1!A426="","",[1]Sheet1!A426)</f>
        <v/>
      </c>
      <c r="B390" t="str">
        <f>IF([1]Sheet1!B426="","",[1]Sheet1!B426)</f>
        <v/>
      </c>
      <c r="C390" t="str">
        <f>IF([1]Sheet1!C426="","",[1]Sheet1!C426)</f>
        <v/>
      </c>
      <c r="D390" t="str">
        <f>IF([1]Sheet1!D426="","",[1]Sheet1!D426)</f>
        <v/>
      </c>
      <c r="E390" t="str">
        <f>IF([1]Sheet1!E426="","",[1]Sheet1!E426)</f>
        <v/>
      </c>
      <c r="F390" t="str">
        <f>IF([1]Sheet1!F426="","",[1]Sheet1!F426)</f>
        <v/>
      </c>
      <c r="G390" t="str">
        <f>IF([1]Sheet1!G426="","",[1]Sheet1!G426)</f>
        <v/>
      </c>
      <c r="H390" t="str">
        <f>IF([1]Sheet1!H426="","",[1]Sheet1!H426)</f>
        <v/>
      </c>
      <c r="I390" t="str">
        <f>IF([1]Sheet1!I426="","",[1]Sheet1!I426)</f>
        <v/>
      </c>
      <c r="J390" t="str">
        <f>IF([1]Sheet1!J426="","",[1]Sheet1!J426)</f>
        <v/>
      </c>
      <c r="K390" t="str">
        <f>IF([1]Sheet1!K426="","",[1]Sheet1!K426)</f>
        <v/>
      </c>
      <c r="L390" t="str">
        <f>IF([1]Sheet1!L426="","",[1]Sheet1!L426)</f>
        <v/>
      </c>
      <c r="M390" t="str">
        <f>IF([1]Sheet1!M426="","",[1]Sheet1!M426)</f>
        <v/>
      </c>
      <c r="N390" t="str">
        <f>IF([1]Sheet1!N426="","",[1]Sheet1!N426)</f>
        <v/>
      </c>
      <c r="O390" t="str">
        <f>IF([1]Sheet1!O426="","",[1]Sheet1!O426)</f>
        <v/>
      </c>
      <c r="P390" t="str">
        <f>IF([1]Sheet1!P426="","",[1]Sheet1!P426)</f>
        <v/>
      </c>
    </row>
    <row r="391" spans="1:16" x14ac:dyDescent="0.25">
      <c r="A391" t="str">
        <f>IF([1]Sheet1!A427="","",[1]Sheet1!A427)</f>
        <v/>
      </c>
      <c r="B391" t="str">
        <f>IF([1]Sheet1!B427="","",[1]Sheet1!B427)</f>
        <v/>
      </c>
      <c r="C391" t="str">
        <f>IF([1]Sheet1!C427="","",[1]Sheet1!C427)</f>
        <v/>
      </c>
      <c r="D391" t="str">
        <f>IF([1]Sheet1!D427="","",[1]Sheet1!D427)</f>
        <v/>
      </c>
      <c r="E391" t="str">
        <f>IF([1]Sheet1!E427="","",[1]Sheet1!E427)</f>
        <v/>
      </c>
      <c r="F391" t="str">
        <f>IF([1]Sheet1!F427="","",[1]Sheet1!F427)</f>
        <v/>
      </c>
      <c r="G391" t="str">
        <f>IF([1]Sheet1!G427="","",[1]Sheet1!G427)</f>
        <v/>
      </c>
      <c r="H391" t="str">
        <f>IF([1]Sheet1!H427="","",[1]Sheet1!H427)</f>
        <v/>
      </c>
      <c r="I391" t="str">
        <f>IF([1]Sheet1!I427="","",[1]Sheet1!I427)</f>
        <v/>
      </c>
      <c r="J391" t="str">
        <f>IF([1]Sheet1!J427="","",[1]Sheet1!J427)</f>
        <v/>
      </c>
      <c r="K391" t="str">
        <f>IF([1]Sheet1!K427="","",[1]Sheet1!K427)</f>
        <v/>
      </c>
      <c r="L391" t="str">
        <f>IF([1]Sheet1!L427="","",[1]Sheet1!L427)</f>
        <v/>
      </c>
      <c r="M391" t="str">
        <f>IF([1]Sheet1!M427="","",[1]Sheet1!M427)</f>
        <v/>
      </c>
      <c r="N391" t="str">
        <f>IF([1]Sheet1!N427="","",[1]Sheet1!N427)</f>
        <v/>
      </c>
      <c r="O391" t="str">
        <f>IF([1]Sheet1!O427="","",[1]Sheet1!O427)</f>
        <v/>
      </c>
      <c r="P391" t="str">
        <f>IF([1]Sheet1!P427="","",[1]Sheet1!P427)</f>
        <v/>
      </c>
    </row>
    <row r="392" spans="1:16" x14ac:dyDescent="0.25">
      <c r="A392" t="str">
        <f>IF([1]Sheet1!A428="","",[1]Sheet1!A428)</f>
        <v/>
      </c>
      <c r="B392" t="str">
        <f>IF([1]Sheet1!B428="","",[1]Sheet1!B428)</f>
        <v/>
      </c>
      <c r="C392" t="str">
        <f>IF([1]Sheet1!C428="","",[1]Sheet1!C428)</f>
        <v/>
      </c>
      <c r="D392" t="str">
        <f>IF([1]Sheet1!D428="","",[1]Sheet1!D428)</f>
        <v/>
      </c>
      <c r="E392" t="str">
        <f>IF([1]Sheet1!E428="","",[1]Sheet1!E428)</f>
        <v/>
      </c>
      <c r="F392" t="str">
        <f>IF([1]Sheet1!F428="","",[1]Sheet1!F428)</f>
        <v/>
      </c>
      <c r="G392" t="str">
        <f>IF([1]Sheet1!G428="","",[1]Sheet1!G428)</f>
        <v/>
      </c>
      <c r="H392" t="str">
        <f>IF([1]Sheet1!H428="","",[1]Sheet1!H428)</f>
        <v/>
      </c>
      <c r="I392" t="str">
        <f>IF([1]Sheet1!I428="","",[1]Sheet1!I428)</f>
        <v/>
      </c>
      <c r="J392" t="str">
        <f>IF([1]Sheet1!J428="","",[1]Sheet1!J428)</f>
        <v/>
      </c>
      <c r="K392" t="str">
        <f>IF([1]Sheet1!K428="","",[1]Sheet1!K428)</f>
        <v/>
      </c>
      <c r="L392" t="str">
        <f>IF([1]Sheet1!L428="","",[1]Sheet1!L428)</f>
        <v/>
      </c>
      <c r="M392" t="str">
        <f>IF([1]Sheet1!M428="","",[1]Sheet1!M428)</f>
        <v/>
      </c>
      <c r="N392" t="str">
        <f>IF([1]Sheet1!N428="","",[1]Sheet1!N428)</f>
        <v/>
      </c>
      <c r="O392" t="str">
        <f>IF([1]Sheet1!O428="","",[1]Sheet1!O428)</f>
        <v/>
      </c>
      <c r="P392" t="str">
        <f>IF([1]Sheet1!P428="","",[1]Sheet1!P428)</f>
        <v/>
      </c>
    </row>
    <row r="393" spans="1:16" x14ac:dyDescent="0.25">
      <c r="A393" t="str">
        <f>IF([1]Sheet1!A429="","",[1]Sheet1!A429)</f>
        <v/>
      </c>
      <c r="B393" t="str">
        <f>IF([1]Sheet1!B429="","",[1]Sheet1!B429)</f>
        <v/>
      </c>
      <c r="C393" t="str">
        <f>IF([1]Sheet1!C429="","",[1]Sheet1!C429)</f>
        <v/>
      </c>
      <c r="D393" t="str">
        <f>IF([1]Sheet1!D429="","",[1]Sheet1!D429)</f>
        <v/>
      </c>
      <c r="E393" t="str">
        <f>IF([1]Sheet1!E429="","",[1]Sheet1!E429)</f>
        <v/>
      </c>
      <c r="F393" t="str">
        <f>IF([1]Sheet1!F429="","",[1]Sheet1!F429)</f>
        <v/>
      </c>
      <c r="G393" t="str">
        <f>IF([1]Sheet1!G429="","",[1]Sheet1!G429)</f>
        <v/>
      </c>
      <c r="H393" t="str">
        <f>IF([1]Sheet1!H429="","",[1]Sheet1!H429)</f>
        <v/>
      </c>
      <c r="I393" t="str">
        <f>IF([1]Sheet1!I429="","",[1]Sheet1!I429)</f>
        <v/>
      </c>
      <c r="J393" t="str">
        <f>IF([1]Sheet1!J429="","",[1]Sheet1!J429)</f>
        <v/>
      </c>
      <c r="K393" t="str">
        <f>IF([1]Sheet1!K429="","",[1]Sheet1!K429)</f>
        <v/>
      </c>
      <c r="L393" t="str">
        <f>IF([1]Sheet1!L429="","",[1]Sheet1!L429)</f>
        <v/>
      </c>
      <c r="M393" t="str">
        <f>IF([1]Sheet1!M429="","",[1]Sheet1!M429)</f>
        <v/>
      </c>
      <c r="N393" t="str">
        <f>IF([1]Sheet1!N429="","",[1]Sheet1!N429)</f>
        <v/>
      </c>
      <c r="O393" t="str">
        <f>IF([1]Sheet1!O429="","",[1]Sheet1!O429)</f>
        <v/>
      </c>
      <c r="P393" t="str">
        <f>IF([1]Sheet1!P429="","",[1]Sheet1!P429)</f>
        <v/>
      </c>
    </row>
    <row r="394" spans="1:16" x14ac:dyDescent="0.25">
      <c r="A394" t="str">
        <f>IF([1]Sheet1!A430="","",[1]Sheet1!A430)</f>
        <v/>
      </c>
      <c r="B394" t="str">
        <f>IF([1]Sheet1!B430="","",[1]Sheet1!B430)</f>
        <v/>
      </c>
      <c r="C394" t="str">
        <f>IF([1]Sheet1!C430="","",[1]Sheet1!C430)</f>
        <v/>
      </c>
      <c r="D394" t="str">
        <f>IF([1]Sheet1!D430="","",[1]Sheet1!D430)</f>
        <v/>
      </c>
      <c r="E394" t="str">
        <f>IF([1]Sheet1!E430="","",[1]Sheet1!E430)</f>
        <v/>
      </c>
      <c r="F394" t="str">
        <f>IF([1]Sheet1!F430="","",[1]Sheet1!F430)</f>
        <v/>
      </c>
      <c r="G394" t="str">
        <f>IF([1]Sheet1!G430="","",[1]Sheet1!G430)</f>
        <v/>
      </c>
      <c r="H394" t="str">
        <f>IF([1]Sheet1!H430="","",[1]Sheet1!H430)</f>
        <v/>
      </c>
      <c r="I394" t="str">
        <f>IF([1]Sheet1!I430="","",[1]Sheet1!I430)</f>
        <v/>
      </c>
      <c r="J394" t="str">
        <f>IF([1]Sheet1!J430="","",[1]Sheet1!J430)</f>
        <v/>
      </c>
      <c r="K394" t="str">
        <f>IF([1]Sheet1!K430="","",[1]Sheet1!K430)</f>
        <v/>
      </c>
      <c r="L394" t="str">
        <f>IF([1]Sheet1!L430="","",[1]Sheet1!L430)</f>
        <v/>
      </c>
      <c r="M394" t="str">
        <f>IF([1]Sheet1!M430="","",[1]Sheet1!M430)</f>
        <v/>
      </c>
      <c r="N394" t="str">
        <f>IF([1]Sheet1!N430="","",[1]Sheet1!N430)</f>
        <v/>
      </c>
      <c r="O394" t="str">
        <f>IF([1]Sheet1!O430="","",[1]Sheet1!O430)</f>
        <v/>
      </c>
      <c r="P394" t="str">
        <f>IF([1]Sheet1!P430="","",[1]Sheet1!P430)</f>
        <v/>
      </c>
    </row>
    <row r="395" spans="1:16" x14ac:dyDescent="0.25">
      <c r="A395" t="str">
        <f>IF([1]Sheet1!A431="","",[1]Sheet1!A431)</f>
        <v/>
      </c>
      <c r="B395" t="str">
        <f>IF([1]Sheet1!B431="","",[1]Sheet1!B431)</f>
        <v/>
      </c>
      <c r="C395" t="str">
        <f>IF([1]Sheet1!C431="","",[1]Sheet1!C431)</f>
        <v/>
      </c>
      <c r="D395" t="str">
        <f>IF([1]Sheet1!D431="","",[1]Sheet1!D431)</f>
        <v/>
      </c>
      <c r="E395" t="str">
        <f>IF([1]Sheet1!E431="","",[1]Sheet1!E431)</f>
        <v/>
      </c>
      <c r="F395" t="str">
        <f>IF([1]Sheet1!F431="","",[1]Sheet1!F431)</f>
        <v/>
      </c>
      <c r="G395" t="str">
        <f>IF([1]Sheet1!G431="","",[1]Sheet1!G431)</f>
        <v/>
      </c>
      <c r="H395" t="str">
        <f>IF([1]Sheet1!H431="","",[1]Sheet1!H431)</f>
        <v/>
      </c>
      <c r="I395" t="str">
        <f>IF([1]Sheet1!I431="","",[1]Sheet1!I431)</f>
        <v/>
      </c>
      <c r="J395" t="str">
        <f>IF([1]Sheet1!J431="","",[1]Sheet1!J431)</f>
        <v/>
      </c>
      <c r="K395" t="str">
        <f>IF([1]Sheet1!K431="","",[1]Sheet1!K431)</f>
        <v/>
      </c>
      <c r="L395" t="str">
        <f>IF([1]Sheet1!L431="","",[1]Sheet1!L431)</f>
        <v/>
      </c>
      <c r="M395" t="str">
        <f>IF([1]Sheet1!M431="","",[1]Sheet1!M431)</f>
        <v/>
      </c>
      <c r="N395" t="str">
        <f>IF([1]Sheet1!N431="","",[1]Sheet1!N431)</f>
        <v/>
      </c>
      <c r="O395" t="str">
        <f>IF([1]Sheet1!O431="","",[1]Sheet1!O431)</f>
        <v/>
      </c>
      <c r="P395" t="str">
        <f>IF([1]Sheet1!P431="","",[1]Sheet1!P431)</f>
        <v/>
      </c>
    </row>
    <row r="396" spans="1:16" x14ac:dyDescent="0.25">
      <c r="A396" t="str">
        <f>IF([1]Sheet1!A432="","",[1]Sheet1!A432)</f>
        <v/>
      </c>
      <c r="B396" t="str">
        <f>IF([1]Sheet1!B432="","",[1]Sheet1!B432)</f>
        <v/>
      </c>
      <c r="C396" t="str">
        <f>IF([1]Sheet1!C432="","",[1]Sheet1!C432)</f>
        <v/>
      </c>
      <c r="D396" t="str">
        <f>IF([1]Sheet1!D432="","",[1]Sheet1!D432)</f>
        <v/>
      </c>
      <c r="E396" t="str">
        <f>IF([1]Sheet1!E432="","",[1]Sheet1!E432)</f>
        <v/>
      </c>
      <c r="F396" t="str">
        <f>IF([1]Sheet1!F432="","",[1]Sheet1!F432)</f>
        <v/>
      </c>
      <c r="G396" t="str">
        <f>IF([1]Sheet1!G432="","",[1]Sheet1!G432)</f>
        <v/>
      </c>
      <c r="H396" t="str">
        <f>IF([1]Sheet1!H432="","",[1]Sheet1!H432)</f>
        <v/>
      </c>
      <c r="I396" t="str">
        <f>IF([1]Sheet1!I432="","",[1]Sheet1!I432)</f>
        <v/>
      </c>
      <c r="J396" t="str">
        <f>IF([1]Sheet1!J432="","",[1]Sheet1!J432)</f>
        <v/>
      </c>
      <c r="K396" t="str">
        <f>IF([1]Sheet1!K432="","",[1]Sheet1!K432)</f>
        <v/>
      </c>
      <c r="L396" t="str">
        <f>IF([1]Sheet1!L432="","",[1]Sheet1!L432)</f>
        <v/>
      </c>
      <c r="M396" t="str">
        <f>IF([1]Sheet1!M432="","",[1]Sheet1!M432)</f>
        <v/>
      </c>
      <c r="N396" t="str">
        <f>IF([1]Sheet1!N432="","",[1]Sheet1!N432)</f>
        <v/>
      </c>
      <c r="O396" t="str">
        <f>IF([1]Sheet1!O432="","",[1]Sheet1!O432)</f>
        <v/>
      </c>
      <c r="P396" t="str">
        <f>IF([1]Sheet1!P432="","",[1]Sheet1!P432)</f>
        <v/>
      </c>
    </row>
    <row r="397" spans="1:16" x14ac:dyDescent="0.25">
      <c r="A397" t="str">
        <f>IF([1]Sheet1!A433="","",[1]Sheet1!A433)</f>
        <v/>
      </c>
      <c r="B397" t="str">
        <f>IF([1]Sheet1!B433="","",[1]Sheet1!B433)</f>
        <v/>
      </c>
      <c r="C397" t="str">
        <f>IF([1]Sheet1!C433="","",[1]Sheet1!C433)</f>
        <v/>
      </c>
      <c r="D397" t="str">
        <f>IF([1]Sheet1!D433="","",[1]Sheet1!D433)</f>
        <v/>
      </c>
      <c r="E397" t="str">
        <f>IF([1]Sheet1!E433="","",[1]Sheet1!E433)</f>
        <v/>
      </c>
      <c r="F397" t="str">
        <f>IF([1]Sheet1!F433="","",[1]Sheet1!F433)</f>
        <v/>
      </c>
      <c r="G397" t="str">
        <f>IF([1]Sheet1!G433="","",[1]Sheet1!G433)</f>
        <v/>
      </c>
      <c r="H397" t="str">
        <f>IF([1]Sheet1!H433="","",[1]Sheet1!H433)</f>
        <v/>
      </c>
      <c r="I397" t="str">
        <f>IF([1]Sheet1!I433="","",[1]Sheet1!I433)</f>
        <v/>
      </c>
      <c r="J397" t="str">
        <f>IF([1]Sheet1!J433="","",[1]Sheet1!J433)</f>
        <v/>
      </c>
      <c r="K397" t="str">
        <f>IF([1]Sheet1!K433="","",[1]Sheet1!K433)</f>
        <v/>
      </c>
      <c r="L397" t="str">
        <f>IF([1]Sheet1!L433="","",[1]Sheet1!L433)</f>
        <v/>
      </c>
      <c r="M397" t="str">
        <f>IF([1]Sheet1!M433="","",[1]Sheet1!M433)</f>
        <v/>
      </c>
      <c r="N397" t="str">
        <f>IF([1]Sheet1!N433="","",[1]Sheet1!N433)</f>
        <v/>
      </c>
      <c r="O397" t="str">
        <f>IF([1]Sheet1!O433="","",[1]Sheet1!O433)</f>
        <v/>
      </c>
      <c r="P397" t="str">
        <f>IF([1]Sheet1!P433="","",[1]Sheet1!P433)</f>
        <v/>
      </c>
    </row>
    <row r="398" spans="1:16" x14ac:dyDescent="0.25">
      <c r="A398" t="str">
        <f>IF([1]Sheet1!A434="","",[1]Sheet1!A434)</f>
        <v/>
      </c>
      <c r="B398" t="str">
        <f>IF([1]Sheet1!B434="","",[1]Sheet1!B434)</f>
        <v/>
      </c>
      <c r="C398" t="str">
        <f>IF([1]Sheet1!C434="","",[1]Sheet1!C434)</f>
        <v/>
      </c>
      <c r="D398" t="str">
        <f>IF([1]Sheet1!D434="","",[1]Sheet1!D434)</f>
        <v/>
      </c>
      <c r="E398" t="str">
        <f>IF([1]Sheet1!E434="","",[1]Sheet1!E434)</f>
        <v/>
      </c>
      <c r="F398" t="str">
        <f>IF([1]Sheet1!F434="","",[1]Sheet1!F434)</f>
        <v/>
      </c>
      <c r="G398" t="str">
        <f>IF([1]Sheet1!G434="","",[1]Sheet1!G434)</f>
        <v/>
      </c>
      <c r="H398" t="str">
        <f>IF([1]Sheet1!H434="","",[1]Sheet1!H434)</f>
        <v/>
      </c>
      <c r="I398" t="str">
        <f>IF([1]Sheet1!I434="","",[1]Sheet1!I434)</f>
        <v/>
      </c>
      <c r="J398" t="str">
        <f>IF([1]Sheet1!J434="","",[1]Sheet1!J434)</f>
        <v/>
      </c>
      <c r="K398" t="str">
        <f>IF([1]Sheet1!K434="","",[1]Sheet1!K434)</f>
        <v/>
      </c>
      <c r="L398" t="str">
        <f>IF([1]Sheet1!L434="","",[1]Sheet1!L434)</f>
        <v/>
      </c>
      <c r="M398" t="str">
        <f>IF([1]Sheet1!M434="","",[1]Sheet1!M434)</f>
        <v/>
      </c>
      <c r="N398" t="str">
        <f>IF([1]Sheet1!N434="","",[1]Sheet1!N434)</f>
        <v/>
      </c>
      <c r="O398" t="str">
        <f>IF([1]Sheet1!O434="","",[1]Sheet1!O434)</f>
        <v/>
      </c>
      <c r="P398" t="str">
        <f>IF([1]Sheet1!P434="","",[1]Sheet1!P434)</f>
        <v/>
      </c>
    </row>
    <row r="399" spans="1:16" x14ac:dyDescent="0.25">
      <c r="A399" t="str">
        <f>IF([1]Sheet1!A435="","",[1]Sheet1!A435)</f>
        <v/>
      </c>
      <c r="B399" t="str">
        <f>IF([1]Sheet1!B435="","",[1]Sheet1!B435)</f>
        <v/>
      </c>
      <c r="C399" t="str">
        <f>IF([1]Sheet1!C435="","",[1]Sheet1!C435)</f>
        <v/>
      </c>
      <c r="D399" t="str">
        <f>IF([1]Sheet1!D435="","",[1]Sheet1!D435)</f>
        <v/>
      </c>
      <c r="E399" t="str">
        <f>IF([1]Sheet1!E435="","",[1]Sheet1!E435)</f>
        <v/>
      </c>
      <c r="F399" t="str">
        <f>IF([1]Sheet1!F435="","",[1]Sheet1!F435)</f>
        <v/>
      </c>
      <c r="G399" t="str">
        <f>IF([1]Sheet1!G435="","",[1]Sheet1!G435)</f>
        <v/>
      </c>
      <c r="H399" t="str">
        <f>IF([1]Sheet1!H435="","",[1]Sheet1!H435)</f>
        <v/>
      </c>
      <c r="I399" t="str">
        <f>IF([1]Sheet1!I435="","",[1]Sheet1!I435)</f>
        <v/>
      </c>
      <c r="J399" t="str">
        <f>IF([1]Sheet1!J435="","",[1]Sheet1!J435)</f>
        <v/>
      </c>
      <c r="K399" t="str">
        <f>IF([1]Sheet1!K435="","",[1]Sheet1!K435)</f>
        <v/>
      </c>
      <c r="L399" t="str">
        <f>IF([1]Sheet1!L435="","",[1]Sheet1!L435)</f>
        <v/>
      </c>
      <c r="M399" t="str">
        <f>IF([1]Sheet1!M435="","",[1]Sheet1!M435)</f>
        <v/>
      </c>
      <c r="N399" t="str">
        <f>IF([1]Sheet1!N435="","",[1]Sheet1!N435)</f>
        <v/>
      </c>
      <c r="O399" t="str">
        <f>IF([1]Sheet1!O435="","",[1]Sheet1!O435)</f>
        <v/>
      </c>
      <c r="P399" t="str">
        <f>IF([1]Sheet1!P435="","",[1]Sheet1!P435)</f>
        <v/>
      </c>
    </row>
    <row r="400" spans="1:16" x14ac:dyDescent="0.25">
      <c r="A400" t="str">
        <f>IF([1]Sheet1!A436="","",[1]Sheet1!A436)</f>
        <v/>
      </c>
      <c r="B400" t="str">
        <f>IF([1]Sheet1!B436="","",[1]Sheet1!B436)</f>
        <v/>
      </c>
      <c r="C400" t="str">
        <f>IF([1]Sheet1!C436="","",[1]Sheet1!C436)</f>
        <v/>
      </c>
      <c r="D400" t="str">
        <f>IF([1]Sheet1!D436="","",[1]Sheet1!D436)</f>
        <v/>
      </c>
      <c r="E400" t="str">
        <f>IF([1]Sheet1!E436="","",[1]Sheet1!E436)</f>
        <v/>
      </c>
      <c r="F400" t="str">
        <f>IF([1]Sheet1!F436="","",[1]Sheet1!F436)</f>
        <v/>
      </c>
      <c r="G400" t="str">
        <f>IF([1]Sheet1!G436="","",[1]Sheet1!G436)</f>
        <v/>
      </c>
      <c r="H400" t="str">
        <f>IF([1]Sheet1!H436="","",[1]Sheet1!H436)</f>
        <v/>
      </c>
      <c r="I400" t="str">
        <f>IF([1]Sheet1!I436="","",[1]Sheet1!I436)</f>
        <v/>
      </c>
      <c r="J400" t="str">
        <f>IF([1]Sheet1!J436="","",[1]Sheet1!J436)</f>
        <v/>
      </c>
      <c r="K400" t="str">
        <f>IF([1]Sheet1!K436="","",[1]Sheet1!K436)</f>
        <v/>
      </c>
      <c r="L400" t="str">
        <f>IF([1]Sheet1!L436="","",[1]Sheet1!L436)</f>
        <v/>
      </c>
      <c r="M400" t="str">
        <f>IF([1]Sheet1!M436="","",[1]Sheet1!M436)</f>
        <v/>
      </c>
      <c r="N400" t="str">
        <f>IF([1]Sheet1!N436="","",[1]Sheet1!N436)</f>
        <v/>
      </c>
      <c r="O400" t="str">
        <f>IF([1]Sheet1!O436="","",[1]Sheet1!O436)</f>
        <v/>
      </c>
      <c r="P400" t="str">
        <f>IF([1]Sheet1!P436="","",[1]Sheet1!P436)</f>
        <v/>
      </c>
    </row>
    <row r="401" spans="1:16" x14ac:dyDescent="0.25">
      <c r="A401" t="str">
        <f>IF([1]Sheet1!A437="","",[1]Sheet1!A437)</f>
        <v/>
      </c>
      <c r="B401" t="str">
        <f>IF([1]Sheet1!B437="","",[1]Sheet1!B437)</f>
        <v/>
      </c>
      <c r="C401" t="str">
        <f>IF([1]Sheet1!C437="","",[1]Sheet1!C437)</f>
        <v/>
      </c>
      <c r="D401" t="str">
        <f>IF([1]Sheet1!D437="","",[1]Sheet1!D437)</f>
        <v/>
      </c>
      <c r="E401" t="str">
        <f>IF([1]Sheet1!E437="","",[1]Sheet1!E437)</f>
        <v/>
      </c>
      <c r="F401" t="str">
        <f>IF([1]Sheet1!F437="","",[1]Sheet1!F437)</f>
        <v/>
      </c>
      <c r="G401" t="str">
        <f>IF([1]Sheet1!G437="","",[1]Sheet1!G437)</f>
        <v/>
      </c>
      <c r="H401" t="str">
        <f>IF([1]Sheet1!H437="","",[1]Sheet1!H437)</f>
        <v/>
      </c>
      <c r="I401" t="str">
        <f>IF([1]Sheet1!I437="","",[1]Sheet1!I437)</f>
        <v/>
      </c>
      <c r="J401" t="str">
        <f>IF([1]Sheet1!J437="","",[1]Sheet1!J437)</f>
        <v/>
      </c>
      <c r="K401" t="str">
        <f>IF([1]Sheet1!K437="","",[1]Sheet1!K437)</f>
        <v/>
      </c>
      <c r="L401" t="str">
        <f>IF([1]Sheet1!L437="","",[1]Sheet1!L437)</f>
        <v/>
      </c>
      <c r="M401" t="str">
        <f>IF([1]Sheet1!M437="","",[1]Sheet1!M437)</f>
        <v/>
      </c>
      <c r="N401" t="str">
        <f>IF([1]Sheet1!N437="","",[1]Sheet1!N437)</f>
        <v/>
      </c>
      <c r="O401" t="str">
        <f>IF([1]Sheet1!O437="","",[1]Sheet1!O437)</f>
        <v/>
      </c>
      <c r="P401" t="str">
        <f>IF([1]Sheet1!P437="","",[1]Sheet1!P437)</f>
        <v/>
      </c>
    </row>
    <row r="402" spans="1:16" x14ac:dyDescent="0.25">
      <c r="A402" t="str">
        <f>IF([1]Sheet1!A438="","",[1]Sheet1!A438)</f>
        <v/>
      </c>
      <c r="B402" t="str">
        <f>IF([1]Sheet1!B438="","",[1]Sheet1!B438)</f>
        <v/>
      </c>
      <c r="C402" t="str">
        <f>IF([1]Sheet1!C438="","",[1]Sheet1!C438)</f>
        <v/>
      </c>
      <c r="D402" t="str">
        <f>IF([1]Sheet1!D438="","",[1]Sheet1!D438)</f>
        <v/>
      </c>
      <c r="E402" t="str">
        <f>IF([1]Sheet1!E438="","",[1]Sheet1!E438)</f>
        <v/>
      </c>
      <c r="F402" t="str">
        <f>IF([1]Sheet1!F438="","",[1]Sheet1!F438)</f>
        <v/>
      </c>
      <c r="G402" t="str">
        <f>IF([1]Sheet1!G438="","",[1]Sheet1!G438)</f>
        <v/>
      </c>
      <c r="H402" t="str">
        <f>IF([1]Sheet1!H438="","",[1]Sheet1!H438)</f>
        <v/>
      </c>
      <c r="I402" t="str">
        <f>IF([1]Sheet1!I438="","",[1]Sheet1!I438)</f>
        <v/>
      </c>
      <c r="J402" t="str">
        <f>IF([1]Sheet1!J438="","",[1]Sheet1!J438)</f>
        <v/>
      </c>
      <c r="K402" t="str">
        <f>IF([1]Sheet1!K438="","",[1]Sheet1!K438)</f>
        <v/>
      </c>
      <c r="L402" t="str">
        <f>IF([1]Sheet1!L438="","",[1]Sheet1!L438)</f>
        <v/>
      </c>
      <c r="M402" t="str">
        <f>IF([1]Sheet1!M438="","",[1]Sheet1!M438)</f>
        <v/>
      </c>
      <c r="N402" t="str">
        <f>IF([1]Sheet1!N438="","",[1]Sheet1!N438)</f>
        <v/>
      </c>
      <c r="O402" t="str">
        <f>IF([1]Sheet1!O438="","",[1]Sheet1!O438)</f>
        <v/>
      </c>
      <c r="P402" t="str">
        <f>IF([1]Sheet1!P438="","",[1]Sheet1!P438)</f>
        <v/>
      </c>
    </row>
    <row r="403" spans="1:16" x14ac:dyDescent="0.25">
      <c r="A403" t="str">
        <f>IF([1]Sheet1!A439="","",[1]Sheet1!A439)</f>
        <v/>
      </c>
      <c r="B403" t="str">
        <f>IF([1]Sheet1!B439="","",[1]Sheet1!B439)</f>
        <v/>
      </c>
      <c r="C403" t="str">
        <f>IF([1]Sheet1!C439="","",[1]Sheet1!C439)</f>
        <v/>
      </c>
      <c r="D403" t="str">
        <f>IF([1]Sheet1!D439="","",[1]Sheet1!D439)</f>
        <v/>
      </c>
      <c r="E403" t="str">
        <f>IF([1]Sheet1!E439="","",[1]Sheet1!E439)</f>
        <v/>
      </c>
      <c r="F403" t="str">
        <f>IF([1]Sheet1!F439="","",[1]Sheet1!F439)</f>
        <v/>
      </c>
      <c r="G403" t="str">
        <f>IF([1]Sheet1!G439="","",[1]Sheet1!G439)</f>
        <v/>
      </c>
      <c r="H403" t="str">
        <f>IF([1]Sheet1!H439="","",[1]Sheet1!H439)</f>
        <v/>
      </c>
      <c r="I403" t="str">
        <f>IF([1]Sheet1!I439="","",[1]Sheet1!I439)</f>
        <v/>
      </c>
      <c r="J403" t="str">
        <f>IF([1]Sheet1!J439="","",[1]Sheet1!J439)</f>
        <v/>
      </c>
      <c r="K403" t="str">
        <f>IF([1]Sheet1!K439="","",[1]Sheet1!K439)</f>
        <v/>
      </c>
      <c r="L403" t="str">
        <f>IF([1]Sheet1!L439="","",[1]Sheet1!L439)</f>
        <v/>
      </c>
      <c r="M403" t="str">
        <f>IF([1]Sheet1!M439="","",[1]Sheet1!M439)</f>
        <v/>
      </c>
      <c r="N403" t="str">
        <f>IF([1]Sheet1!N439="","",[1]Sheet1!N439)</f>
        <v/>
      </c>
      <c r="O403" t="str">
        <f>IF([1]Sheet1!O439="","",[1]Sheet1!O439)</f>
        <v/>
      </c>
      <c r="P403" t="str">
        <f>IF([1]Sheet1!P439="","",[1]Sheet1!P439)</f>
        <v/>
      </c>
    </row>
    <row r="404" spans="1:16" x14ac:dyDescent="0.25">
      <c r="A404" t="str">
        <f>IF([1]Sheet1!A440="","",[1]Sheet1!A440)</f>
        <v/>
      </c>
      <c r="B404" t="str">
        <f>IF([1]Sheet1!B440="","",[1]Sheet1!B440)</f>
        <v/>
      </c>
      <c r="C404" t="str">
        <f>IF([1]Sheet1!C440="","",[1]Sheet1!C440)</f>
        <v/>
      </c>
      <c r="D404" t="str">
        <f>IF([1]Sheet1!D440="","",[1]Sheet1!D440)</f>
        <v/>
      </c>
      <c r="E404" t="str">
        <f>IF([1]Sheet1!E440="","",[1]Sheet1!E440)</f>
        <v/>
      </c>
      <c r="F404" t="str">
        <f>IF([1]Sheet1!F440="","",[1]Sheet1!F440)</f>
        <v/>
      </c>
      <c r="G404" t="str">
        <f>IF([1]Sheet1!G440="","",[1]Sheet1!G440)</f>
        <v/>
      </c>
      <c r="H404" t="str">
        <f>IF([1]Sheet1!H440="","",[1]Sheet1!H440)</f>
        <v/>
      </c>
      <c r="I404" t="str">
        <f>IF([1]Sheet1!I440="","",[1]Sheet1!I440)</f>
        <v/>
      </c>
      <c r="J404" t="str">
        <f>IF([1]Sheet1!J440="","",[1]Sheet1!J440)</f>
        <v/>
      </c>
      <c r="K404" t="str">
        <f>IF([1]Sheet1!K440="","",[1]Sheet1!K440)</f>
        <v/>
      </c>
      <c r="L404" t="str">
        <f>IF([1]Sheet1!L440="","",[1]Sheet1!L440)</f>
        <v/>
      </c>
      <c r="M404" t="str">
        <f>IF([1]Sheet1!M440="","",[1]Sheet1!M440)</f>
        <v/>
      </c>
      <c r="N404" t="str">
        <f>IF([1]Sheet1!N440="","",[1]Sheet1!N440)</f>
        <v/>
      </c>
      <c r="O404" t="str">
        <f>IF([1]Sheet1!O440="","",[1]Sheet1!O440)</f>
        <v/>
      </c>
      <c r="P404" t="str">
        <f>IF([1]Sheet1!P440="","",[1]Sheet1!P440)</f>
        <v/>
      </c>
    </row>
    <row r="405" spans="1:16" x14ac:dyDescent="0.25">
      <c r="A405" t="str">
        <f>IF([1]Sheet1!A441="","",[1]Sheet1!A441)</f>
        <v/>
      </c>
      <c r="B405" t="str">
        <f>IF([1]Sheet1!B441="","",[1]Sheet1!B441)</f>
        <v/>
      </c>
      <c r="C405" t="str">
        <f>IF([1]Sheet1!C441="","",[1]Sheet1!C441)</f>
        <v/>
      </c>
      <c r="D405" t="str">
        <f>IF([1]Sheet1!D441="","",[1]Sheet1!D441)</f>
        <v/>
      </c>
      <c r="E405" t="str">
        <f>IF([1]Sheet1!E441="","",[1]Sheet1!E441)</f>
        <v/>
      </c>
      <c r="F405" t="str">
        <f>IF([1]Sheet1!F441="","",[1]Sheet1!F441)</f>
        <v/>
      </c>
      <c r="G405" t="str">
        <f>IF([1]Sheet1!G441="","",[1]Sheet1!G441)</f>
        <v/>
      </c>
      <c r="H405" t="str">
        <f>IF([1]Sheet1!H441="","",[1]Sheet1!H441)</f>
        <v/>
      </c>
      <c r="I405" t="str">
        <f>IF([1]Sheet1!I441="","",[1]Sheet1!I441)</f>
        <v/>
      </c>
      <c r="J405" t="str">
        <f>IF([1]Sheet1!J441="","",[1]Sheet1!J441)</f>
        <v/>
      </c>
      <c r="K405" t="str">
        <f>IF([1]Sheet1!K441="","",[1]Sheet1!K441)</f>
        <v/>
      </c>
      <c r="L405" t="str">
        <f>IF([1]Sheet1!L441="","",[1]Sheet1!L441)</f>
        <v/>
      </c>
      <c r="M405" t="str">
        <f>IF([1]Sheet1!M441="","",[1]Sheet1!M441)</f>
        <v/>
      </c>
      <c r="N405" t="str">
        <f>IF([1]Sheet1!N441="","",[1]Sheet1!N441)</f>
        <v/>
      </c>
      <c r="O405" t="str">
        <f>IF([1]Sheet1!O441="","",[1]Sheet1!O441)</f>
        <v/>
      </c>
      <c r="P405" t="str">
        <f>IF([1]Sheet1!P441="","",[1]Sheet1!P441)</f>
        <v/>
      </c>
    </row>
    <row r="406" spans="1:16" x14ac:dyDescent="0.25">
      <c r="A406" t="str">
        <f>IF([1]Sheet1!A442="","",[1]Sheet1!A442)</f>
        <v/>
      </c>
      <c r="B406" t="str">
        <f>IF([1]Sheet1!B442="","",[1]Sheet1!B442)</f>
        <v/>
      </c>
      <c r="C406" t="str">
        <f>IF([1]Sheet1!C442="","",[1]Sheet1!C442)</f>
        <v/>
      </c>
      <c r="D406" t="str">
        <f>IF([1]Sheet1!D442="","",[1]Sheet1!D442)</f>
        <v/>
      </c>
      <c r="E406" t="str">
        <f>IF([1]Sheet1!E442="","",[1]Sheet1!E442)</f>
        <v/>
      </c>
      <c r="F406" t="str">
        <f>IF([1]Sheet1!F442="","",[1]Sheet1!F442)</f>
        <v/>
      </c>
      <c r="G406" t="str">
        <f>IF([1]Sheet1!G442="","",[1]Sheet1!G442)</f>
        <v/>
      </c>
      <c r="H406" t="str">
        <f>IF([1]Sheet1!H442="","",[1]Sheet1!H442)</f>
        <v/>
      </c>
      <c r="I406" t="str">
        <f>IF([1]Sheet1!I442="","",[1]Sheet1!I442)</f>
        <v/>
      </c>
      <c r="J406" t="str">
        <f>IF([1]Sheet1!J442="","",[1]Sheet1!J442)</f>
        <v/>
      </c>
      <c r="K406" t="str">
        <f>IF([1]Sheet1!K442="","",[1]Sheet1!K442)</f>
        <v/>
      </c>
      <c r="L406" t="str">
        <f>IF([1]Sheet1!L442="","",[1]Sheet1!L442)</f>
        <v/>
      </c>
      <c r="M406" t="str">
        <f>IF([1]Sheet1!M442="","",[1]Sheet1!M442)</f>
        <v/>
      </c>
      <c r="N406" t="str">
        <f>IF([1]Sheet1!N442="","",[1]Sheet1!N442)</f>
        <v/>
      </c>
      <c r="O406" t="str">
        <f>IF([1]Sheet1!O442="","",[1]Sheet1!O442)</f>
        <v/>
      </c>
      <c r="P406" t="str">
        <f>IF([1]Sheet1!P442="","",[1]Sheet1!P442)</f>
        <v/>
      </c>
    </row>
    <row r="407" spans="1:16" x14ac:dyDescent="0.25">
      <c r="A407" t="str">
        <f>IF([1]Sheet1!A443="","",[1]Sheet1!A443)</f>
        <v/>
      </c>
      <c r="B407" t="str">
        <f>IF([1]Sheet1!B443="","",[1]Sheet1!B443)</f>
        <v/>
      </c>
      <c r="C407" t="str">
        <f>IF([1]Sheet1!C443="","",[1]Sheet1!C443)</f>
        <v/>
      </c>
      <c r="D407" t="str">
        <f>IF([1]Sheet1!D443="","",[1]Sheet1!D443)</f>
        <v/>
      </c>
      <c r="E407" t="str">
        <f>IF([1]Sheet1!E443="","",[1]Sheet1!E443)</f>
        <v/>
      </c>
      <c r="F407" t="str">
        <f>IF([1]Sheet1!F443="","",[1]Sheet1!F443)</f>
        <v/>
      </c>
      <c r="G407" t="str">
        <f>IF([1]Sheet1!G443="","",[1]Sheet1!G443)</f>
        <v/>
      </c>
      <c r="H407" t="str">
        <f>IF([1]Sheet1!H443="","",[1]Sheet1!H443)</f>
        <v/>
      </c>
      <c r="I407" t="str">
        <f>IF([1]Sheet1!I443="","",[1]Sheet1!I443)</f>
        <v/>
      </c>
      <c r="J407" t="str">
        <f>IF([1]Sheet1!J443="","",[1]Sheet1!J443)</f>
        <v/>
      </c>
      <c r="K407" t="str">
        <f>IF([1]Sheet1!K443="","",[1]Sheet1!K443)</f>
        <v/>
      </c>
      <c r="L407" t="str">
        <f>IF([1]Sheet1!L443="","",[1]Sheet1!L443)</f>
        <v/>
      </c>
      <c r="M407" t="str">
        <f>IF([1]Sheet1!M443="","",[1]Sheet1!M443)</f>
        <v/>
      </c>
      <c r="N407" t="str">
        <f>IF([1]Sheet1!N443="","",[1]Sheet1!N443)</f>
        <v/>
      </c>
      <c r="O407" t="str">
        <f>IF([1]Sheet1!O443="","",[1]Sheet1!O443)</f>
        <v/>
      </c>
      <c r="P407" t="str">
        <f>IF([1]Sheet1!P443="","",[1]Sheet1!P443)</f>
        <v/>
      </c>
    </row>
    <row r="408" spans="1:16" x14ac:dyDescent="0.25">
      <c r="A408" t="str">
        <f>IF([1]Sheet1!A444="","",[1]Sheet1!A444)</f>
        <v/>
      </c>
      <c r="B408" t="str">
        <f>IF([1]Sheet1!B444="","",[1]Sheet1!B444)</f>
        <v/>
      </c>
      <c r="C408" t="str">
        <f>IF([1]Sheet1!C444="","",[1]Sheet1!C444)</f>
        <v/>
      </c>
      <c r="D408" t="str">
        <f>IF([1]Sheet1!D444="","",[1]Sheet1!D444)</f>
        <v/>
      </c>
      <c r="E408" t="str">
        <f>IF([1]Sheet1!E444="","",[1]Sheet1!E444)</f>
        <v/>
      </c>
      <c r="F408" t="str">
        <f>IF([1]Sheet1!F444="","",[1]Sheet1!F444)</f>
        <v/>
      </c>
      <c r="G408" t="str">
        <f>IF([1]Sheet1!G444="","",[1]Sheet1!G444)</f>
        <v/>
      </c>
      <c r="H408" t="str">
        <f>IF([1]Sheet1!H444="","",[1]Sheet1!H444)</f>
        <v/>
      </c>
      <c r="I408" t="str">
        <f>IF([1]Sheet1!I444="","",[1]Sheet1!I444)</f>
        <v/>
      </c>
      <c r="J408" t="str">
        <f>IF([1]Sheet1!J444="","",[1]Sheet1!J444)</f>
        <v/>
      </c>
      <c r="K408" t="str">
        <f>IF([1]Sheet1!K444="","",[1]Sheet1!K444)</f>
        <v/>
      </c>
      <c r="L408" t="str">
        <f>IF([1]Sheet1!L444="","",[1]Sheet1!L444)</f>
        <v/>
      </c>
      <c r="M408" t="str">
        <f>IF([1]Sheet1!M444="","",[1]Sheet1!M444)</f>
        <v/>
      </c>
      <c r="N408" t="str">
        <f>IF([1]Sheet1!N444="","",[1]Sheet1!N444)</f>
        <v/>
      </c>
      <c r="O408" t="str">
        <f>IF([1]Sheet1!O444="","",[1]Sheet1!O444)</f>
        <v/>
      </c>
      <c r="P408" t="str">
        <f>IF([1]Sheet1!P444="","",[1]Sheet1!P444)</f>
        <v/>
      </c>
    </row>
    <row r="409" spans="1:16" x14ac:dyDescent="0.25">
      <c r="A409" t="str">
        <f>IF([1]Sheet1!A445="","",[1]Sheet1!A445)</f>
        <v/>
      </c>
      <c r="B409" t="str">
        <f>IF([1]Sheet1!B445="","",[1]Sheet1!B445)</f>
        <v/>
      </c>
      <c r="C409" t="str">
        <f>IF([1]Sheet1!C445="","",[1]Sheet1!C445)</f>
        <v/>
      </c>
      <c r="D409" t="str">
        <f>IF([1]Sheet1!D445="","",[1]Sheet1!D445)</f>
        <v/>
      </c>
      <c r="E409" t="str">
        <f>IF([1]Sheet1!E445="","",[1]Sheet1!E445)</f>
        <v/>
      </c>
      <c r="F409" t="str">
        <f>IF([1]Sheet1!F445="","",[1]Sheet1!F445)</f>
        <v/>
      </c>
      <c r="G409" t="str">
        <f>IF([1]Sheet1!G445="","",[1]Sheet1!G445)</f>
        <v/>
      </c>
      <c r="H409" t="str">
        <f>IF([1]Sheet1!H445="","",[1]Sheet1!H445)</f>
        <v/>
      </c>
      <c r="I409" t="str">
        <f>IF([1]Sheet1!I445="","",[1]Sheet1!I445)</f>
        <v/>
      </c>
      <c r="J409" t="str">
        <f>IF([1]Sheet1!J445="","",[1]Sheet1!J445)</f>
        <v/>
      </c>
      <c r="K409" t="str">
        <f>IF([1]Sheet1!K445="","",[1]Sheet1!K445)</f>
        <v/>
      </c>
      <c r="L409" t="str">
        <f>IF([1]Sheet1!L445="","",[1]Sheet1!L445)</f>
        <v/>
      </c>
      <c r="M409" t="str">
        <f>IF([1]Sheet1!M445="","",[1]Sheet1!M445)</f>
        <v/>
      </c>
      <c r="N409" t="str">
        <f>IF([1]Sheet1!N445="","",[1]Sheet1!N445)</f>
        <v/>
      </c>
      <c r="O409" t="str">
        <f>IF([1]Sheet1!O445="","",[1]Sheet1!O445)</f>
        <v/>
      </c>
      <c r="P409" t="str">
        <f>IF([1]Sheet1!P445="","",[1]Sheet1!P445)</f>
        <v/>
      </c>
    </row>
    <row r="410" spans="1:16" x14ac:dyDescent="0.25">
      <c r="A410" t="str">
        <f>IF([1]Sheet1!A446="","",[1]Sheet1!A446)</f>
        <v/>
      </c>
      <c r="B410" t="str">
        <f>IF([1]Sheet1!B446="","",[1]Sheet1!B446)</f>
        <v/>
      </c>
      <c r="C410" t="str">
        <f>IF([1]Sheet1!C446="","",[1]Sheet1!C446)</f>
        <v/>
      </c>
      <c r="D410" t="str">
        <f>IF([1]Sheet1!D446="","",[1]Sheet1!D446)</f>
        <v/>
      </c>
      <c r="E410" t="str">
        <f>IF([1]Sheet1!E446="","",[1]Sheet1!E446)</f>
        <v/>
      </c>
      <c r="F410" t="str">
        <f>IF([1]Sheet1!F446="","",[1]Sheet1!F446)</f>
        <v/>
      </c>
      <c r="G410" t="str">
        <f>IF([1]Sheet1!G446="","",[1]Sheet1!G446)</f>
        <v/>
      </c>
      <c r="H410" t="str">
        <f>IF([1]Sheet1!H446="","",[1]Sheet1!H446)</f>
        <v/>
      </c>
      <c r="I410" t="str">
        <f>IF([1]Sheet1!I446="","",[1]Sheet1!I446)</f>
        <v/>
      </c>
      <c r="J410" t="str">
        <f>IF([1]Sheet1!J446="","",[1]Sheet1!J446)</f>
        <v/>
      </c>
      <c r="K410" t="str">
        <f>IF([1]Sheet1!K446="","",[1]Sheet1!K446)</f>
        <v/>
      </c>
      <c r="L410" t="str">
        <f>IF([1]Sheet1!L446="","",[1]Sheet1!L446)</f>
        <v/>
      </c>
      <c r="M410" t="str">
        <f>IF([1]Sheet1!M446="","",[1]Sheet1!M446)</f>
        <v/>
      </c>
      <c r="N410" t="str">
        <f>IF([1]Sheet1!N446="","",[1]Sheet1!N446)</f>
        <v/>
      </c>
      <c r="O410" t="str">
        <f>IF([1]Sheet1!O446="","",[1]Sheet1!O446)</f>
        <v/>
      </c>
      <c r="P410" t="str">
        <f>IF([1]Sheet1!P446="","",[1]Sheet1!P446)</f>
        <v/>
      </c>
    </row>
    <row r="411" spans="1:16" x14ac:dyDescent="0.25">
      <c r="A411" t="str">
        <f>IF([1]Sheet1!A447="","",[1]Sheet1!A447)</f>
        <v/>
      </c>
      <c r="B411" t="str">
        <f>IF([1]Sheet1!B447="","",[1]Sheet1!B447)</f>
        <v/>
      </c>
      <c r="C411" t="str">
        <f>IF([1]Sheet1!C447="","",[1]Sheet1!C447)</f>
        <v/>
      </c>
      <c r="D411" t="str">
        <f>IF([1]Sheet1!D447="","",[1]Sheet1!D447)</f>
        <v/>
      </c>
      <c r="E411" t="str">
        <f>IF([1]Sheet1!E447="","",[1]Sheet1!E447)</f>
        <v/>
      </c>
      <c r="F411" t="str">
        <f>IF([1]Sheet1!F447="","",[1]Sheet1!F447)</f>
        <v/>
      </c>
      <c r="G411" t="str">
        <f>IF([1]Sheet1!G447="","",[1]Sheet1!G447)</f>
        <v/>
      </c>
      <c r="H411" t="str">
        <f>IF([1]Sheet1!H447="","",[1]Sheet1!H447)</f>
        <v/>
      </c>
      <c r="I411" t="str">
        <f>IF([1]Sheet1!I447="","",[1]Sheet1!I447)</f>
        <v/>
      </c>
      <c r="J411" t="str">
        <f>IF([1]Sheet1!J447="","",[1]Sheet1!J447)</f>
        <v/>
      </c>
      <c r="K411" t="str">
        <f>IF([1]Sheet1!K447="","",[1]Sheet1!K447)</f>
        <v/>
      </c>
      <c r="L411" t="str">
        <f>IF([1]Sheet1!L447="","",[1]Sheet1!L447)</f>
        <v/>
      </c>
      <c r="M411" t="str">
        <f>IF([1]Sheet1!M447="","",[1]Sheet1!M447)</f>
        <v/>
      </c>
      <c r="N411" t="str">
        <f>IF([1]Sheet1!N447="","",[1]Sheet1!N447)</f>
        <v/>
      </c>
      <c r="O411" t="str">
        <f>IF([1]Sheet1!O447="","",[1]Sheet1!O447)</f>
        <v/>
      </c>
      <c r="P411" t="str">
        <f>IF([1]Sheet1!P447="","",[1]Sheet1!P447)</f>
        <v/>
      </c>
    </row>
    <row r="412" spans="1:16" x14ac:dyDescent="0.25">
      <c r="A412" t="str">
        <f>IF([1]Sheet1!A448="","",[1]Sheet1!A448)</f>
        <v/>
      </c>
      <c r="B412" t="str">
        <f>IF([1]Sheet1!B448="","",[1]Sheet1!B448)</f>
        <v/>
      </c>
      <c r="C412" t="str">
        <f>IF([1]Sheet1!C448="","",[1]Sheet1!C448)</f>
        <v/>
      </c>
      <c r="D412" t="str">
        <f>IF([1]Sheet1!D448="","",[1]Sheet1!D448)</f>
        <v/>
      </c>
      <c r="E412" t="str">
        <f>IF([1]Sheet1!E448="","",[1]Sheet1!E448)</f>
        <v/>
      </c>
      <c r="F412" t="str">
        <f>IF([1]Sheet1!F448="","",[1]Sheet1!F448)</f>
        <v/>
      </c>
      <c r="G412" t="str">
        <f>IF([1]Sheet1!G448="","",[1]Sheet1!G448)</f>
        <v/>
      </c>
      <c r="H412" t="str">
        <f>IF([1]Sheet1!H448="","",[1]Sheet1!H448)</f>
        <v/>
      </c>
      <c r="I412" t="str">
        <f>IF([1]Sheet1!I448="","",[1]Sheet1!I448)</f>
        <v/>
      </c>
      <c r="J412" t="str">
        <f>IF([1]Sheet1!J448="","",[1]Sheet1!J448)</f>
        <v/>
      </c>
      <c r="K412" t="str">
        <f>IF([1]Sheet1!K448="","",[1]Sheet1!K448)</f>
        <v/>
      </c>
      <c r="L412" t="str">
        <f>IF([1]Sheet1!L448="","",[1]Sheet1!L448)</f>
        <v/>
      </c>
      <c r="M412" t="str">
        <f>IF([1]Sheet1!M448="","",[1]Sheet1!M448)</f>
        <v/>
      </c>
      <c r="N412" t="str">
        <f>IF([1]Sheet1!N448="","",[1]Sheet1!N448)</f>
        <v/>
      </c>
      <c r="O412" t="str">
        <f>IF([1]Sheet1!O448="","",[1]Sheet1!O448)</f>
        <v/>
      </c>
      <c r="P412" t="str">
        <f>IF([1]Sheet1!P448="","",[1]Sheet1!P448)</f>
        <v/>
      </c>
    </row>
    <row r="413" spans="1:16" x14ac:dyDescent="0.25">
      <c r="A413" t="str">
        <f>IF([1]Sheet1!A449="","",[1]Sheet1!A449)</f>
        <v/>
      </c>
      <c r="B413" t="str">
        <f>IF([1]Sheet1!B449="","",[1]Sheet1!B449)</f>
        <v/>
      </c>
      <c r="C413" t="str">
        <f>IF([1]Sheet1!C449="","",[1]Sheet1!C449)</f>
        <v/>
      </c>
      <c r="D413" t="str">
        <f>IF([1]Sheet1!D449="","",[1]Sheet1!D449)</f>
        <v/>
      </c>
      <c r="E413" t="str">
        <f>IF([1]Sheet1!E449="","",[1]Sheet1!E449)</f>
        <v/>
      </c>
      <c r="F413" t="str">
        <f>IF([1]Sheet1!F449="","",[1]Sheet1!F449)</f>
        <v/>
      </c>
      <c r="G413" t="str">
        <f>IF([1]Sheet1!G449="","",[1]Sheet1!G449)</f>
        <v/>
      </c>
      <c r="H413" t="str">
        <f>IF([1]Sheet1!H449="","",[1]Sheet1!H449)</f>
        <v/>
      </c>
      <c r="I413" t="str">
        <f>IF([1]Sheet1!I449="","",[1]Sheet1!I449)</f>
        <v/>
      </c>
      <c r="J413" t="str">
        <f>IF([1]Sheet1!J449="","",[1]Sheet1!J449)</f>
        <v/>
      </c>
      <c r="K413" t="str">
        <f>IF([1]Sheet1!K449="","",[1]Sheet1!K449)</f>
        <v/>
      </c>
      <c r="L413" t="str">
        <f>IF([1]Sheet1!L449="","",[1]Sheet1!L449)</f>
        <v/>
      </c>
      <c r="M413" t="str">
        <f>IF([1]Sheet1!M449="","",[1]Sheet1!M449)</f>
        <v/>
      </c>
      <c r="N413" t="str">
        <f>IF([1]Sheet1!N449="","",[1]Sheet1!N449)</f>
        <v/>
      </c>
      <c r="O413" t="str">
        <f>IF([1]Sheet1!O449="","",[1]Sheet1!O449)</f>
        <v/>
      </c>
      <c r="P413" t="str">
        <f>IF([1]Sheet1!P449="","",[1]Sheet1!P449)</f>
        <v/>
      </c>
    </row>
    <row r="414" spans="1:16" x14ac:dyDescent="0.25">
      <c r="A414" t="str">
        <f>IF([1]Sheet1!A450="","",[1]Sheet1!A450)</f>
        <v/>
      </c>
      <c r="B414" t="str">
        <f>IF([1]Sheet1!B450="","",[1]Sheet1!B450)</f>
        <v/>
      </c>
      <c r="C414" t="str">
        <f>IF([1]Sheet1!C450="","",[1]Sheet1!C450)</f>
        <v/>
      </c>
      <c r="D414" t="str">
        <f>IF([1]Sheet1!D450="","",[1]Sheet1!D450)</f>
        <v/>
      </c>
      <c r="E414" t="str">
        <f>IF([1]Sheet1!E450="","",[1]Sheet1!E450)</f>
        <v/>
      </c>
      <c r="F414" t="str">
        <f>IF([1]Sheet1!F450="","",[1]Sheet1!F450)</f>
        <v/>
      </c>
      <c r="G414" t="str">
        <f>IF([1]Sheet1!G450="","",[1]Sheet1!G450)</f>
        <v/>
      </c>
      <c r="H414" t="str">
        <f>IF([1]Sheet1!H450="","",[1]Sheet1!H450)</f>
        <v/>
      </c>
      <c r="I414" t="str">
        <f>IF([1]Sheet1!I450="","",[1]Sheet1!I450)</f>
        <v/>
      </c>
      <c r="J414" t="str">
        <f>IF([1]Sheet1!J450="","",[1]Sheet1!J450)</f>
        <v/>
      </c>
      <c r="K414" t="str">
        <f>IF([1]Sheet1!K450="","",[1]Sheet1!K450)</f>
        <v/>
      </c>
      <c r="L414" t="str">
        <f>IF([1]Sheet1!L450="","",[1]Sheet1!L450)</f>
        <v/>
      </c>
      <c r="M414" t="str">
        <f>IF([1]Sheet1!M450="","",[1]Sheet1!M450)</f>
        <v/>
      </c>
      <c r="N414" t="str">
        <f>IF([1]Sheet1!N450="","",[1]Sheet1!N450)</f>
        <v/>
      </c>
      <c r="O414" t="str">
        <f>IF([1]Sheet1!O450="","",[1]Sheet1!O450)</f>
        <v/>
      </c>
      <c r="P414" t="str">
        <f>IF([1]Sheet1!P450="","",[1]Sheet1!P450)</f>
        <v/>
      </c>
    </row>
    <row r="415" spans="1:16" x14ac:dyDescent="0.25">
      <c r="A415" t="str">
        <f>IF([1]Sheet1!A451="","",[1]Sheet1!A451)</f>
        <v/>
      </c>
      <c r="B415" t="str">
        <f>IF([1]Sheet1!B451="","",[1]Sheet1!B451)</f>
        <v/>
      </c>
      <c r="C415" t="str">
        <f>IF([1]Sheet1!C451="","",[1]Sheet1!C451)</f>
        <v/>
      </c>
      <c r="D415" t="str">
        <f>IF([1]Sheet1!D451="","",[1]Sheet1!D451)</f>
        <v/>
      </c>
      <c r="E415" t="str">
        <f>IF([1]Sheet1!E451="","",[1]Sheet1!E451)</f>
        <v/>
      </c>
      <c r="F415" t="str">
        <f>IF([1]Sheet1!F451="","",[1]Sheet1!F451)</f>
        <v/>
      </c>
      <c r="G415" t="str">
        <f>IF([1]Sheet1!G451="","",[1]Sheet1!G451)</f>
        <v/>
      </c>
      <c r="H415" t="str">
        <f>IF([1]Sheet1!H451="","",[1]Sheet1!H451)</f>
        <v/>
      </c>
      <c r="I415" t="str">
        <f>IF([1]Sheet1!I451="","",[1]Sheet1!I451)</f>
        <v/>
      </c>
      <c r="J415" t="str">
        <f>IF([1]Sheet1!J451="","",[1]Sheet1!J451)</f>
        <v/>
      </c>
      <c r="K415" t="str">
        <f>IF([1]Sheet1!K451="","",[1]Sheet1!K451)</f>
        <v/>
      </c>
      <c r="L415" t="str">
        <f>IF([1]Sheet1!L451="","",[1]Sheet1!L451)</f>
        <v/>
      </c>
      <c r="M415" t="str">
        <f>IF([1]Sheet1!M451="","",[1]Sheet1!M451)</f>
        <v/>
      </c>
      <c r="N415" t="str">
        <f>IF([1]Sheet1!N451="","",[1]Sheet1!N451)</f>
        <v/>
      </c>
      <c r="O415" t="str">
        <f>IF([1]Sheet1!O451="","",[1]Sheet1!O451)</f>
        <v/>
      </c>
      <c r="P415" t="str">
        <f>IF([1]Sheet1!P451="","",[1]Sheet1!P451)</f>
        <v/>
      </c>
    </row>
    <row r="416" spans="1:16" x14ac:dyDescent="0.25">
      <c r="A416" t="str">
        <f>IF([1]Sheet1!A452="","",[1]Sheet1!A452)</f>
        <v/>
      </c>
      <c r="B416" t="str">
        <f>IF([1]Sheet1!B452="","",[1]Sheet1!B452)</f>
        <v/>
      </c>
      <c r="C416" t="str">
        <f>IF([1]Sheet1!C452="","",[1]Sheet1!C452)</f>
        <v/>
      </c>
      <c r="D416" t="str">
        <f>IF([1]Sheet1!D452="","",[1]Sheet1!D452)</f>
        <v/>
      </c>
      <c r="E416" t="str">
        <f>IF([1]Sheet1!E452="","",[1]Sheet1!E452)</f>
        <v/>
      </c>
      <c r="F416" t="str">
        <f>IF([1]Sheet1!F452="","",[1]Sheet1!F452)</f>
        <v/>
      </c>
      <c r="G416" t="str">
        <f>IF([1]Sheet1!G452="","",[1]Sheet1!G452)</f>
        <v/>
      </c>
      <c r="H416" t="str">
        <f>IF([1]Sheet1!H452="","",[1]Sheet1!H452)</f>
        <v/>
      </c>
      <c r="I416" t="str">
        <f>IF([1]Sheet1!I452="","",[1]Sheet1!I452)</f>
        <v/>
      </c>
      <c r="J416" t="str">
        <f>IF([1]Sheet1!J452="","",[1]Sheet1!J452)</f>
        <v/>
      </c>
      <c r="K416" t="str">
        <f>IF([1]Sheet1!K452="","",[1]Sheet1!K452)</f>
        <v/>
      </c>
      <c r="L416" t="str">
        <f>IF([1]Sheet1!L452="","",[1]Sheet1!L452)</f>
        <v/>
      </c>
      <c r="M416" t="str">
        <f>IF([1]Sheet1!M452="","",[1]Sheet1!M452)</f>
        <v/>
      </c>
      <c r="N416" t="str">
        <f>IF([1]Sheet1!N452="","",[1]Sheet1!N452)</f>
        <v/>
      </c>
      <c r="O416" t="str">
        <f>IF([1]Sheet1!O452="","",[1]Sheet1!O452)</f>
        <v/>
      </c>
      <c r="P416" t="str">
        <f>IF([1]Sheet1!P452="","",[1]Sheet1!P452)</f>
        <v/>
      </c>
    </row>
    <row r="417" spans="1:16" x14ac:dyDescent="0.25">
      <c r="A417" t="str">
        <f>IF([1]Sheet1!A453="","",[1]Sheet1!A453)</f>
        <v/>
      </c>
      <c r="B417" t="str">
        <f>IF([1]Sheet1!B453="","",[1]Sheet1!B453)</f>
        <v/>
      </c>
      <c r="C417" t="str">
        <f>IF([1]Sheet1!C453="","",[1]Sheet1!C453)</f>
        <v/>
      </c>
      <c r="D417" t="str">
        <f>IF([1]Sheet1!D453="","",[1]Sheet1!D453)</f>
        <v/>
      </c>
      <c r="E417" t="str">
        <f>IF([1]Sheet1!E453="","",[1]Sheet1!E453)</f>
        <v/>
      </c>
      <c r="F417" t="str">
        <f>IF([1]Sheet1!F453="","",[1]Sheet1!F453)</f>
        <v/>
      </c>
      <c r="G417" t="str">
        <f>IF([1]Sheet1!G453="","",[1]Sheet1!G453)</f>
        <v/>
      </c>
      <c r="H417" t="str">
        <f>IF([1]Sheet1!H453="","",[1]Sheet1!H453)</f>
        <v/>
      </c>
      <c r="I417" t="str">
        <f>IF([1]Sheet1!I453="","",[1]Sheet1!I453)</f>
        <v/>
      </c>
      <c r="J417" t="str">
        <f>IF([1]Sheet1!J453="","",[1]Sheet1!J453)</f>
        <v/>
      </c>
      <c r="K417" t="str">
        <f>IF([1]Sheet1!K453="","",[1]Sheet1!K453)</f>
        <v/>
      </c>
      <c r="L417" t="str">
        <f>IF([1]Sheet1!L453="","",[1]Sheet1!L453)</f>
        <v/>
      </c>
      <c r="M417" t="str">
        <f>IF([1]Sheet1!M453="","",[1]Sheet1!M453)</f>
        <v/>
      </c>
      <c r="N417" t="str">
        <f>IF([1]Sheet1!N453="","",[1]Sheet1!N453)</f>
        <v/>
      </c>
      <c r="O417" t="str">
        <f>IF([1]Sheet1!O453="","",[1]Sheet1!O453)</f>
        <v/>
      </c>
      <c r="P417" t="str">
        <f>IF([1]Sheet1!P453="","",[1]Sheet1!P453)</f>
        <v/>
      </c>
    </row>
    <row r="418" spans="1:16" x14ac:dyDescent="0.25">
      <c r="A418" t="str">
        <f>IF([1]Sheet1!A454="","",[1]Sheet1!A454)</f>
        <v/>
      </c>
      <c r="B418" t="str">
        <f>IF([1]Sheet1!B454="","",[1]Sheet1!B454)</f>
        <v/>
      </c>
      <c r="C418" t="str">
        <f>IF([1]Sheet1!C454="","",[1]Sheet1!C454)</f>
        <v/>
      </c>
      <c r="D418" t="str">
        <f>IF([1]Sheet1!D454="","",[1]Sheet1!D454)</f>
        <v/>
      </c>
      <c r="E418" t="str">
        <f>IF([1]Sheet1!E454="","",[1]Sheet1!E454)</f>
        <v/>
      </c>
      <c r="F418" t="str">
        <f>IF([1]Sheet1!F454="","",[1]Sheet1!F454)</f>
        <v/>
      </c>
      <c r="G418" t="str">
        <f>IF([1]Sheet1!G454="","",[1]Sheet1!G454)</f>
        <v/>
      </c>
      <c r="H418" t="str">
        <f>IF([1]Sheet1!H454="","",[1]Sheet1!H454)</f>
        <v/>
      </c>
      <c r="I418" t="str">
        <f>IF([1]Sheet1!I454="","",[1]Sheet1!I454)</f>
        <v/>
      </c>
      <c r="J418" t="str">
        <f>IF([1]Sheet1!J454="","",[1]Sheet1!J454)</f>
        <v/>
      </c>
      <c r="K418" t="str">
        <f>IF([1]Sheet1!K454="","",[1]Sheet1!K454)</f>
        <v/>
      </c>
      <c r="L418" t="str">
        <f>IF([1]Sheet1!L454="","",[1]Sheet1!L454)</f>
        <v/>
      </c>
      <c r="M418" t="str">
        <f>IF([1]Sheet1!M454="","",[1]Sheet1!M454)</f>
        <v/>
      </c>
      <c r="N418" t="str">
        <f>IF([1]Sheet1!N454="","",[1]Sheet1!N454)</f>
        <v/>
      </c>
      <c r="O418" t="str">
        <f>IF([1]Sheet1!O454="","",[1]Sheet1!O454)</f>
        <v/>
      </c>
      <c r="P418" t="str">
        <f>IF([1]Sheet1!P454="","",[1]Sheet1!P454)</f>
        <v/>
      </c>
    </row>
    <row r="419" spans="1:16" x14ac:dyDescent="0.25">
      <c r="A419" t="str">
        <f>IF([1]Sheet1!A455="","",[1]Sheet1!A455)</f>
        <v/>
      </c>
      <c r="B419" t="str">
        <f>IF([1]Sheet1!B455="","",[1]Sheet1!B455)</f>
        <v/>
      </c>
      <c r="C419" t="str">
        <f>IF([1]Sheet1!C455="","",[1]Sheet1!C455)</f>
        <v/>
      </c>
      <c r="D419" t="str">
        <f>IF([1]Sheet1!D455="","",[1]Sheet1!D455)</f>
        <v/>
      </c>
      <c r="E419" t="str">
        <f>IF([1]Sheet1!E455="","",[1]Sheet1!E455)</f>
        <v/>
      </c>
      <c r="F419" t="str">
        <f>IF([1]Sheet1!F455="","",[1]Sheet1!F455)</f>
        <v/>
      </c>
      <c r="G419" t="str">
        <f>IF([1]Sheet1!G455="","",[1]Sheet1!G455)</f>
        <v/>
      </c>
      <c r="H419" t="str">
        <f>IF([1]Sheet1!H455="","",[1]Sheet1!H455)</f>
        <v/>
      </c>
      <c r="I419" t="str">
        <f>IF([1]Sheet1!I455="","",[1]Sheet1!I455)</f>
        <v/>
      </c>
      <c r="J419" t="str">
        <f>IF([1]Sheet1!J455="","",[1]Sheet1!J455)</f>
        <v/>
      </c>
      <c r="K419" t="str">
        <f>IF([1]Sheet1!K455="","",[1]Sheet1!K455)</f>
        <v/>
      </c>
      <c r="L419" t="str">
        <f>IF([1]Sheet1!L455="","",[1]Sheet1!L455)</f>
        <v/>
      </c>
      <c r="M419" t="str">
        <f>IF([1]Sheet1!M455="","",[1]Sheet1!M455)</f>
        <v/>
      </c>
      <c r="N419" t="str">
        <f>IF([1]Sheet1!N455="","",[1]Sheet1!N455)</f>
        <v/>
      </c>
      <c r="O419" t="str">
        <f>IF([1]Sheet1!O455="","",[1]Sheet1!O455)</f>
        <v/>
      </c>
      <c r="P419" t="str">
        <f>IF([1]Sheet1!P455="","",[1]Sheet1!P455)</f>
        <v/>
      </c>
    </row>
    <row r="420" spans="1:16" x14ac:dyDescent="0.25">
      <c r="A420" t="str">
        <f>IF([1]Sheet1!A456="","",[1]Sheet1!A456)</f>
        <v/>
      </c>
      <c r="B420" t="str">
        <f>IF([1]Sheet1!B456="","",[1]Sheet1!B456)</f>
        <v/>
      </c>
      <c r="C420" t="str">
        <f>IF([1]Sheet1!C456="","",[1]Sheet1!C456)</f>
        <v/>
      </c>
      <c r="D420" t="str">
        <f>IF([1]Sheet1!D456="","",[1]Sheet1!D456)</f>
        <v/>
      </c>
      <c r="E420" t="str">
        <f>IF([1]Sheet1!E456="","",[1]Sheet1!E456)</f>
        <v/>
      </c>
      <c r="F420" t="str">
        <f>IF([1]Sheet1!F456="","",[1]Sheet1!F456)</f>
        <v/>
      </c>
      <c r="G420" t="str">
        <f>IF([1]Sheet1!G456="","",[1]Sheet1!G456)</f>
        <v/>
      </c>
      <c r="H420" t="str">
        <f>IF([1]Sheet1!H456="","",[1]Sheet1!H456)</f>
        <v/>
      </c>
      <c r="I420" t="str">
        <f>IF([1]Sheet1!I456="","",[1]Sheet1!I456)</f>
        <v/>
      </c>
      <c r="J420" t="str">
        <f>IF([1]Sheet1!J456="","",[1]Sheet1!J456)</f>
        <v/>
      </c>
      <c r="K420" t="str">
        <f>IF([1]Sheet1!K456="","",[1]Sheet1!K456)</f>
        <v/>
      </c>
      <c r="L420" t="str">
        <f>IF([1]Sheet1!L456="","",[1]Sheet1!L456)</f>
        <v/>
      </c>
      <c r="M420" t="str">
        <f>IF([1]Sheet1!M456="","",[1]Sheet1!M456)</f>
        <v/>
      </c>
      <c r="N420" t="str">
        <f>IF([1]Sheet1!N456="","",[1]Sheet1!N456)</f>
        <v/>
      </c>
      <c r="O420" t="str">
        <f>IF([1]Sheet1!O456="","",[1]Sheet1!O456)</f>
        <v/>
      </c>
      <c r="P420" t="str">
        <f>IF([1]Sheet1!P456="","",[1]Sheet1!P456)</f>
        <v/>
      </c>
    </row>
    <row r="421" spans="1:16" x14ac:dyDescent="0.25">
      <c r="A421" t="str">
        <f>IF([1]Sheet1!A457="","",[1]Sheet1!A457)</f>
        <v/>
      </c>
      <c r="B421" t="str">
        <f>IF([1]Sheet1!B457="","",[1]Sheet1!B457)</f>
        <v/>
      </c>
      <c r="C421" t="str">
        <f>IF([1]Sheet1!C457="","",[1]Sheet1!C457)</f>
        <v/>
      </c>
      <c r="D421" t="str">
        <f>IF([1]Sheet1!D457="","",[1]Sheet1!D457)</f>
        <v/>
      </c>
      <c r="E421" t="str">
        <f>IF([1]Sheet1!E457="","",[1]Sheet1!E457)</f>
        <v/>
      </c>
      <c r="F421" t="str">
        <f>IF([1]Sheet1!F457="","",[1]Sheet1!F457)</f>
        <v/>
      </c>
      <c r="G421" t="str">
        <f>IF([1]Sheet1!G457="","",[1]Sheet1!G457)</f>
        <v/>
      </c>
      <c r="H421" t="str">
        <f>IF([1]Sheet1!H457="","",[1]Sheet1!H457)</f>
        <v/>
      </c>
      <c r="I421" t="str">
        <f>IF([1]Sheet1!I457="","",[1]Sheet1!I457)</f>
        <v/>
      </c>
      <c r="J421" t="str">
        <f>IF([1]Sheet1!J457="","",[1]Sheet1!J457)</f>
        <v/>
      </c>
      <c r="K421" t="str">
        <f>IF([1]Sheet1!K457="","",[1]Sheet1!K457)</f>
        <v/>
      </c>
      <c r="L421" t="str">
        <f>IF([1]Sheet1!L457="","",[1]Sheet1!L457)</f>
        <v/>
      </c>
      <c r="M421" t="str">
        <f>IF([1]Sheet1!M457="","",[1]Sheet1!M457)</f>
        <v/>
      </c>
      <c r="N421" t="str">
        <f>IF([1]Sheet1!N457="","",[1]Sheet1!N457)</f>
        <v/>
      </c>
      <c r="O421" t="str">
        <f>IF([1]Sheet1!O457="","",[1]Sheet1!O457)</f>
        <v/>
      </c>
      <c r="P421" t="str">
        <f>IF([1]Sheet1!P457="","",[1]Sheet1!P457)</f>
        <v/>
      </c>
    </row>
    <row r="422" spans="1:16" x14ac:dyDescent="0.25">
      <c r="A422" t="str">
        <f>IF([1]Sheet1!A458="","",[1]Sheet1!A458)</f>
        <v/>
      </c>
      <c r="B422" t="str">
        <f>IF([1]Sheet1!B458="","",[1]Sheet1!B458)</f>
        <v/>
      </c>
      <c r="C422" t="str">
        <f>IF([1]Sheet1!C458="","",[1]Sheet1!C458)</f>
        <v/>
      </c>
      <c r="D422" t="str">
        <f>IF([1]Sheet1!D458="","",[1]Sheet1!D458)</f>
        <v/>
      </c>
      <c r="E422" t="str">
        <f>IF([1]Sheet1!E458="","",[1]Sheet1!E458)</f>
        <v/>
      </c>
      <c r="F422" t="str">
        <f>IF([1]Sheet1!F458="","",[1]Sheet1!F458)</f>
        <v/>
      </c>
      <c r="G422" t="str">
        <f>IF([1]Sheet1!G458="","",[1]Sheet1!G458)</f>
        <v/>
      </c>
      <c r="H422" t="str">
        <f>IF([1]Sheet1!H458="","",[1]Sheet1!H458)</f>
        <v/>
      </c>
      <c r="I422" t="str">
        <f>IF([1]Sheet1!I458="","",[1]Sheet1!I458)</f>
        <v/>
      </c>
      <c r="J422" t="str">
        <f>IF([1]Sheet1!J458="","",[1]Sheet1!J458)</f>
        <v/>
      </c>
      <c r="K422" t="str">
        <f>IF([1]Sheet1!K458="","",[1]Sheet1!K458)</f>
        <v/>
      </c>
      <c r="L422" t="str">
        <f>IF([1]Sheet1!L458="","",[1]Sheet1!L458)</f>
        <v/>
      </c>
      <c r="M422" t="str">
        <f>IF([1]Sheet1!M458="","",[1]Sheet1!M458)</f>
        <v/>
      </c>
      <c r="N422" t="str">
        <f>IF([1]Sheet1!N458="","",[1]Sheet1!N458)</f>
        <v/>
      </c>
      <c r="O422" t="str">
        <f>IF([1]Sheet1!O458="","",[1]Sheet1!O458)</f>
        <v/>
      </c>
      <c r="P422" t="str">
        <f>IF([1]Sheet1!P458="","",[1]Sheet1!P458)</f>
        <v/>
      </c>
    </row>
    <row r="423" spans="1:16" x14ac:dyDescent="0.25">
      <c r="A423" t="str">
        <f>IF([1]Sheet1!A459="","",[1]Sheet1!A459)</f>
        <v/>
      </c>
      <c r="B423" t="str">
        <f>IF([1]Sheet1!B459="","",[1]Sheet1!B459)</f>
        <v/>
      </c>
      <c r="C423" t="str">
        <f>IF([1]Sheet1!C459="","",[1]Sheet1!C459)</f>
        <v/>
      </c>
      <c r="D423" t="str">
        <f>IF([1]Sheet1!D459="","",[1]Sheet1!D459)</f>
        <v/>
      </c>
      <c r="E423" t="str">
        <f>IF([1]Sheet1!E459="","",[1]Sheet1!E459)</f>
        <v/>
      </c>
      <c r="F423" t="str">
        <f>IF([1]Sheet1!F459="","",[1]Sheet1!F459)</f>
        <v/>
      </c>
      <c r="G423" t="str">
        <f>IF([1]Sheet1!G459="","",[1]Sheet1!G459)</f>
        <v/>
      </c>
      <c r="H423" t="str">
        <f>IF([1]Sheet1!H459="","",[1]Sheet1!H459)</f>
        <v/>
      </c>
      <c r="I423" t="str">
        <f>IF([1]Sheet1!I459="","",[1]Sheet1!I459)</f>
        <v/>
      </c>
      <c r="J423" t="str">
        <f>IF([1]Sheet1!J459="","",[1]Sheet1!J459)</f>
        <v/>
      </c>
      <c r="K423" t="str">
        <f>IF([1]Sheet1!K459="","",[1]Sheet1!K459)</f>
        <v/>
      </c>
      <c r="L423" t="str">
        <f>IF([1]Sheet1!L459="","",[1]Sheet1!L459)</f>
        <v/>
      </c>
      <c r="M423" t="str">
        <f>IF([1]Sheet1!M459="","",[1]Sheet1!M459)</f>
        <v/>
      </c>
      <c r="N423" t="str">
        <f>IF([1]Sheet1!N459="","",[1]Sheet1!N459)</f>
        <v/>
      </c>
      <c r="O423" t="str">
        <f>IF([1]Sheet1!O459="","",[1]Sheet1!O459)</f>
        <v/>
      </c>
      <c r="P423" t="str">
        <f>IF([1]Sheet1!P459="","",[1]Sheet1!P459)</f>
        <v/>
      </c>
    </row>
    <row r="424" spans="1:16" x14ac:dyDescent="0.25">
      <c r="A424" t="str">
        <f>IF([1]Sheet1!A460="","",[1]Sheet1!A460)</f>
        <v/>
      </c>
      <c r="B424" t="str">
        <f>IF([1]Sheet1!B460="","",[1]Sheet1!B460)</f>
        <v/>
      </c>
      <c r="C424" t="str">
        <f>IF([1]Sheet1!C460="","",[1]Sheet1!C460)</f>
        <v/>
      </c>
      <c r="D424" t="str">
        <f>IF([1]Sheet1!D460="","",[1]Sheet1!D460)</f>
        <v/>
      </c>
      <c r="E424" t="str">
        <f>IF([1]Sheet1!E460="","",[1]Sheet1!E460)</f>
        <v/>
      </c>
      <c r="F424" t="str">
        <f>IF([1]Sheet1!F460="","",[1]Sheet1!F460)</f>
        <v/>
      </c>
      <c r="G424" t="str">
        <f>IF([1]Sheet1!G460="","",[1]Sheet1!G460)</f>
        <v/>
      </c>
      <c r="H424" t="str">
        <f>IF([1]Sheet1!H460="","",[1]Sheet1!H460)</f>
        <v/>
      </c>
      <c r="I424" t="str">
        <f>IF([1]Sheet1!I460="","",[1]Sheet1!I460)</f>
        <v/>
      </c>
      <c r="J424" t="str">
        <f>IF([1]Sheet1!J460="","",[1]Sheet1!J460)</f>
        <v/>
      </c>
      <c r="K424" t="str">
        <f>IF([1]Sheet1!K460="","",[1]Sheet1!K460)</f>
        <v/>
      </c>
      <c r="L424" t="str">
        <f>IF([1]Sheet1!L460="","",[1]Sheet1!L460)</f>
        <v/>
      </c>
      <c r="M424" t="str">
        <f>IF([1]Sheet1!M460="","",[1]Sheet1!M460)</f>
        <v/>
      </c>
      <c r="N424" t="str">
        <f>IF([1]Sheet1!N460="","",[1]Sheet1!N460)</f>
        <v/>
      </c>
      <c r="O424" t="str">
        <f>IF([1]Sheet1!O460="","",[1]Sheet1!O460)</f>
        <v/>
      </c>
      <c r="P424" t="str">
        <f>IF([1]Sheet1!P460="","",[1]Sheet1!P460)</f>
        <v/>
      </c>
    </row>
    <row r="425" spans="1:16" x14ac:dyDescent="0.25">
      <c r="A425" t="str">
        <f>IF([1]Sheet1!A461="","",[1]Sheet1!A461)</f>
        <v/>
      </c>
      <c r="B425" t="str">
        <f>IF([1]Sheet1!B461="","",[1]Sheet1!B461)</f>
        <v/>
      </c>
      <c r="C425" t="str">
        <f>IF([1]Sheet1!C461="","",[1]Sheet1!C461)</f>
        <v/>
      </c>
      <c r="D425" t="str">
        <f>IF([1]Sheet1!D461="","",[1]Sheet1!D461)</f>
        <v/>
      </c>
      <c r="E425" t="str">
        <f>IF([1]Sheet1!E461="","",[1]Sheet1!E461)</f>
        <v/>
      </c>
      <c r="F425" t="str">
        <f>IF([1]Sheet1!F461="","",[1]Sheet1!F461)</f>
        <v/>
      </c>
      <c r="G425" t="str">
        <f>IF([1]Sheet1!G461="","",[1]Sheet1!G461)</f>
        <v/>
      </c>
      <c r="H425" t="str">
        <f>IF([1]Sheet1!H461="","",[1]Sheet1!H461)</f>
        <v/>
      </c>
      <c r="I425" t="str">
        <f>IF([1]Sheet1!I461="","",[1]Sheet1!I461)</f>
        <v/>
      </c>
      <c r="J425" t="str">
        <f>IF([1]Sheet1!J461="","",[1]Sheet1!J461)</f>
        <v/>
      </c>
      <c r="K425" t="str">
        <f>IF([1]Sheet1!K461="","",[1]Sheet1!K461)</f>
        <v/>
      </c>
      <c r="L425" t="str">
        <f>IF([1]Sheet1!L461="","",[1]Sheet1!L461)</f>
        <v/>
      </c>
      <c r="M425" t="str">
        <f>IF([1]Sheet1!M461="","",[1]Sheet1!M461)</f>
        <v/>
      </c>
      <c r="N425" t="str">
        <f>IF([1]Sheet1!N461="","",[1]Sheet1!N461)</f>
        <v/>
      </c>
      <c r="O425" t="str">
        <f>IF([1]Sheet1!O461="","",[1]Sheet1!O461)</f>
        <v/>
      </c>
      <c r="P425" t="str">
        <f>IF([1]Sheet1!P461="","",[1]Sheet1!P461)</f>
        <v/>
      </c>
    </row>
    <row r="426" spans="1:16" x14ac:dyDescent="0.25">
      <c r="A426" t="str">
        <f>IF([1]Sheet1!A462="","",[1]Sheet1!A462)</f>
        <v/>
      </c>
      <c r="B426" t="str">
        <f>IF([1]Sheet1!B462="","",[1]Sheet1!B462)</f>
        <v/>
      </c>
      <c r="C426" t="str">
        <f>IF([1]Sheet1!C462="","",[1]Sheet1!C462)</f>
        <v/>
      </c>
      <c r="D426" t="str">
        <f>IF([1]Sheet1!D462="","",[1]Sheet1!D462)</f>
        <v/>
      </c>
      <c r="E426" t="str">
        <f>IF([1]Sheet1!E462="","",[1]Sheet1!E462)</f>
        <v/>
      </c>
      <c r="F426" t="str">
        <f>IF([1]Sheet1!F462="","",[1]Sheet1!F462)</f>
        <v/>
      </c>
      <c r="G426" t="str">
        <f>IF([1]Sheet1!G462="","",[1]Sheet1!G462)</f>
        <v/>
      </c>
      <c r="H426" t="str">
        <f>IF([1]Sheet1!H462="","",[1]Sheet1!H462)</f>
        <v/>
      </c>
      <c r="I426" t="str">
        <f>IF([1]Sheet1!I462="","",[1]Sheet1!I462)</f>
        <v/>
      </c>
      <c r="J426" t="str">
        <f>IF([1]Sheet1!J462="","",[1]Sheet1!J462)</f>
        <v/>
      </c>
      <c r="K426" t="str">
        <f>IF([1]Sheet1!K462="","",[1]Sheet1!K462)</f>
        <v/>
      </c>
      <c r="L426" t="str">
        <f>IF([1]Sheet1!L462="","",[1]Sheet1!L462)</f>
        <v/>
      </c>
      <c r="M426" t="str">
        <f>IF([1]Sheet1!M462="","",[1]Sheet1!M462)</f>
        <v/>
      </c>
      <c r="N426" t="str">
        <f>IF([1]Sheet1!N462="","",[1]Sheet1!N462)</f>
        <v/>
      </c>
      <c r="O426" t="str">
        <f>IF([1]Sheet1!O462="","",[1]Sheet1!O462)</f>
        <v/>
      </c>
      <c r="P426" t="str">
        <f>IF([1]Sheet1!P462="","",[1]Sheet1!P462)</f>
        <v/>
      </c>
    </row>
    <row r="427" spans="1:16" x14ac:dyDescent="0.25">
      <c r="A427" t="str">
        <f>IF([1]Sheet1!A463="","",[1]Sheet1!A463)</f>
        <v/>
      </c>
      <c r="B427" t="str">
        <f>IF([1]Sheet1!B463="","",[1]Sheet1!B463)</f>
        <v/>
      </c>
      <c r="C427" t="str">
        <f>IF([1]Sheet1!C463="","",[1]Sheet1!C463)</f>
        <v/>
      </c>
      <c r="D427" t="str">
        <f>IF([1]Sheet1!D463="","",[1]Sheet1!D463)</f>
        <v/>
      </c>
      <c r="E427" t="str">
        <f>IF([1]Sheet1!E463="","",[1]Sheet1!E463)</f>
        <v/>
      </c>
      <c r="F427" t="str">
        <f>IF([1]Sheet1!F463="","",[1]Sheet1!F463)</f>
        <v/>
      </c>
      <c r="G427" t="str">
        <f>IF([1]Sheet1!G463="","",[1]Sheet1!G463)</f>
        <v/>
      </c>
      <c r="H427" t="str">
        <f>IF([1]Sheet1!H463="","",[1]Sheet1!H463)</f>
        <v/>
      </c>
      <c r="I427" t="str">
        <f>IF([1]Sheet1!I463="","",[1]Sheet1!I463)</f>
        <v/>
      </c>
      <c r="J427" t="str">
        <f>IF([1]Sheet1!J463="","",[1]Sheet1!J463)</f>
        <v/>
      </c>
      <c r="K427" t="str">
        <f>IF([1]Sheet1!K463="","",[1]Sheet1!K463)</f>
        <v/>
      </c>
      <c r="L427" t="str">
        <f>IF([1]Sheet1!L463="","",[1]Sheet1!L463)</f>
        <v/>
      </c>
      <c r="M427" t="str">
        <f>IF([1]Sheet1!M463="","",[1]Sheet1!M463)</f>
        <v/>
      </c>
      <c r="N427" t="str">
        <f>IF([1]Sheet1!N463="","",[1]Sheet1!N463)</f>
        <v/>
      </c>
      <c r="O427" t="str">
        <f>IF([1]Sheet1!O463="","",[1]Sheet1!O463)</f>
        <v/>
      </c>
      <c r="P427" t="str">
        <f>IF([1]Sheet1!P463="","",[1]Sheet1!P463)</f>
        <v/>
      </c>
    </row>
    <row r="428" spans="1:16" x14ac:dyDescent="0.25">
      <c r="A428" t="str">
        <f>IF([1]Sheet1!A464="","",[1]Sheet1!A464)</f>
        <v/>
      </c>
      <c r="B428" t="str">
        <f>IF([1]Sheet1!B464="","",[1]Sheet1!B464)</f>
        <v/>
      </c>
      <c r="C428" t="str">
        <f>IF([1]Sheet1!C464="","",[1]Sheet1!C464)</f>
        <v/>
      </c>
      <c r="D428" t="str">
        <f>IF([1]Sheet1!D464="","",[1]Sheet1!D464)</f>
        <v/>
      </c>
      <c r="E428" t="str">
        <f>IF([1]Sheet1!E464="","",[1]Sheet1!E464)</f>
        <v/>
      </c>
      <c r="F428" t="str">
        <f>IF([1]Sheet1!F464="","",[1]Sheet1!F464)</f>
        <v/>
      </c>
      <c r="G428" t="str">
        <f>IF([1]Sheet1!G464="","",[1]Sheet1!G464)</f>
        <v/>
      </c>
      <c r="H428" t="str">
        <f>IF([1]Sheet1!H464="","",[1]Sheet1!H464)</f>
        <v/>
      </c>
      <c r="I428" t="str">
        <f>IF([1]Sheet1!I464="","",[1]Sheet1!I464)</f>
        <v/>
      </c>
      <c r="J428" t="str">
        <f>IF([1]Sheet1!J464="","",[1]Sheet1!J464)</f>
        <v/>
      </c>
      <c r="K428" t="str">
        <f>IF([1]Sheet1!K464="","",[1]Sheet1!K464)</f>
        <v/>
      </c>
      <c r="L428" t="str">
        <f>IF([1]Sheet1!L464="","",[1]Sheet1!L464)</f>
        <v/>
      </c>
      <c r="M428" t="str">
        <f>IF([1]Sheet1!M464="","",[1]Sheet1!M464)</f>
        <v/>
      </c>
      <c r="N428" t="str">
        <f>IF([1]Sheet1!N464="","",[1]Sheet1!N464)</f>
        <v/>
      </c>
      <c r="O428" t="str">
        <f>IF([1]Sheet1!O464="","",[1]Sheet1!O464)</f>
        <v/>
      </c>
      <c r="P428" t="str">
        <f>IF([1]Sheet1!P464="","",[1]Sheet1!P464)</f>
        <v/>
      </c>
    </row>
    <row r="429" spans="1:16" x14ac:dyDescent="0.25">
      <c r="A429" t="str">
        <f>IF([1]Sheet1!A465="","",[1]Sheet1!A465)</f>
        <v/>
      </c>
      <c r="B429" t="str">
        <f>IF([1]Sheet1!B465="","",[1]Sheet1!B465)</f>
        <v/>
      </c>
      <c r="C429" t="str">
        <f>IF([1]Sheet1!C465="","",[1]Sheet1!C465)</f>
        <v/>
      </c>
      <c r="D429" t="str">
        <f>IF([1]Sheet1!D465="","",[1]Sheet1!D465)</f>
        <v/>
      </c>
      <c r="E429" t="str">
        <f>IF([1]Sheet1!E465="","",[1]Sheet1!E465)</f>
        <v/>
      </c>
      <c r="F429" t="str">
        <f>IF([1]Sheet1!F465="","",[1]Sheet1!F465)</f>
        <v/>
      </c>
      <c r="G429" t="str">
        <f>IF([1]Sheet1!G465="","",[1]Sheet1!G465)</f>
        <v/>
      </c>
      <c r="H429" t="str">
        <f>IF([1]Sheet1!H465="","",[1]Sheet1!H465)</f>
        <v/>
      </c>
      <c r="I429" t="str">
        <f>IF([1]Sheet1!I465="","",[1]Sheet1!I465)</f>
        <v/>
      </c>
      <c r="J429" t="str">
        <f>IF([1]Sheet1!J465="","",[1]Sheet1!J465)</f>
        <v/>
      </c>
      <c r="K429" t="str">
        <f>IF([1]Sheet1!K465="","",[1]Sheet1!K465)</f>
        <v/>
      </c>
      <c r="L429" t="str">
        <f>IF([1]Sheet1!L465="","",[1]Sheet1!L465)</f>
        <v/>
      </c>
      <c r="M429" t="str">
        <f>IF([1]Sheet1!M465="","",[1]Sheet1!M465)</f>
        <v/>
      </c>
      <c r="N429" t="str">
        <f>IF([1]Sheet1!N465="","",[1]Sheet1!N465)</f>
        <v/>
      </c>
      <c r="O429" t="str">
        <f>IF([1]Sheet1!O465="","",[1]Sheet1!O465)</f>
        <v/>
      </c>
      <c r="P429" t="str">
        <f>IF([1]Sheet1!P465="","",[1]Sheet1!P465)</f>
        <v/>
      </c>
    </row>
    <row r="430" spans="1:16" x14ac:dyDescent="0.25">
      <c r="A430" t="str">
        <f>IF([1]Sheet1!A466="","",[1]Sheet1!A466)</f>
        <v/>
      </c>
      <c r="B430" t="str">
        <f>IF([1]Sheet1!B466="","",[1]Sheet1!B466)</f>
        <v/>
      </c>
      <c r="C430" t="str">
        <f>IF([1]Sheet1!C466="","",[1]Sheet1!C466)</f>
        <v/>
      </c>
      <c r="D430" t="str">
        <f>IF([1]Sheet1!D466="","",[1]Sheet1!D466)</f>
        <v/>
      </c>
      <c r="E430" t="str">
        <f>IF([1]Sheet1!E466="","",[1]Sheet1!E466)</f>
        <v/>
      </c>
      <c r="F430" t="str">
        <f>IF([1]Sheet1!F466="","",[1]Sheet1!F466)</f>
        <v/>
      </c>
      <c r="G430" t="str">
        <f>IF([1]Sheet1!G466="","",[1]Sheet1!G466)</f>
        <v/>
      </c>
      <c r="H430" t="str">
        <f>IF([1]Sheet1!H466="","",[1]Sheet1!H466)</f>
        <v/>
      </c>
      <c r="I430" t="str">
        <f>IF([1]Sheet1!I466="","",[1]Sheet1!I466)</f>
        <v/>
      </c>
      <c r="J430" t="str">
        <f>IF([1]Sheet1!J466="","",[1]Sheet1!J466)</f>
        <v/>
      </c>
      <c r="K430" t="str">
        <f>IF([1]Sheet1!K466="","",[1]Sheet1!K466)</f>
        <v/>
      </c>
      <c r="L430" t="str">
        <f>IF([1]Sheet1!L466="","",[1]Sheet1!L466)</f>
        <v/>
      </c>
      <c r="M430" t="str">
        <f>IF([1]Sheet1!M466="","",[1]Sheet1!M466)</f>
        <v/>
      </c>
      <c r="N430" t="str">
        <f>IF([1]Sheet1!N466="","",[1]Sheet1!N466)</f>
        <v/>
      </c>
      <c r="O430" t="str">
        <f>IF([1]Sheet1!O466="","",[1]Sheet1!O466)</f>
        <v/>
      </c>
      <c r="P430" t="str">
        <f>IF([1]Sheet1!P466="","",[1]Sheet1!P466)</f>
        <v/>
      </c>
    </row>
    <row r="431" spans="1:16" x14ac:dyDescent="0.25">
      <c r="A431" t="str">
        <f>IF([1]Sheet1!A467="","",[1]Sheet1!A467)</f>
        <v/>
      </c>
      <c r="B431" t="str">
        <f>IF([1]Sheet1!B467="","",[1]Sheet1!B467)</f>
        <v/>
      </c>
      <c r="C431" t="str">
        <f>IF([1]Sheet1!C467="","",[1]Sheet1!C467)</f>
        <v/>
      </c>
      <c r="D431" t="str">
        <f>IF([1]Sheet1!D467="","",[1]Sheet1!D467)</f>
        <v/>
      </c>
      <c r="E431" t="str">
        <f>IF([1]Sheet1!E467="","",[1]Sheet1!E467)</f>
        <v/>
      </c>
      <c r="F431" t="str">
        <f>IF([1]Sheet1!F467="","",[1]Sheet1!F467)</f>
        <v/>
      </c>
      <c r="G431" t="str">
        <f>IF([1]Sheet1!G467="","",[1]Sheet1!G467)</f>
        <v/>
      </c>
      <c r="H431" t="str">
        <f>IF([1]Sheet1!H467="","",[1]Sheet1!H467)</f>
        <v/>
      </c>
      <c r="I431" t="str">
        <f>IF([1]Sheet1!I467="","",[1]Sheet1!I467)</f>
        <v/>
      </c>
      <c r="J431" t="str">
        <f>IF([1]Sheet1!J467="","",[1]Sheet1!J467)</f>
        <v/>
      </c>
      <c r="K431" t="str">
        <f>IF([1]Sheet1!K467="","",[1]Sheet1!K467)</f>
        <v/>
      </c>
      <c r="L431" t="str">
        <f>IF([1]Sheet1!L467="","",[1]Sheet1!L467)</f>
        <v/>
      </c>
      <c r="M431" t="str">
        <f>IF([1]Sheet1!M467="","",[1]Sheet1!M467)</f>
        <v/>
      </c>
      <c r="N431" t="str">
        <f>IF([1]Sheet1!N467="","",[1]Sheet1!N467)</f>
        <v/>
      </c>
      <c r="O431" t="str">
        <f>IF([1]Sheet1!O467="","",[1]Sheet1!O467)</f>
        <v/>
      </c>
      <c r="P431" t="str">
        <f>IF([1]Sheet1!P467="","",[1]Sheet1!P467)</f>
        <v/>
      </c>
    </row>
    <row r="432" spans="1:16" x14ac:dyDescent="0.25">
      <c r="A432" t="str">
        <f>IF([1]Sheet1!A468="","",[1]Sheet1!A468)</f>
        <v/>
      </c>
      <c r="B432" t="str">
        <f>IF([1]Sheet1!B468="","",[1]Sheet1!B468)</f>
        <v/>
      </c>
      <c r="C432" t="str">
        <f>IF([1]Sheet1!C468="","",[1]Sheet1!C468)</f>
        <v/>
      </c>
      <c r="D432" t="str">
        <f>IF([1]Sheet1!D468="","",[1]Sheet1!D468)</f>
        <v/>
      </c>
      <c r="E432" t="str">
        <f>IF([1]Sheet1!E468="","",[1]Sheet1!E468)</f>
        <v/>
      </c>
      <c r="F432" t="str">
        <f>IF([1]Sheet1!F468="","",[1]Sheet1!F468)</f>
        <v/>
      </c>
      <c r="G432" t="str">
        <f>IF([1]Sheet1!G468="","",[1]Sheet1!G468)</f>
        <v/>
      </c>
      <c r="H432" t="str">
        <f>IF([1]Sheet1!H468="","",[1]Sheet1!H468)</f>
        <v/>
      </c>
      <c r="I432" t="str">
        <f>IF([1]Sheet1!I468="","",[1]Sheet1!I468)</f>
        <v/>
      </c>
      <c r="J432" t="str">
        <f>IF([1]Sheet1!J468="","",[1]Sheet1!J468)</f>
        <v/>
      </c>
      <c r="K432" t="str">
        <f>IF([1]Sheet1!K468="","",[1]Sheet1!K468)</f>
        <v/>
      </c>
      <c r="L432" t="str">
        <f>IF([1]Sheet1!L468="","",[1]Sheet1!L468)</f>
        <v/>
      </c>
      <c r="M432" t="str">
        <f>IF([1]Sheet1!M468="","",[1]Sheet1!M468)</f>
        <v/>
      </c>
      <c r="N432" t="str">
        <f>IF([1]Sheet1!N468="","",[1]Sheet1!N468)</f>
        <v/>
      </c>
      <c r="O432" t="str">
        <f>IF([1]Sheet1!O468="","",[1]Sheet1!O468)</f>
        <v/>
      </c>
      <c r="P432" t="str">
        <f>IF([1]Sheet1!P468="","",[1]Sheet1!P468)</f>
        <v/>
      </c>
    </row>
    <row r="433" spans="1:16" x14ac:dyDescent="0.25">
      <c r="A433" t="str">
        <f>IF([1]Sheet1!A469="","",[1]Sheet1!A469)</f>
        <v/>
      </c>
      <c r="B433" t="str">
        <f>IF([1]Sheet1!B469="","",[1]Sheet1!B469)</f>
        <v/>
      </c>
      <c r="C433" t="str">
        <f>IF([1]Sheet1!C469="","",[1]Sheet1!C469)</f>
        <v/>
      </c>
      <c r="D433" t="str">
        <f>IF([1]Sheet1!D469="","",[1]Sheet1!D469)</f>
        <v/>
      </c>
      <c r="E433" t="str">
        <f>IF([1]Sheet1!E469="","",[1]Sheet1!E469)</f>
        <v/>
      </c>
      <c r="F433" t="str">
        <f>IF([1]Sheet1!F469="","",[1]Sheet1!F469)</f>
        <v/>
      </c>
      <c r="G433" t="str">
        <f>IF([1]Sheet1!G469="","",[1]Sheet1!G469)</f>
        <v/>
      </c>
      <c r="H433" t="str">
        <f>IF([1]Sheet1!H469="","",[1]Sheet1!H469)</f>
        <v/>
      </c>
      <c r="I433" t="str">
        <f>IF([1]Sheet1!I469="","",[1]Sheet1!I469)</f>
        <v/>
      </c>
      <c r="J433" t="str">
        <f>IF([1]Sheet1!J469="","",[1]Sheet1!J469)</f>
        <v/>
      </c>
      <c r="K433" t="str">
        <f>IF([1]Sheet1!K469="","",[1]Sheet1!K469)</f>
        <v/>
      </c>
      <c r="L433" t="str">
        <f>IF([1]Sheet1!L469="","",[1]Sheet1!L469)</f>
        <v/>
      </c>
      <c r="M433" t="str">
        <f>IF([1]Sheet1!M469="","",[1]Sheet1!M469)</f>
        <v/>
      </c>
      <c r="N433" t="str">
        <f>IF([1]Sheet1!N469="","",[1]Sheet1!N469)</f>
        <v/>
      </c>
      <c r="O433" t="str">
        <f>IF([1]Sheet1!O469="","",[1]Sheet1!O469)</f>
        <v/>
      </c>
      <c r="P433" t="str">
        <f>IF([1]Sheet1!P469="","",[1]Sheet1!P469)</f>
        <v/>
      </c>
    </row>
    <row r="434" spans="1:16" x14ac:dyDescent="0.25">
      <c r="A434" t="str">
        <f>IF([1]Sheet1!A470="","",[1]Sheet1!A470)</f>
        <v/>
      </c>
      <c r="B434" t="str">
        <f>IF([1]Sheet1!B470="","",[1]Sheet1!B470)</f>
        <v/>
      </c>
      <c r="C434" t="str">
        <f>IF([1]Sheet1!C470="","",[1]Sheet1!C470)</f>
        <v/>
      </c>
      <c r="D434" t="str">
        <f>IF([1]Sheet1!D470="","",[1]Sheet1!D470)</f>
        <v/>
      </c>
      <c r="E434" t="str">
        <f>IF([1]Sheet1!E470="","",[1]Sheet1!E470)</f>
        <v/>
      </c>
      <c r="F434" t="str">
        <f>IF([1]Sheet1!F470="","",[1]Sheet1!F470)</f>
        <v/>
      </c>
      <c r="G434" t="str">
        <f>IF([1]Sheet1!G470="","",[1]Sheet1!G470)</f>
        <v/>
      </c>
      <c r="H434" t="str">
        <f>IF([1]Sheet1!H470="","",[1]Sheet1!H470)</f>
        <v/>
      </c>
      <c r="I434" t="str">
        <f>IF([1]Sheet1!I470="","",[1]Sheet1!I470)</f>
        <v/>
      </c>
      <c r="J434" t="str">
        <f>IF([1]Sheet1!J470="","",[1]Sheet1!J470)</f>
        <v/>
      </c>
      <c r="K434" t="str">
        <f>IF([1]Sheet1!K470="","",[1]Sheet1!K470)</f>
        <v/>
      </c>
      <c r="L434" t="str">
        <f>IF([1]Sheet1!L470="","",[1]Sheet1!L470)</f>
        <v/>
      </c>
      <c r="M434" t="str">
        <f>IF([1]Sheet1!M470="","",[1]Sheet1!M470)</f>
        <v/>
      </c>
      <c r="N434" t="str">
        <f>IF([1]Sheet1!N470="","",[1]Sheet1!N470)</f>
        <v/>
      </c>
      <c r="O434" t="str">
        <f>IF([1]Sheet1!O470="","",[1]Sheet1!O470)</f>
        <v/>
      </c>
      <c r="P434" t="str">
        <f>IF([1]Sheet1!P470="","",[1]Sheet1!P470)</f>
        <v/>
      </c>
    </row>
    <row r="435" spans="1:16" x14ac:dyDescent="0.25">
      <c r="A435" t="str">
        <f>IF([1]Sheet1!A471="","",[1]Sheet1!A471)</f>
        <v/>
      </c>
      <c r="B435" t="str">
        <f>IF([1]Sheet1!B471="","",[1]Sheet1!B471)</f>
        <v/>
      </c>
      <c r="C435" t="str">
        <f>IF([1]Sheet1!C471="","",[1]Sheet1!C471)</f>
        <v/>
      </c>
      <c r="D435" t="str">
        <f>IF([1]Sheet1!D471="","",[1]Sheet1!D471)</f>
        <v/>
      </c>
      <c r="E435" t="str">
        <f>IF([1]Sheet1!E471="","",[1]Sheet1!E471)</f>
        <v/>
      </c>
      <c r="F435" t="str">
        <f>IF([1]Sheet1!F471="","",[1]Sheet1!F471)</f>
        <v/>
      </c>
      <c r="G435" t="str">
        <f>IF([1]Sheet1!G471="","",[1]Sheet1!G471)</f>
        <v/>
      </c>
      <c r="H435" t="str">
        <f>IF([1]Sheet1!H471="","",[1]Sheet1!H471)</f>
        <v/>
      </c>
      <c r="I435" t="str">
        <f>IF([1]Sheet1!I471="","",[1]Sheet1!I471)</f>
        <v/>
      </c>
      <c r="J435" t="str">
        <f>IF([1]Sheet1!J471="","",[1]Sheet1!J471)</f>
        <v/>
      </c>
      <c r="K435" t="str">
        <f>IF([1]Sheet1!K471="","",[1]Sheet1!K471)</f>
        <v/>
      </c>
      <c r="L435" t="str">
        <f>IF([1]Sheet1!L471="","",[1]Sheet1!L471)</f>
        <v/>
      </c>
      <c r="M435" t="str">
        <f>IF([1]Sheet1!M471="","",[1]Sheet1!M471)</f>
        <v/>
      </c>
      <c r="N435" t="str">
        <f>IF([1]Sheet1!N471="","",[1]Sheet1!N471)</f>
        <v/>
      </c>
      <c r="O435" t="str">
        <f>IF([1]Sheet1!O471="","",[1]Sheet1!O471)</f>
        <v/>
      </c>
      <c r="P435" t="str">
        <f>IF([1]Sheet1!P471="","",[1]Sheet1!P471)</f>
        <v/>
      </c>
    </row>
    <row r="436" spans="1:16" x14ac:dyDescent="0.25">
      <c r="A436" t="str">
        <f>IF([1]Sheet1!A472="","",[1]Sheet1!A472)</f>
        <v/>
      </c>
      <c r="B436" t="str">
        <f>IF([1]Sheet1!B472="","",[1]Sheet1!B472)</f>
        <v/>
      </c>
      <c r="C436" t="str">
        <f>IF([1]Sheet1!C472="","",[1]Sheet1!C472)</f>
        <v/>
      </c>
      <c r="D436" t="str">
        <f>IF([1]Sheet1!D472="","",[1]Sheet1!D472)</f>
        <v/>
      </c>
      <c r="E436" t="str">
        <f>IF([1]Sheet1!E472="","",[1]Sheet1!E472)</f>
        <v/>
      </c>
      <c r="F436" t="str">
        <f>IF([1]Sheet1!F472="","",[1]Sheet1!F472)</f>
        <v/>
      </c>
      <c r="G436" t="str">
        <f>IF([1]Sheet1!G472="","",[1]Sheet1!G472)</f>
        <v/>
      </c>
      <c r="H436" t="str">
        <f>IF([1]Sheet1!H472="","",[1]Sheet1!H472)</f>
        <v/>
      </c>
      <c r="I436" t="str">
        <f>IF([1]Sheet1!I472="","",[1]Sheet1!I472)</f>
        <v/>
      </c>
      <c r="J436" t="str">
        <f>IF([1]Sheet1!J472="","",[1]Sheet1!J472)</f>
        <v/>
      </c>
      <c r="K436" t="str">
        <f>IF([1]Sheet1!K472="","",[1]Sheet1!K472)</f>
        <v/>
      </c>
      <c r="L436" t="str">
        <f>IF([1]Sheet1!L472="","",[1]Sheet1!L472)</f>
        <v/>
      </c>
      <c r="M436" t="str">
        <f>IF([1]Sheet1!M472="","",[1]Sheet1!M472)</f>
        <v/>
      </c>
      <c r="N436" t="str">
        <f>IF([1]Sheet1!N472="","",[1]Sheet1!N472)</f>
        <v/>
      </c>
      <c r="O436" t="str">
        <f>IF([1]Sheet1!O472="","",[1]Sheet1!O472)</f>
        <v/>
      </c>
      <c r="P436" t="str">
        <f>IF([1]Sheet1!P472="","",[1]Sheet1!P472)</f>
        <v/>
      </c>
    </row>
    <row r="437" spans="1:16" x14ac:dyDescent="0.25">
      <c r="A437" t="str">
        <f>IF([1]Sheet1!A473="","",[1]Sheet1!A473)</f>
        <v/>
      </c>
      <c r="B437" t="str">
        <f>IF([1]Sheet1!B473="","",[1]Sheet1!B473)</f>
        <v/>
      </c>
      <c r="C437" t="str">
        <f>IF([1]Sheet1!C473="","",[1]Sheet1!C473)</f>
        <v/>
      </c>
      <c r="D437" t="str">
        <f>IF([1]Sheet1!D473="","",[1]Sheet1!D473)</f>
        <v/>
      </c>
      <c r="E437" t="str">
        <f>IF([1]Sheet1!E473="","",[1]Sheet1!E473)</f>
        <v/>
      </c>
      <c r="F437" t="str">
        <f>IF([1]Sheet1!F473="","",[1]Sheet1!F473)</f>
        <v/>
      </c>
      <c r="G437" t="str">
        <f>IF([1]Sheet1!G473="","",[1]Sheet1!G473)</f>
        <v/>
      </c>
      <c r="H437" t="str">
        <f>IF([1]Sheet1!H473="","",[1]Sheet1!H473)</f>
        <v/>
      </c>
      <c r="I437" t="str">
        <f>IF([1]Sheet1!I473="","",[1]Sheet1!I473)</f>
        <v/>
      </c>
      <c r="J437" t="str">
        <f>IF([1]Sheet1!J473="","",[1]Sheet1!J473)</f>
        <v/>
      </c>
      <c r="K437" t="str">
        <f>IF([1]Sheet1!K473="","",[1]Sheet1!K473)</f>
        <v/>
      </c>
      <c r="L437" t="str">
        <f>IF([1]Sheet1!L473="","",[1]Sheet1!L473)</f>
        <v/>
      </c>
      <c r="M437" t="str">
        <f>IF([1]Sheet1!M473="","",[1]Sheet1!M473)</f>
        <v/>
      </c>
      <c r="N437" t="str">
        <f>IF([1]Sheet1!N473="","",[1]Sheet1!N473)</f>
        <v/>
      </c>
      <c r="O437" t="str">
        <f>IF([1]Sheet1!O473="","",[1]Sheet1!O473)</f>
        <v/>
      </c>
      <c r="P437" t="str">
        <f>IF([1]Sheet1!P473="","",[1]Sheet1!P473)</f>
        <v/>
      </c>
    </row>
    <row r="438" spans="1:16" x14ac:dyDescent="0.25">
      <c r="A438" t="str">
        <f>IF([1]Sheet1!A474="","",[1]Sheet1!A474)</f>
        <v/>
      </c>
      <c r="B438" t="str">
        <f>IF([1]Sheet1!B474="","",[1]Sheet1!B474)</f>
        <v/>
      </c>
      <c r="C438" t="str">
        <f>IF([1]Sheet1!C474="","",[1]Sheet1!C474)</f>
        <v/>
      </c>
      <c r="D438" t="str">
        <f>IF([1]Sheet1!D474="","",[1]Sheet1!D474)</f>
        <v/>
      </c>
      <c r="E438" t="str">
        <f>IF([1]Sheet1!E474="","",[1]Sheet1!E474)</f>
        <v/>
      </c>
      <c r="F438" t="str">
        <f>IF([1]Sheet1!F474="","",[1]Sheet1!F474)</f>
        <v/>
      </c>
      <c r="G438" t="str">
        <f>IF([1]Sheet1!G474="","",[1]Sheet1!G474)</f>
        <v/>
      </c>
      <c r="H438" t="str">
        <f>IF([1]Sheet1!H474="","",[1]Sheet1!H474)</f>
        <v/>
      </c>
      <c r="I438" t="str">
        <f>IF([1]Sheet1!I474="","",[1]Sheet1!I474)</f>
        <v/>
      </c>
      <c r="J438" t="str">
        <f>IF([1]Sheet1!J474="","",[1]Sheet1!J474)</f>
        <v/>
      </c>
      <c r="K438" t="str">
        <f>IF([1]Sheet1!K474="","",[1]Sheet1!K474)</f>
        <v/>
      </c>
      <c r="L438" t="str">
        <f>IF([1]Sheet1!L474="","",[1]Sheet1!L474)</f>
        <v/>
      </c>
      <c r="M438" t="str">
        <f>IF([1]Sheet1!M474="","",[1]Sheet1!M474)</f>
        <v/>
      </c>
      <c r="N438" t="str">
        <f>IF([1]Sheet1!N474="","",[1]Sheet1!N474)</f>
        <v/>
      </c>
      <c r="O438" t="str">
        <f>IF([1]Sheet1!O474="","",[1]Sheet1!O474)</f>
        <v/>
      </c>
      <c r="P438" t="str">
        <f>IF([1]Sheet1!P474="","",[1]Sheet1!P474)</f>
        <v/>
      </c>
    </row>
    <row r="439" spans="1:16" x14ac:dyDescent="0.25">
      <c r="A439" t="str">
        <f>IF([1]Sheet1!A475="","",[1]Sheet1!A475)</f>
        <v/>
      </c>
      <c r="B439" t="str">
        <f>IF([1]Sheet1!B475="","",[1]Sheet1!B475)</f>
        <v/>
      </c>
      <c r="C439" t="str">
        <f>IF([1]Sheet1!C475="","",[1]Sheet1!C475)</f>
        <v/>
      </c>
      <c r="D439" t="str">
        <f>IF([1]Sheet1!D475="","",[1]Sheet1!D475)</f>
        <v/>
      </c>
      <c r="E439" t="str">
        <f>IF([1]Sheet1!E475="","",[1]Sheet1!E475)</f>
        <v/>
      </c>
      <c r="F439" t="str">
        <f>IF([1]Sheet1!F475="","",[1]Sheet1!F475)</f>
        <v/>
      </c>
      <c r="G439" t="str">
        <f>IF([1]Sheet1!G475="","",[1]Sheet1!G475)</f>
        <v/>
      </c>
      <c r="H439" t="str">
        <f>IF([1]Sheet1!H475="","",[1]Sheet1!H475)</f>
        <v/>
      </c>
      <c r="I439" t="str">
        <f>IF([1]Sheet1!I475="","",[1]Sheet1!I475)</f>
        <v/>
      </c>
      <c r="J439" t="str">
        <f>IF([1]Sheet1!J475="","",[1]Sheet1!J475)</f>
        <v/>
      </c>
      <c r="K439" t="str">
        <f>IF([1]Sheet1!K475="","",[1]Sheet1!K475)</f>
        <v/>
      </c>
      <c r="L439" t="str">
        <f>IF([1]Sheet1!L475="","",[1]Sheet1!L475)</f>
        <v/>
      </c>
      <c r="M439" t="str">
        <f>IF([1]Sheet1!M475="","",[1]Sheet1!M475)</f>
        <v/>
      </c>
      <c r="N439" t="str">
        <f>IF([1]Sheet1!N475="","",[1]Sheet1!N475)</f>
        <v/>
      </c>
      <c r="O439" t="str">
        <f>IF([1]Sheet1!O475="","",[1]Sheet1!O475)</f>
        <v/>
      </c>
      <c r="P439" t="str">
        <f>IF([1]Sheet1!P475="","",[1]Sheet1!P475)</f>
        <v/>
      </c>
    </row>
    <row r="440" spans="1:16" x14ac:dyDescent="0.25">
      <c r="A440" t="str">
        <f>IF([1]Sheet1!A476="","",[1]Sheet1!A476)</f>
        <v/>
      </c>
      <c r="B440" t="str">
        <f>IF([1]Sheet1!B476="","",[1]Sheet1!B476)</f>
        <v/>
      </c>
      <c r="C440" t="str">
        <f>IF([1]Sheet1!C476="","",[1]Sheet1!C476)</f>
        <v/>
      </c>
      <c r="D440" t="str">
        <f>IF([1]Sheet1!D476="","",[1]Sheet1!D476)</f>
        <v/>
      </c>
      <c r="E440" t="str">
        <f>IF([1]Sheet1!E476="","",[1]Sheet1!E476)</f>
        <v/>
      </c>
      <c r="F440" t="str">
        <f>IF([1]Sheet1!F476="","",[1]Sheet1!F476)</f>
        <v/>
      </c>
      <c r="G440" t="str">
        <f>IF([1]Sheet1!G476="","",[1]Sheet1!G476)</f>
        <v/>
      </c>
      <c r="H440" t="str">
        <f>IF([1]Sheet1!H476="","",[1]Sheet1!H476)</f>
        <v/>
      </c>
      <c r="I440" t="str">
        <f>IF([1]Sheet1!I476="","",[1]Sheet1!I476)</f>
        <v/>
      </c>
      <c r="J440" t="str">
        <f>IF([1]Sheet1!J476="","",[1]Sheet1!J476)</f>
        <v/>
      </c>
      <c r="K440" t="str">
        <f>IF([1]Sheet1!K476="","",[1]Sheet1!K476)</f>
        <v/>
      </c>
      <c r="L440" t="str">
        <f>IF([1]Sheet1!L476="","",[1]Sheet1!L476)</f>
        <v/>
      </c>
      <c r="M440" t="str">
        <f>IF([1]Sheet1!M476="","",[1]Sheet1!M476)</f>
        <v/>
      </c>
      <c r="N440" t="str">
        <f>IF([1]Sheet1!N476="","",[1]Sheet1!N476)</f>
        <v/>
      </c>
      <c r="O440" t="str">
        <f>IF([1]Sheet1!O476="","",[1]Sheet1!O476)</f>
        <v/>
      </c>
      <c r="P440" t="str">
        <f>IF([1]Sheet1!P476="","",[1]Sheet1!P476)</f>
        <v/>
      </c>
    </row>
    <row r="441" spans="1:16" x14ac:dyDescent="0.25">
      <c r="A441" t="str">
        <f>IF([1]Sheet1!A477="","",[1]Sheet1!A477)</f>
        <v/>
      </c>
      <c r="B441" t="str">
        <f>IF([1]Sheet1!B477="","",[1]Sheet1!B477)</f>
        <v/>
      </c>
      <c r="C441" t="str">
        <f>IF([1]Sheet1!C477="","",[1]Sheet1!C477)</f>
        <v/>
      </c>
      <c r="D441" t="str">
        <f>IF([1]Sheet1!D477="","",[1]Sheet1!D477)</f>
        <v/>
      </c>
      <c r="E441" t="str">
        <f>IF([1]Sheet1!E477="","",[1]Sheet1!E477)</f>
        <v/>
      </c>
      <c r="F441" t="str">
        <f>IF([1]Sheet1!F477="","",[1]Sheet1!F477)</f>
        <v/>
      </c>
      <c r="G441" t="str">
        <f>IF([1]Sheet1!G477="","",[1]Sheet1!G477)</f>
        <v/>
      </c>
      <c r="H441" t="str">
        <f>IF([1]Sheet1!H477="","",[1]Sheet1!H477)</f>
        <v/>
      </c>
      <c r="I441" t="str">
        <f>IF([1]Sheet1!I477="","",[1]Sheet1!I477)</f>
        <v/>
      </c>
      <c r="J441" t="str">
        <f>IF([1]Sheet1!J477="","",[1]Sheet1!J477)</f>
        <v/>
      </c>
      <c r="K441" t="str">
        <f>IF([1]Sheet1!K477="","",[1]Sheet1!K477)</f>
        <v/>
      </c>
      <c r="L441" t="str">
        <f>IF([1]Sheet1!L477="","",[1]Sheet1!L477)</f>
        <v/>
      </c>
      <c r="M441" t="str">
        <f>IF([1]Sheet1!M477="","",[1]Sheet1!M477)</f>
        <v/>
      </c>
      <c r="N441" t="str">
        <f>IF([1]Sheet1!N477="","",[1]Sheet1!N477)</f>
        <v/>
      </c>
      <c r="O441" t="str">
        <f>IF([1]Sheet1!O477="","",[1]Sheet1!O477)</f>
        <v/>
      </c>
      <c r="P441" t="str">
        <f>IF([1]Sheet1!P477="","",[1]Sheet1!P477)</f>
        <v/>
      </c>
    </row>
    <row r="442" spans="1:16" x14ac:dyDescent="0.25">
      <c r="A442" t="str">
        <f>IF([1]Sheet1!A478="","",[1]Sheet1!A478)</f>
        <v/>
      </c>
      <c r="B442" t="str">
        <f>IF([1]Sheet1!B478="","",[1]Sheet1!B478)</f>
        <v/>
      </c>
      <c r="C442" t="str">
        <f>IF([1]Sheet1!C478="","",[1]Sheet1!C478)</f>
        <v/>
      </c>
      <c r="D442" t="str">
        <f>IF([1]Sheet1!D478="","",[1]Sheet1!D478)</f>
        <v/>
      </c>
      <c r="E442" t="str">
        <f>IF([1]Sheet1!E478="","",[1]Sheet1!E478)</f>
        <v/>
      </c>
      <c r="F442" t="str">
        <f>IF([1]Sheet1!F478="","",[1]Sheet1!F478)</f>
        <v/>
      </c>
      <c r="G442" t="str">
        <f>IF([1]Sheet1!G478="","",[1]Sheet1!G478)</f>
        <v/>
      </c>
      <c r="H442" t="str">
        <f>IF([1]Sheet1!H478="","",[1]Sheet1!H478)</f>
        <v/>
      </c>
      <c r="I442" t="str">
        <f>IF([1]Sheet1!I478="","",[1]Sheet1!I478)</f>
        <v/>
      </c>
      <c r="J442" t="str">
        <f>IF([1]Sheet1!J478="","",[1]Sheet1!J478)</f>
        <v/>
      </c>
      <c r="K442" t="str">
        <f>IF([1]Sheet1!K478="","",[1]Sheet1!K478)</f>
        <v/>
      </c>
      <c r="L442" t="str">
        <f>IF([1]Sheet1!L478="","",[1]Sheet1!L478)</f>
        <v/>
      </c>
      <c r="M442" t="str">
        <f>IF([1]Sheet1!M478="","",[1]Sheet1!M478)</f>
        <v/>
      </c>
      <c r="N442" t="str">
        <f>IF([1]Sheet1!N478="","",[1]Sheet1!N478)</f>
        <v/>
      </c>
      <c r="O442" t="str">
        <f>IF([1]Sheet1!O478="","",[1]Sheet1!O478)</f>
        <v/>
      </c>
      <c r="P442" t="str">
        <f>IF([1]Sheet1!P478="","",[1]Sheet1!P478)</f>
        <v/>
      </c>
    </row>
    <row r="443" spans="1:16" x14ac:dyDescent="0.25">
      <c r="A443" t="str">
        <f>IF([1]Sheet1!A479="","",[1]Sheet1!A479)</f>
        <v/>
      </c>
      <c r="B443" t="str">
        <f>IF([1]Sheet1!B479="","",[1]Sheet1!B479)</f>
        <v/>
      </c>
      <c r="C443" t="str">
        <f>IF([1]Sheet1!C479="","",[1]Sheet1!C479)</f>
        <v/>
      </c>
      <c r="D443" t="str">
        <f>IF([1]Sheet1!D479="","",[1]Sheet1!D479)</f>
        <v/>
      </c>
      <c r="E443" t="str">
        <f>IF([1]Sheet1!E479="","",[1]Sheet1!E479)</f>
        <v/>
      </c>
      <c r="F443" t="str">
        <f>IF([1]Sheet1!F479="","",[1]Sheet1!F479)</f>
        <v/>
      </c>
      <c r="G443" t="str">
        <f>IF([1]Sheet1!G479="","",[1]Sheet1!G479)</f>
        <v/>
      </c>
      <c r="H443" t="str">
        <f>IF([1]Sheet1!H479="","",[1]Sheet1!H479)</f>
        <v/>
      </c>
      <c r="I443" t="str">
        <f>IF([1]Sheet1!I479="","",[1]Sheet1!I479)</f>
        <v/>
      </c>
      <c r="J443" t="str">
        <f>IF([1]Sheet1!J479="","",[1]Sheet1!J479)</f>
        <v/>
      </c>
      <c r="K443" t="str">
        <f>IF([1]Sheet1!K479="","",[1]Sheet1!K479)</f>
        <v/>
      </c>
      <c r="L443" t="str">
        <f>IF([1]Sheet1!L479="","",[1]Sheet1!L479)</f>
        <v/>
      </c>
      <c r="M443" t="str">
        <f>IF([1]Sheet1!M479="","",[1]Sheet1!M479)</f>
        <v/>
      </c>
      <c r="N443" t="str">
        <f>IF([1]Sheet1!N479="","",[1]Sheet1!N479)</f>
        <v/>
      </c>
      <c r="O443" t="str">
        <f>IF([1]Sheet1!O479="","",[1]Sheet1!O479)</f>
        <v/>
      </c>
      <c r="P443" t="str">
        <f>IF([1]Sheet1!P479="","",[1]Sheet1!P479)</f>
        <v/>
      </c>
    </row>
    <row r="444" spans="1:16" x14ac:dyDescent="0.25">
      <c r="A444" t="str">
        <f>IF([1]Sheet1!A480="","",[1]Sheet1!A480)</f>
        <v/>
      </c>
      <c r="B444" t="str">
        <f>IF([1]Sheet1!B480="","",[1]Sheet1!B480)</f>
        <v/>
      </c>
      <c r="C444" t="str">
        <f>IF([1]Sheet1!C480="","",[1]Sheet1!C480)</f>
        <v/>
      </c>
      <c r="D444" t="str">
        <f>IF([1]Sheet1!D480="","",[1]Sheet1!D480)</f>
        <v/>
      </c>
      <c r="E444" t="str">
        <f>IF([1]Sheet1!E480="","",[1]Sheet1!E480)</f>
        <v/>
      </c>
      <c r="F444" t="str">
        <f>IF([1]Sheet1!F480="","",[1]Sheet1!F480)</f>
        <v/>
      </c>
      <c r="G444" t="str">
        <f>IF([1]Sheet1!G480="","",[1]Sheet1!G480)</f>
        <v/>
      </c>
      <c r="H444" t="str">
        <f>IF([1]Sheet1!H480="","",[1]Sheet1!H480)</f>
        <v/>
      </c>
      <c r="I444" t="str">
        <f>IF([1]Sheet1!I480="","",[1]Sheet1!I480)</f>
        <v/>
      </c>
      <c r="J444" t="str">
        <f>IF([1]Sheet1!J480="","",[1]Sheet1!J480)</f>
        <v/>
      </c>
      <c r="K444" t="str">
        <f>IF([1]Sheet1!K480="","",[1]Sheet1!K480)</f>
        <v/>
      </c>
      <c r="L444" t="str">
        <f>IF([1]Sheet1!L480="","",[1]Sheet1!L480)</f>
        <v/>
      </c>
      <c r="M444" t="str">
        <f>IF([1]Sheet1!M480="","",[1]Sheet1!M480)</f>
        <v/>
      </c>
      <c r="N444" t="str">
        <f>IF([1]Sheet1!N480="","",[1]Sheet1!N480)</f>
        <v/>
      </c>
      <c r="O444" t="str">
        <f>IF([1]Sheet1!O480="","",[1]Sheet1!O480)</f>
        <v/>
      </c>
      <c r="P444" t="str">
        <f>IF([1]Sheet1!P480="","",[1]Sheet1!P480)</f>
        <v/>
      </c>
    </row>
    <row r="445" spans="1:16" x14ac:dyDescent="0.25">
      <c r="A445" t="str">
        <f>IF([1]Sheet1!A481="","",[1]Sheet1!A481)</f>
        <v/>
      </c>
      <c r="B445" t="str">
        <f>IF([1]Sheet1!B481="","",[1]Sheet1!B481)</f>
        <v/>
      </c>
      <c r="C445" t="str">
        <f>IF([1]Sheet1!C481="","",[1]Sheet1!C481)</f>
        <v/>
      </c>
      <c r="D445" t="str">
        <f>IF([1]Sheet1!D481="","",[1]Sheet1!D481)</f>
        <v/>
      </c>
      <c r="E445" t="str">
        <f>IF([1]Sheet1!E481="","",[1]Sheet1!E481)</f>
        <v/>
      </c>
      <c r="F445" t="str">
        <f>IF([1]Sheet1!F481="","",[1]Sheet1!F481)</f>
        <v/>
      </c>
      <c r="G445" t="str">
        <f>IF([1]Sheet1!G481="","",[1]Sheet1!G481)</f>
        <v/>
      </c>
      <c r="H445" t="str">
        <f>IF([1]Sheet1!H481="","",[1]Sheet1!H481)</f>
        <v/>
      </c>
      <c r="I445" t="str">
        <f>IF([1]Sheet1!I481="","",[1]Sheet1!I481)</f>
        <v/>
      </c>
      <c r="J445" t="str">
        <f>IF([1]Sheet1!J481="","",[1]Sheet1!J481)</f>
        <v/>
      </c>
      <c r="K445" t="str">
        <f>IF([1]Sheet1!K481="","",[1]Sheet1!K481)</f>
        <v/>
      </c>
      <c r="L445" t="str">
        <f>IF([1]Sheet1!L481="","",[1]Sheet1!L481)</f>
        <v/>
      </c>
      <c r="M445" t="str">
        <f>IF([1]Sheet1!M481="","",[1]Sheet1!M481)</f>
        <v/>
      </c>
      <c r="N445" t="str">
        <f>IF([1]Sheet1!N481="","",[1]Sheet1!N481)</f>
        <v/>
      </c>
      <c r="O445" t="str">
        <f>IF([1]Sheet1!O481="","",[1]Sheet1!O481)</f>
        <v/>
      </c>
      <c r="P445" t="str">
        <f>IF([1]Sheet1!P481="","",[1]Sheet1!P481)</f>
        <v/>
      </c>
    </row>
    <row r="446" spans="1:16" x14ac:dyDescent="0.25">
      <c r="A446" t="str">
        <f>IF([1]Sheet1!A482="","",[1]Sheet1!A482)</f>
        <v/>
      </c>
      <c r="B446" t="str">
        <f>IF([1]Sheet1!B482="","",[1]Sheet1!B482)</f>
        <v/>
      </c>
      <c r="C446" t="str">
        <f>IF([1]Sheet1!C482="","",[1]Sheet1!C482)</f>
        <v/>
      </c>
      <c r="D446" t="str">
        <f>IF([1]Sheet1!D482="","",[1]Sheet1!D482)</f>
        <v/>
      </c>
      <c r="E446" t="str">
        <f>IF([1]Sheet1!E482="","",[1]Sheet1!E482)</f>
        <v/>
      </c>
      <c r="F446" t="str">
        <f>IF([1]Sheet1!F482="","",[1]Sheet1!F482)</f>
        <v/>
      </c>
      <c r="G446" t="str">
        <f>IF([1]Sheet1!G482="","",[1]Sheet1!G482)</f>
        <v/>
      </c>
      <c r="H446" t="str">
        <f>IF([1]Sheet1!H482="","",[1]Sheet1!H482)</f>
        <v/>
      </c>
      <c r="I446" t="str">
        <f>IF([1]Sheet1!I482="","",[1]Sheet1!I482)</f>
        <v/>
      </c>
      <c r="J446" t="str">
        <f>IF([1]Sheet1!J482="","",[1]Sheet1!J482)</f>
        <v/>
      </c>
      <c r="K446" t="str">
        <f>IF([1]Sheet1!K482="","",[1]Sheet1!K482)</f>
        <v/>
      </c>
      <c r="L446" t="str">
        <f>IF([1]Sheet1!L482="","",[1]Sheet1!L482)</f>
        <v/>
      </c>
      <c r="M446" t="str">
        <f>IF([1]Sheet1!M482="","",[1]Sheet1!M482)</f>
        <v/>
      </c>
      <c r="N446" t="str">
        <f>IF([1]Sheet1!N482="","",[1]Sheet1!N482)</f>
        <v/>
      </c>
      <c r="O446" t="str">
        <f>IF([1]Sheet1!O482="","",[1]Sheet1!O482)</f>
        <v/>
      </c>
      <c r="P446" t="str">
        <f>IF([1]Sheet1!P482="","",[1]Sheet1!P482)</f>
        <v/>
      </c>
    </row>
    <row r="447" spans="1:16" x14ac:dyDescent="0.25">
      <c r="A447" t="str">
        <f>IF([1]Sheet1!A483="","",[1]Sheet1!A483)</f>
        <v/>
      </c>
      <c r="B447" t="str">
        <f>IF([1]Sheet1!B483="","",[1]Sheet1!B483)</f>
        <v/>
      </c>
      <c r="C447" t="str">
        <f>IF([1]Sheet1!C483="","",[1]Sheet1!C483)</f>
        <v/>
      </c>
      <c r="D447" t="str">
        <f>IF([1]Sheet1!D483="","",[1]Sheet1!D483)</f>
        <v/>
      </c>
      <c r="E447" t="str">
        <f>IF([1]Sheet1!E483="","",[1]Sheet1!E483)</f>
        <v/>
      </c>
      <c r="F447" t="str">
        <f>IF([1]Sheet1!F483="","",[1]Sheet1!F483)</f>
        <v/>
      </c>
      <c r="G447" t="str">
        <f>IF([1]Sheet1!G483="","",[1]Sheet1!G483)</f>
        <v/>
      </c>
      <c r="H447" t="str">
        <f>IF([1]Sheet1!H483="","",[1]Sheet1!H483)</f>
        <v/>
      </c>
      <c r="I447" t="str">
        <f>IF([1]Sheet1!I483="","",[1]Sheet1!I483)</f>
        <v/>
      </c>
      <c r="J447" t="str">
        <f>IF([1]Sheet1!J483="","",[1]Sheet1!J483)</f>
        <v/>
      </c>
      <c r="K447" t="str">
        <f>IF([1]Sheet1!K483="","",[1]Sheet1!K483)</f>
        <v/>
      </c>
      <c r="L447" t="str">
        <f>IF([1]Sheet1!L483="","",[1]Sheet1!L483)</f>
        <v/>
      </c>
      <c r="M447" t="str">
        <f>IF([1]Sheet1!M483="","",[1]Sheet1!M483)</f>
        <v/>
      </c>
      <c r="N447" t="str">
        <f>IF([1]Sheet1!N483="","",[1]Sheet1!N483)</f>
        <v/>
      </c>
      <c r="O447" t="str">
        <f>IF([1]Sheet1!O483="","",[1]Sheet1!O483)</f>
        <v/>
      </c>
      <c r="P447" t="str">
        <f>IF([1]Sheet1!P483="","",[1]Sheet1!P483)</f>
        <v/>
      </c>
    </row>
    <row r="448" spans="1:16" x14ac:dyDescent="0.25">
      <c r="A448" t="str">
        <f>IF([1]Sheet1!A484="","",[1]Sheet1!A484)</f>
        <v/>
      </c>
      <c r="B448" t="str">
        <f>IF([1]Sheet1!B484="","",[1]Sheet1!B484)</f>
        <v/>
      </c>
      <c r="C448" t="str">
        <f>IF([1]Sheet1!C484="","",[1]Sheet1!C484)</f>
        <v/>
      </c>
      <c r="D448" t="str">
        <f>IF([1]Sheet1!D484="","",[1]Sheet1!D484)</f>
        <v/>
      </c>
      <c r="E448" t="str">
        <f>IF([1]Sheet1!E484="","",[1]Sheet1!E484)</f>
        <v/>
      </c>
      <c r="F448" t="str">
        <f>IF([1]Sheet1!F484="","",[1]Sheet1!F484)</f>
        <v/>
      </c>
      <c r="G448" t="str">
        <f>IF([1]Sheet1!G484="","",[1]Sheet1!G484)</f>
        <v/>
      </c>
      <c r="H448" t="str">
        <f>IF([1]Sheet1!H484="","",[1]Sheet1!H484)</f>
        <v/>
      </c>
      <c r="I448" t="str">
        <f>IF([1]Sheet1!I484="","",[1]Sheet1!I484)</f>
        <v/>
      </c>
      <c r="J448" t="str">
        <f>IF([1]Sheet1!J484="","",[1]Sheet1!J484)</f>
        <v/>
      </c>
      <c r="K448" t="str">
        <f>IF([1]Sheet1!K484="","",[1]Sheet1!K484)</f>
        <v/>
      </c>
      <c r="L448" t="str">
        <f>IF([1]Sheet1!L484="","",[1]Sheet1!L484)</f>
        <v/>
      </c>
      <c r="M448" t="str">
        <f>IF([1]Sheet1!M484="","",[1]Sheet1!M484)</f>
        <v/>
      </c>
      <c r="N448" t="str">
        <f>IF([1]Sheet1!N484="","",[1]Sheet1!N484)</f>
        <v/>
      </c>
      <c r="O448" t="str">
        <f>IF([1]Sheet1!O484="","",[1]Sheet1!O484)</f>
        <v/>
      </c>
      <c r="P448" t="str">
        <f>IF([1]Sheet1!P484="","",[1]Sheet1!P484)</f>
        <v/>
      </c>
    </row>
    <row r="449" spans="1:16" x14ac:dyDescent="0.25">
      <c r="A449" t="str">
        <f>IF([1]Sheet1!A485="","",[1]Sheet1!A485)</f>
        <v/>
      </c>
      <c r="B449" t="str">
        <f>IF([1]Sheet1!B485="","",[1]Sheet1!B485)</f>
        <v/>
      </c>
      <c r="C449" t="str">
        <f>IF([1]Sheet1!C485="","",[1]Sheet1!C485)</f>
        <v/>
      </c>
      <c r="D449" t="str">
        <f>IF([1]Sheet1!D485="","",[1]Sheet1!D485)</f>
        <v/>
      </c>
      <c r="E449" t="str">
        <f>IF([1]Sheet1!E485="","",[1]Sheet1!E485)</f>
        <v/>
      </c>
      <c r="F449" t="str">
        <f>IF([1]Sheet1!F485="","",[1]Sheet1!F485)</f>
        <v/>
      </c>
      <c r="G449" t="str">
        <f>IF([1]Sheet1!G485="","",[1]Sheet1!G485)</f>
        <v/>
      </c>
      <c r="H449" t="str">
        <f>IF([1]Sheet1!H485="","",[1]Sheet1!H485)</f>
        <v/>
      </c>
      <c r="I449" t="str">
        <f>IF([1]Sheet1!I485="","",[1]Sheet1!I485)</f>
        <v/>
      </c>
      <c r="J449" t="str">
        <f>IF([1]Sheet1!J485="","",[1]Sheet1!J485)</f>
        <v/>
      </c>
      <c r="K449" t="str">
        <f>IF([1]Sheet1!K485="","",[1]Sheet1!K485)</f>
        <v/>
      </c>
      <c r="L449" t="str">
        <f>IF([1]Sheet1!L485="","",[1]Sheet1!L485)</f>
        <v/>
      </c>
      <c r="M449" t="str">
        <f>IF([1]Sheet1!M485="","",[1]Sheet1!M485)</f>
        <v/>
      </c>
      <c r="N449" t="str">
        <f>IF([1]Sheet1!N485="","",[1]Sheet1!N485)</f>
        <v/>
      </c>
      <c r="O449" t="str">
        <f>IF([1]Sheet1!O485="","",[1]Sheet1!O485)</f>
        <v/>
      </c>
      <c r="P449" t="str">
        <f>IF([1]Sheet1!P485="","",[1]Sheet1!P485)</f>
        <v/>
      </c>
    </row>
    <row r="450" spans="1:16" x14ac:dyDescent="0.25">
      <c r="A450" t="str">
        <f>IF([1]Sheet1!A486="","",[1]Sheet1!A486)</f>
        <v/>
      </c>
      <c r="B450" t="str">
        <f>IF([1]Sheet1!B486="","",[1]Sheet1!B486)</f>
        <v/>
      </c>
      <c r="C450" t="str">
        <f>IF([1]Sheet1!C486="","",[1]Sheet1!C486)</f>
        <v/>
      </c>
      <c r="D450" t="str">
        <f>IF([1]Sheet1!D486="","",[1]Sheet1!D486)</f>
        <v/>
      </c>
      <c r="E450" t="str">
        <f>IF([1]Sheet1!E486="","",[1]Sheet1!E486)</f>
        <v/>
      </c>
      <c r="F450" t="str">
        <f>IF([1]Sheet1!F486="","",[1]Sheet1!F486)</f>
        <v/>
      </c>
      <c r="G450" t="str">
        <f>IF([1]Sheet1!G486="","",[1]Sheet1!G486)</f>
        <v/>
      </c>
      <c r="H450" t="str">
        <f>IF([1]Sheet1!H486="","",[1]Sheet1!H486)</f>
        <v/>
      </c>
      <c r="I450" t="str">
        <f>IF([1]Sheet1!I486="","",[1]Sheet1!I486)</f>
        <v/>
      </c>
      <c r="J450" t="str">
        <f>IF([1]Sheet1!J486="","",[1]Sheet1!J486)</f>
        <v/>
      </c>
      <c r="K450" t="str">
        <f>IF([1]Sheet1!K486="","",[1]Sheet1!K486)</f>
        <v/>
      </c>
      <c r="L450" t="str">
        <f>IF([1]Sheet1!L486="","",[1]Sheet1!L486)</f>
        <v/>
      </c>
      <c r="M450" t="str">
        <f>IF([1]Sheet1!M486="","",[1]Sheet1!M486)</f>
        <v/>
      </c>
      <c r="N450" t="str">
        <f>IF([1]Sheet1!N486="","",[1]Sheet1!N486)</f>
        <v/>
      </c>
      <c r="O450" t="str">
        <f>IF([1]Sheet1!O486="","",[1]Sheet1!O486)</f>
        <v/>
      </c>
      <c r="P450" t="str">
        <f>IF([1]Sheet1!P486="","",[1]Sheet1!P486)</f>
        <v/>
      </c>
    </row>
    <row r="451" spans="1:16" x14ac:dyDescent="0.25">
      <c r="A451" t="str">
        <f>IF([1]Sheet1!A487="","",[1]Sheet1!A487)</f>
        <v/>
      </c>
      <c r="B451" t="str">
        <f>IF([1]Sheet1!B487="","",[1]Sheet1!B487)</f>
        <v/>
      </c>
      <c r="C451" t="str">
        <f>IF([1]Sheet1!C487="","",[1]Sheet1!C487)</f>
        <v/>
      </c>
      <c r="D451" t="str">
        <f>IF([1]Sheet1!D487="","",[1]Sheet1!D487)</f>
        <v/>
      </c>
      <c r="E451" t="str">
        <f>IF([1]Sheet1!E487="","",[1]Sheet1!E487)</f>
        <v/>
      </c>
      <c r="F451" t="str">
        <f>IF([1]Sheet1!F487="","",[1]Sheet1!F487)</f>
        <v/>
      </c>
      <c r="G451" t="str">
        <f>IF([1]Sheet1!G487="","",[1]Sheet1!G487)</f>
        <v/>
      </c>
      <c r="H451" t="str">
        <f>IF([1]Sheet1!H487="","",[1]Sheet1!H487)</f>
        <v/>
      </c>
      <c r="I451" t="str">
        <f>IF([1]Sheet1!I487="","",[1]Sheet1!I487)</f>
        <v/>
      </c>
      <c r="J451" t="str">
        <f>IF([1]Sheet1!J487="","",[1]Sheet1!J487)</f>
        <v/>
      </c>
      <c r="K451" t="str">
        <f>IF([1]Sheet1!K487="","",[1]Sheet1!K487)</f>
        <v/>
      </c>
      <c r="L451" t="str">
        <f>IF([1]Sheet1!L487="","",[1]Sheet1!L487)</f>
        <v/>
      </c>
      <c r="M451" t="str">
        <f>IF([1]Sheet1!M487="","",[1]Sheet1!M487)</f>
        <v/>
      </c>
      <c r="N451" t="str">
        <f>IF([1]Sheet1!N487="","",[1]Sheet1!N487)</f>
        <v/>
      </c>
      <c r="O451" t="str">
        <f>IF([1]Sheet1!O487="","",[1]Sheet1!O487)</f>
        <v/>
      </c>
      <c r="P451" t="str">
        <f>IF([1]Sheet1!P487="","",[1]Sheet1!P487)</f>
        <v/>
      </c>
    </row>
    <row r="452" spans="1:16" x14ac:dyDescent="0.25">
      <c r="A452" t="str">
        <f>IF([1]Sheet1!A488="","",[1]Sheet1!A488)</f>
        <v/>
      </c>
      <c r="B452" t="str">
        <f>IF([1]Sheet1!B488="","",[1]Sheet1!B488)</f>
        <v/>
      </c>
      <c r="C452" t="str">
        <f>IF([1]Sheet1!C488="","",[1]Sheet1!C488)</f>
        <v/>
      </c>
      <c r="D452" t="str">
        <f>IF([1]Sheet1!D488="","",[1]Sheet1!D488)</f>
        <v/>
      </c>
      <c r="E452" t="str">
        <f>IF([1]Sheet1!E488="","",[1]Sheet1!E488)</f>
        <v/>
      </c>
      <c r="F452" t="str">
        <f>IF([1]Sheet1!F488="","",[1]Sheet1!F488)</f>
        <v/>
      </c>
      <c r="G452" t="str">
        <f>IF([1]Sheet1!G488="","",[1]Sheet1!G488)</f>
        <v/>
      </c>
      <c r="H452" t="str">
        <f>IF([1]Sheet1!H488="","",[1]Sheet1!H488)</f>
        <v/>
      </c>
      <c r="I452" t="str">
        <f>IF([1]Sheet1!I488="","",[1]Sheet1!I488)</f>
        <v/>
      </c>
      <c r="J452" t="str">
        <f>IF([1]Sheet1!J488="","",[1]Sheet1!J488)</f>
        <v/>
      </c>
      <c r="K452" t="str">
        <f>IF([1]Sheet1!K488="","",[1]Sheet1!K488)</f>
        <v/>
      </c>
      <c r="L452" t="str">
        <f>IF([1]Sheet1!L488="","",[1]Sheet1!L488)</f>
        <v/>
      </c>
      <c r="M452" t="str">
        <f>IF([1]Sheet1!M488="","",[1]Sheet1!M488)</f>
        <v/>
      </c>
      <c r="N452" t="str">
        <f>IF([1]Sheet1!N488="","",[1]Sheet1!N488)</f>
        <v/>
      </c>
      <c r="O452" t="str">
        <f>IF([1]Sheet1!O488="","",[1]Sheet1!O488)</f>
        <v/>
      </c>
      <c r="P452" t="str">
        <f>IF([1]Sheet1!P488="","",[1]Sheet1!P488)</f>
        <v/>
      </c>
    </row>
    <row r="453" spans="1:16" x14ac:dyDescent="0.25">
      <c r="A453" t="str">
        <f>IF([1]Sheet1!A489="","",[1]Sheet1!A489)</f>
        <v/>
      </c>
      <c r="B453" t="str">
        <f>IF([1]Sheet1!B489="","",[1]Sheet1!B489)</f>
        <v/>
      </c>
      <c r="C453" t="str">
        <f>IF([1]Sheet1!C489="","",[1]Sheet1!C489)</f>
        <v/>
      </c>
      <c r="D453" t="str">
        <f>IF([1]Sheet1!D489="","",[1]Sheet1!D489)</f>
        <v/>
      </c>
      <c r="E453" t="str">
        <f>IF([1]Sheet1!E489="","",[1]Sheet1!E489)</f>
        <v/>
      </c>
      <c r="F453" t="str">
        <f>IF([1]Sheet1!F489="","",[1]Sheet1!F489)</f>
        <v/>
      </c>
      <c r="G453" t="str">
        <f>IF([1]Sheet1!G489="","",[1]Sheet1!G489)</f>
        <v/>
      </c>
      <c r="H453" t="str">
        <f>IF([1]Sheet1!H489="","",[1]Sheet1!H489)</f>
        <v/>
      </c>
      <c r="I453" t="str">
        <f>IF([1]Sheet1!I489="","",[1]Sheet1!I489)</f>
        <v/>
      </c>
      <c r="J453" t="str">
        <f>IF([1]Sheet1!J489="","",[1]Sheet1!J489)</f>
        <v/>
      </c>
      <c r="K453" t="str">
        <f>IF([1]Sheet1!K489="","",[1]Sheet1!K489)</f>
        <v/>
      </c>
      <c r="L453" t="str">
        <f>IF([1]Sheet1!L489="","",[1]Sheet1!L489)</f>
        <v/>
      </c>
      <c r="M453" t="str">
        <f>IF([1]Sheet1!M489="","",[1]Sheet1!M489)</f>
        <v/>
      </c>
      <c r="N453" t="str">
        <f>IF([1]Sheet1!N489="","",[1]Sheet1!N489)</f>
        <v/>
      </c>
      <c r="O453" t="str">
        <f>IF([1]Sheet1!O489="","",[1]Sheet1!O489)</f>
        <v/>
      </c>
      <c r="P453" t="str">
        <f>IF([1]Sheet1!P489="","",[1]Sheet1!P489)</f>
        <v/>
      </c>
    </row>
    <row r="454" spans="1:16" x14ac:dyDescent="0.25">
      <c r="A454" t="str">
        <f>IF([1]Sheet1!A490="","",[1]Sheet1!A490)</f>
        <v/>
      </c>
      <c r="B454" t="str">
        <f>IF([1]Sheet1!B490="","",[1]Sheet1!B490)</f>
        <v/>
      </c>
      <c r="C454" t="str">
        <f>IF([1]Sheet1!C490="","",[1]Sheet1!C490)</f>
        <v/>
      </c>
      <c r="D454" t="str">
        <f>IF([1]Sheet1!D490="","",[1]Sheet1!D490)</f>
        <v/>
      </c>
      <c r="E454" t="str">
        <f>IF([1]Sheet1!E490="","",[1]Sheet1!E490)</f>
        <v/>
      </c>
      <c r="F454" t="str">
        <f>IF([1]Sheet1!F490="","",[1]Sheet1!F490)</f>
        <v/>
      </c>
      <c r="G454" t="str">
        <f>IF([1]Sheet1!G490="","",[1]Sheet1!G490)</f>
        <v/>
      </c>
      <c r="H454" t="str">
        <f>IF([1]Sheet1!H490="","",[1]Sheet1!H490)</f>
        <v/>
      </c>
      <c r="I454" t="str">
        <f>IF([1]Sheet1!I490="","",[1]Sheet1!I490)</f>
        <v/>
      </c>
      <c r="J454" t="str">
        <f>IF([1]Sheet1!J490="","",[1]Sheet1!J490)</f>
        <v/>
      </c>
      <c r="K454" t="str">
        <f>IF([1]Sheet1!K490="","",[1]Sheet1!K490)</f>
        <v/>
      </c>
      <c r="L454" t="str">
        <f>IF([1]Sheet1!L490="","",[1]Sheet1!L490)</f>
        <v/>
      </c>
      <c r="M454" t="str">
        <f>IF([1]Sheet1!M490="","",[1]Sheet1!M490)</f>
        <v/>
      </c>
      <c r="N454" t="str">
        <f>IF([1]Sheet1!N490="","",[1]Sheet1!N490)</f>
        <v/>
      </c>
      <c r="O454" t="str">
        <f>IF([1]Sheet1!O490="","",[1]Sheet1!O490)</f>
        <v/>
      </c>
      <c r="P454" t="str">
        <f>IF([1]Sheet1!P490="","",[1]Sheet1!P490)</f>
        <v/>
      </c>
    </row>
    <row r="455" spans="1:16" x14ac:dyDescent="0.25">
      <c r="A455" t="str">
        <f>IF([1]Sheet1!A491="","",[1]Sheet1!A491)</f>
        <v/>
      </c>
      <c r="B455" t="str">
        <f>IF([1]Sheet1!B491="","",[1]Sheet1!B491)</f>
        <v/>
      </c>
      <c r="C455" t="str">
        <f>IF([1]Sheet1!C491="","",[1]Sheet1!C491)</f>
        <v/>
      </c>
      <c r="D455" t="str">
        <f>IF([1]Sheet1!D491="","",[1]Sheet1!D491)</f>
        <v/>
      </c>
      <c r="E455" t="str">
        <f>IF([1]Sheet1!E491="","",[1]Sheet1!E491)</f>
        <v/>
      </c>
      <c r="F455" t="str">
        <f>IF([1]Sheet1!F491="","",[1]Sheet1!F491)</f>
        <v/>
      </c>
      <c r="G455" t="str">
        <f>IF([1]Sheet1!G491="","",[1]Sheet1!G491)</f>
        <v/>
      </c>
      <c r="H455" t="str">
        <f>IF([1]Sheet1!H491="","",[1]Sheet1!H491)</f>
        <v/>
      </c>
      <c r="I455" t="str">
        <f>IF([1]Sheet1!I491="","",[1]Sheet1!I491)</f>
        <v/>
      </c>
      <c r="J455" t="str">
        <f>IF([1]Sheet1!J491="","",[1]Sheet1!J491)</f>
        <v/>
      </c>
      <c r="K455" t="str">
        <f>IF([1]Sheet1!K491="","",[1]Sheet1!K491)</f>
        <v/>
      </c>
      <c r="L455" t="str">
        <f>IF([1]Sheet1!L491="","",[1]Sheet1!L491)</f>
        <v/>
      </c>
      <c r="M455" t="str">
        <f>IF([1]Sheet1!M491="","",[1]Sheet1!M491)</f>
        <v/>
      </c>
      <c r="N455" t="str">
        <f>IF([1]Sheet1!N491="","",[1]Sheet1!N491)</f>
        <v/>
      </c>
      <c r="O455" t="str">
        <f>IF([1]Sheet1!O491="","",[1]Sheet1!O491)</f>
        <v/>
      </c>
      <c r="P455" t="str">
        <f>IF([1]Sheet1!P491="","",[1]Sheet1!P491)</f>
        <v/>
      </c>
    </row>
    <row r="456" spans="1:16" x14ac:dyDescent="0.25">
      <c r="A456" t="str">
        <f>IF([1]Sheet1!A492="","",[1]Sheet1!A492)</f>
        <v/>
      </c>
      <c r="B456" t="str">
        <f>IF([1]Sheet1!B492="","",[1]Sheet1!B492)</f>
        <v/>
      </c>
      <c r="C456" t="str">
        <f>IF([1]Sheet1!C492="","",[1]Sheet1!C492)</f>
        <v/>
      </c>
      <c r="D456" t="str">
        <f>IF([1]Sheet1!D492="","",[1]Sheet1!D492)</f>
        <v/>
      </c>
      <c r="E456" t="str">
        <f>IF([1]Sheet1!E492="","",[1]Sheet1!E492)</f>
        <v/>
      </c>
      <c r="F456" t="str">
        <f>IF([1]Sheet1!F492="","",[1]Sheet1!F492)</f>
        <v/>
      </c>
      <c r="G456" t="str">
        <f>IF([1]Sheet1!G492="","",[1]Sheet1!G492)</f>
        <v/>
      </c>
      <c r="H456" t="str">
        <f>IF([1]Sheet1!H492="","",[1]Sheet1!H492)</f>
        <v/>
      </c>
      <c r="I456" t="str">
        <f>IF([1]Sheet1!I492="","",[1]Sheet1!I492)</f>
        <v/>
      </c>
      <c r="J456" t="str">
        <f>IF([1]Sheet1!J492="","",[1]Sheet1!J492)</f>
        <v/>
      </c>
      <c r="K456" t="str">
        <f>IF([1]Sheet1!K492="","",[1]Sheet1!K492)</f>
        <v/>
      </c>
      <c r="L456" t="str">
        <f>IF([1]Sheet1!L492="","",[1]Sheet1!L492)</f>
        <v/>
      </c>
      <c r="M456" t="str">
        <f>IF([1]Sheet1!M492="","",[1]Sheet1!M492)</f>
        <v/>
      </c>
      <c r="N456" t="str">
        <f>IF([1]Sheet1!N492="","",[1]Sheet1!N492)</f>
        <v/>
      </c>
      <c r="O456" t="str">
        <f>IF([1]Sheet1!O492="","",[1]Sheet1!O492)</f>
        <v/>
      </c>
      <c r="P456" t="str">
        <f>IF([1]Sheet1!P492="","",[1]Sheet1!P492)</f>
        <v/>
      </c>
    </row>
    <row r="457" spans="1:16" x14ac:dyDescent="0.25">
      <c r="A457" t="str">
        <f>IF([1]Sheet1!A493="","",[1]Sheet1!A493)</f>
        <v/>
      </c>
      <c r="B457" t="str">
        <f>IF([1]Sheet1!B493="","",[1]Sheet1!B493)</f>
        <v/>
      </c>
      <c r="C457" t="str">
        <f>IF([1]Sheet1!C493="","",[1]Sheet1!C493)</f>
        <v/>
      </c>
      <c r="D457" t="str">
        <f>IF([1]Sheet1!D493="","",[1]Sheet1!D493)</f>
        <v/>
      </c>
      <c r="E457" t="str">
        <f>IF([1]Sheet1!E493="","",[1]Sheet1!E493)</f>
        <v/>
      </c>
      <c r="F457" t="str">
        <f>IF([1]Sheet1!F493="","",[1]Sheet1!F493)</f>
        <v/>
      </c>
      <c r="G457" t="str">
        <f>IF([1]Sheet1!G493="","",[1]Sheet1!G493)</f>
        <v/>
      </c>
      <c r="H457" t="str">
        <f>IF([1]Sheet1!H493="","",[1]Sheet1!H493)</f>
        <v/>
      </c>
      <c r="I457" t="str">
        <f>IF([1]Sheet1!I493="","",[1]Sheet1!I493)</f>
        <v/>
      </c>
      <c r="J457" t="str">
        <f>IF([1]Sheet1!J493="","",[1]Sheet1!J493)</f>
        <v/>
      </c>
      <c r="K457" t="str">
        <f>IF([1]Sheet1!K493="","",[1]Sheet1!K493)</f>
        <v/>
      </c>
      <c r="L457" t="str">
        <f>IF([1]Sheet1!L493="","",[1]Sheet1!L493)</f>
        <v/>
      </c>
      <c r="M457" t="str">
        <f>IF([1]Sheet1!M493="","",[1]Sheet1!M493)</f>
        <v/>
      </c>
      <c r="N457" t="str">
        <f>IF([1]Sheet1!N493="","",[1]Sheet1!N493)</f>
        <v/>
      </c>
      <c r="O457" t="str">
        <f>IF([1]Sheet1!O493="","",[1]Sheet1!O493)</f>
        <v/>
      </c>
      <c r="P457" t="str">
        <f>IF([1]Sheet1!P493="","",[1]Sheet1!P493)</f>
        <v/>
      </c>
    </row>
    <row r="458" spans="1:16" x14ac:dyDescent="0.25">
      <c r="A458" t="str">
        <f>IF([1]Sheet1!A494="","",[1]Sheet1!A494)</f>
        <v/>
      </c>
      <c r="B458" t="str">
        <f>IF([1]Sheet1!B494="","",[1]Sheet1!B494)</f>
        <v/>
      </c>
      <c r="C458" t="str">
        <f>IF([1]Sheet1!C494="","",[1]Sheet1!C494)</f>
        <v/>
      </c>
      <c r="D458" t="str">
        <f>IF([1]Sheet1!D494="","",[1]Sheet1!D494)</f>
        <v/>
      </c>
      <c r="E458" t="str">
        <f>IF([1]Sheet1!E494="","",[1]Sheet1!E494)</f>
        <v/>
      </c>
      <c r="F458" t="str">
        <f>IF([1]Sheet1!F494="","",[1]Sheet1!F494)</f>
        <v/>
      </c>
      <c r="G458" t="str">
        <f>IF([1]Sheet1!G494="","",[1]Sheet1!G494)</f>
        <v/>
      </c>
      <c r="H458" t="str">
        <f>IF([1]Sheet1!H494="","",[1]Sheet1!H494)</f>
        <v/>
      </c>
      <c r="I458" t="str">
        <f>IF([1]Sheet1!I494="","",[1]Sheet1!I494)</f>
        <v/>
      </c>
      <c r="J458" t="str">
        <f>IF([1]Sheet1!J494="","",[1]Sheet1!J494)</f>
        <v/>
      </c>
      <c r="K458" t="str">
        <f>IF([1]Sheet1!K494="","",[1]Sheet1!K494)</f>
        <v/>
      </c>
      <c r="L458" t="str">
        <f>IF([1]Sheet1!L494="","",[1]Sheet1!L494)</f>
        <v/>
      </c>
      <c r="M458" t="str">
        <f>IF([1]Sheet1!M494="","",[1]Sheet1!M494)</f>
        <v/>
      </c>
      <c r="N458" t="str">
        <f>IF([1]Sheet1!N494="","",[1]Sheet1!N494)</f>
        <v/>
      </c>
      <c r="O458" t="str">
        <f>IF([1]Sheet1!O494="","",[1]Sheet1!O494)</f>
        <v/>
      </c>
      <c r="P458" t="str">
        <f>IF([1]Sheet1!P494="","",[1]Sheet1!P494)</f>
        <v/>
      </c>
    </row>
    <row r="459" spans="1:16" x14ac:dyDescent="0.25">
      <c r="A459" t="str">
        <f>IF([1]Sheet1!A495="","",[1]Sheet1!A495)</f>
        <v/>
      </c>
      <c r="B459" t="str">
        <f>IF([1]Sheet1!B495="","",[1]Sheet1!B495)</f>
        <v/>
      </c>
      <c r="C459" t="str">
        <f>IF([1]Sheet1!C495="","",[1]Sheet1!C495)</f>
        <v/>
      </c>
      <c r="D459" t="str">
        <f>IF([1]Sheet1!D495="","",[1]Sheet1!D495)</f>
        <v/>
      </c>
      <c r="E459" t="str">
        <f>IF([1]Sheet1!E495="","",[1]Sheet1!E495)</f>
        <v/>
      </c>
      <c r="F459" t="str">
        <f>IF([1]Sheet1!F495="","",[1]Sheet1!F495)</f>
        <v/>
      </c>
      <c r="G459" t="str">
        <f>IF([1]Sheet1!G495="","",[1]Sheet1!G495)</f>
        <v/>
      </c>
      <c r="H459" t="str">
        <f>IF([1]Sheet1!H495="","",[1]Sheet1!H495)</f>
        <v/>
      </c>
      <c r="I459" t="str">
        <f>IF([1]Sheet1!I495="","",[1]Sheet1!I495)</f>
        <v/>
      </c>
      <c r="J459" t="str">
        <f>IF([1]Sheet1!J495="","",[1]Sheet1!J495)</f>
        <v/>
      </c>
      <c r="K459" t="str">
        <f>IF([1]Sheet1!K495="","",[1]Sheet1!K495)</f>
        <v/>
      </c>
      <c r="L459" t="str">
        <f>IF([1]Sheet1!L495="","",[1]Sheet1!L495)</f>
        <v/>
      </c>
      <c r="M459" t="str">
        <f>IF([1]Sheet1!M495="","",[1]Sheet1!M495)</f>
        <v/>
      </c>
      <c r="N459" t="str">
        <f>IF([1]Sheet1!N495="","",[1]Sheet1!N495)</f>
        <v/>
      </c>
      <c r="O459" t="str">
        <f>IF([1]Sheet1!O495="","",[1]Sheet1!O495)</f>
        <v/>
      </c>
      <c r="P459" t="str">
        <f>IF([1]Sheet1!P495="","",[1]Sheet1!P495)</f>
        <v/>
      </c>
    </row>
    <row r="460" spans="1:16" x14ac:dyDescent="0.25">
      <c r="A460" t="str">
        <f>IF([1]Sheet1!A496="","",[1]Sheet1!A496)</f>
        <v/>
      </c>
      <c r="B460" t="str">
        <f>IF([1]Sheet1!B496="","",[1]Sheet1!B496)</f>
        <v/>
      </c>
      <c r="C460" t="str">
        <f>IF([1]Sheet1!C496="","",[1]Sheet1!C496)</f>
        <v/>
      </c>
      <c r="D460" t="str">
        <f>IF([1]Sheet1!D496="","",[1]Sheet1!D496)</f>
        <v/>
      </c>
      <c r="E460" t="str">
        <f>IF([1]Sheet1!E496="","",[1]Sheet1!E496)</f>
        <v/>
      </c>
      <c r="F460" t="str">
        <f>IF([1]Sheet1!F496="","",[1]Sheet1!F496)</f>
        <v/>
      </c>
      <c r="G460" t="str">
        <f>IF([1]Sheet1!G496="","",[1]Sheet1!G496)</f>
        <v/>
      </c>
      <c r="H460" t="str">
        <f>IF([1]Sheet1!H496="","",[1]Sheet1!H496)</f>
        <v/>
      </c>
      <c r="I460" t="str">
        <f>IF([1]Sheet1!I496="","",[1]Sheet1!I496)</f>
        <v/>
      </c>
      <c r="J460" t="str">
        <f>IF([1]Sheet1!J496="","",[1]Sheet1!J496)</f>
        <v/>
      </c>
      <c r="K460" t="str">
        <f>IF([1]Sheet1!K496="","",[1]Sheet1!K496)</f>
        <v/>
      </c>
      <c r="L460" t="str">
        <f>IF([1]Sheet1!L496="","",[1]Sheet1!L496)</f>
        <v/>
      </c>
      <c r="M460" t="str">
        <f>IF([1]Sheet1!M496="","",[1]Sheet1!M496)</f>
        <v/>
      </c>
      <c r="N460" t="str">
        <f>IF([1]Sheet1!N496="","",[1]Sheet1!N496)</f>
        <v/>
      </c>
      <c r="O460" t="str">
        <f>IF([1]Sheet1!O496="","",[1]Sheet1!O496)</f>
        <v/>
      </c>
      <c r="P460" t="str">
        <f>IF([1]Sheet1!P496="","",[1]Sheet1!P496)</f>
        <v/>
      </c>
    </row>
    <row r="461" spans="1:16" x14ac:dyDescent="0.25">
      <c r="A461" t="str">
        <f>IF([1]Sheet1!A497="","",[1]Sheet1!A497)</f>
        <v/>
      </c>
      <c r="B461" t="str">
        <f>IF([1]Sheet1!B497="","",[1]Sheet1!B497)</f>
        <v/>
      </c>
      <c r="C461" t="str">
        <f>IF([1]Sheet1!C497="","",[1]Sheet1!C497)</f>
        <v/>
      </c>
      <c r="D461" t="str">
        <f>IF([1]Sheet1!D497="","",[1]Sheet1!D497)</f>
        <v/>
      </c>
      <c r="E461" t="str">
        <f>IF([1]Sheet1!E497="","",[1]Sheet1!E497)</f>
        <v/>
      </c>
      <c r="F461" t="str">
        <f>IF([1]Sheet1!F497="","",[1]Sheet1!F497)</f>
        <v/>
      </c>
      <c r="G461" t="str">
        <f>IF([1]Sheet1!G497="","",[1]Sheet1!G497)</f>
        <v/>
      </c>
      <c r="H461" t="str">
        <f>IF([1]Sheet1!H497="","",[1]Sheet1!H497)</f>
        <v/>
      </c>
      <c r="I461" t="str">
        <f>IF([1]Sheet1!I497="","",[1]Sheet1!I497)</f>
        <v/>
      </c>
      <c r="J461" t="str">
        <f>IF([1]Sheet1!J497="","",[1]Sheet1!J497)</f>
        <v/>
      </c>
      <c r="K461" t="str">
        <f>IF([1]Sheet1!K497="","",[1]Sheet1!K497)</f>
        <v/>
      </c>
      <c r="L461" t="str">
        <f>IF([1]Sheet1!L497="","",[1]Sheet1!L497)</f>
        <v/>
      </c>
      <c r="M461" t="str">
        <f>IF([1]Sheet1!M497="","",[1]Sheet1!M497)</f>
        <v/>
      </c>
      <c r="N461" t="str">
        <f>IF([1]Sheet1!N497="","",[1]Sheet1!N497)</f>
        <v/>
      </c>
      <c r="O461" t="str">
        <f>IF([1]Sheet1!O497="","",[1]Sheet1!O497)</f>
        <v/>
      </c>
      <c r="P461" t="str">
        <f>IF([1]Sheet1!P497="","",[1]Sheet1!P497)</f>
        <v/>
      </c>
    </row>
    <row r="462" spans="1:16" x14ac:dyDescent="0.25">
      <c r="A462" t="str">
        <f>IF([1]Sheet1!A498="","",[1]Sheet1!A498)</f>
        <v/>
      </c>
      <c r="B462" t="str">
        <f>IF([1]Sheet1!B498="","",[1]Sheet1!B498)</f>
        <v/>
      </c>
      <c r="C462" t="str">
        <f>IF([1]Sheet1!C498="","",[1]Sheet1!C498)</f>
        <v/>
      </c>
      <c r="D462" t="str">
        <f>IF([1]Sheet1!D498="","",[1]Sheet1!D498)</f>
        <v/>
      </c>
      <c r="E462" t="str">
        <f>IF([1]Sheet1!E498="","",[1]Sheet1!E498)</f>
        <v/>
      </c>
      <c r="F462" t="str">
        <f>IF([1]Sheet1!F498="","",[1]Sheet1!F498)</f>
        <v/>
      </c>
      <c r="G462" t="str">
        <f>IF([1]Sheet1!G498="","",[1]Sheet1!G498)</f>
        <v/>
      </c>
      <c r="H462" t="str">
        <f>IF([1]Sheet1!H498="","",[1]Sheet1!H498)</f>
        <v/>
      </c>
      <c r="I462" t="str">
        <f>IF([1]Sheet1!I498="","",[1]Sheet1!I498)</f>
        <v/>
      </c>
      <c r="J462" t="str">
        <f>IF([1]Sheet1!J498="","",[1]Sheet1!J498)</f>
        <v/>
      </c>
      <c r="K462" t="str">
        <f>IF([1]Sheet1!K498="","",[1]Sheet1!K498)</f>
        <v/>
      </c>
      <c r="L462" t="str">
        <f>IF([1]Sheet1!L498="","",[1]Sheet1!L498)</f>
        <v/>
      </c>
      <c r="M462" t="str">
        <f>IF([1]Sheet1!M498="","",[1]Sheet1!M498)</f>
        <v/>
      </c>
      <c r="N462" t="str">
        <f>IF([1]Sheet1!N498="","",[1]Sheet1!N498)</f>
        <v/>
      </c>
      <c r="O462" t="str">
        <f>IF([1]Sheet1!O498="","",[1]Sheet1!O498)</f>
        <v/>
      </c>
      <c r="P462" t="str">
        <f>IF([1]Sheet1!P498="","",[1]Sheet1!P498)</f>
        <v/>
      </c>
    </row>
    <row r="463" spans="1:16" x14ac:dyDescent="0.25">
      <c r="A463" t="str">
        <f>IF([1]Sheet1!A499="","",[1]Sheet1!A499)</f>
        <v/>
      </c>
      <c r="B463" t="str">
        <f>IF([1]Sheet1!B499="","",[1]Sheet1!B499)</f>
        <v/>
      </c>
      <c r="C463" t="str">
        <f>IF([1]Sheet1!C499="","",[1]Sheet1!C499)</f>
        <v/>
      </c>
      <c r="D463" t="str">
        <f>IF([1]Sheet1!D499="","",[1]Sheet1!D499)</f>
        <v/>
      </c>
      <c r="E463" t="str">
        <f>IF([1]Sheet1!E499="","",[1]Sheet1!E499)</f>
        <v/>
      </c>
      <c r="F463" t="str">
        <f>IF([1]Sheet1!F499="","",[1]Sheet1!F499)</f>
        <v/>
      </c>
      <c r="G463" t="str">
        <f>IF([1]Sheet1!G499="","",[1]Sheet1!G499)</f>
        <v/>
      </c>
      <c r="H463" t="str">
        <f>IF([1]Sheet1!H499="","",[1]Sheet1!H499)</f>
        <v/>
      </c>
      <c r="I463" t="str">
        <f>IF([1]Sheet1!I499="","",[1]Sheet1!I499)</f>
        <v/>
      </c>
      <c r="J463" t="str">
        <f>IF([1]Sheet1!J499="","",[1]Sheet1!J499)</f>
        <v/>
      </c>
      <c r="K463" t="str">
        <f>IF([1]Sheet1!K499="","",[1]Sheet1!K499)</f>
        <v/>
      </c>
      <c r="L463" t="str">
        <f>IF([1]Sheet1!L499="","",[1]Sheet1!L499)</f>
        <v/>
      </c>
      <c r="M463" t="str">
        <f>IF([1]Sheet1!M499="","",[1]Sheet1!M499)</f>
        <v/>
      </c>
      <c r="N463" t="str">
        <f>IF([1]Sheet1!N499="","",[1]Sheet1!N499)</f>
        <v/>
      </c>
      <c r="O463" t="str">
        <f>IF([1]Sheet1!O499="","",[1]Sheet1!O499)</f>
        <v/>
      </c>
      <c r="P463" t="str">
        <f>IF([1]Sheet1!P499="","",[1]Sheet1!P499)</f>
        <v/>
      </c>
    </row>
    <row r="464" spans="1:16" x14ac:dyDescent="0.25">
      <c r="A464" t="str">
        <f>IF([1]Sheet1!A500="","",[1]Sheet1!A500)</f>
        <v/>
      </c>
      <c r="B464" t="str">
        <f>IF([1]Sheet1!B500="","",[1]Sheet1!B500)</f>
        <v/>
      </c>
      <c r="C464" t="str">
        <f>IF([1]Sheet1!C500="","",[1]Sheet1!C500)</f>
        <v/>
      </c>
      <c r="D464" t="str">
        <f>IF([1]Sheet1!D500="","",[1]Sheet1!D500)</f>
        <v/>
      </c>
      <c r="E464" t="str">
        <f>IF([1]Sheet1!E500="","",[1]Sheet1!E500)</f>
        <v/>
      </c>
      <c r="F464" t="str">
        <f>IF([1]Sheet1!F500="","",[1]Sheet1!F500)</f>
        <v/>
      </c>
      <c r="G464" t="str">
        <f>IF([1]Sheet1!G500="","",[1]Sheet1!G500)</f>
        <v/>
      </c>
      <c r="H464" t="str">
        <f>IF([1]Sheet1!H500="","",[1]Sheet1!H500)</f>
        <v/>
      </c>
      <c r="I464" t="str">
        <f>IF([1]Sheet1!I500="","",[1]Sheet1!I500)</f>
        <v/>
      </c>
      <c r="J464" t="str">
        <f>IF([1]Sheet1!J500="","",[1]Sheet1!J500)</f>
        <v/>
      </c>
      <c r="K464" t="str">
        <f>IF([1]Sheet1!K500="","",[1]Sheet1!K500)</f>
        <v/>
      </c>
      <c r="L464" t="str">
        <f>IF([1]Sheet1!L500="","",[1]Sheet1!L500)</f>
        <v/>
      </c>
      <c r="M464" t="str">
        <f>IF([1]Sheet1!M500="","",[1]Sheet1!M500)</f>
        <v/>
      </c>
      <c r="N464" t="str">
        <f>IF([1]Sheet1!N500="","",[1]Sheet1!N500)</f>
        <v/>
      </c>
      <c r="O464" t="str">
        <f>IF([1]Sheet1!O500="","",[1]Sheet1!O500)</f>
        <v/>
      </c>
      <c r="P464" t="str">
        <f>IF([1]Sheet1!P500="","",[1]Sheet1!P500)</f>
        <v/>
      </c>
    </row>
    <row r="465" spans="1:16" x14ac:dyDescent="0.25">
      <c r="A465" t="str">
        <f>IF([1]Sheet1!A501="","",[1]Sheet1!A501)</f>
        <v/>
      </c>
      <c r="B465" t="str">
        <f>IF([1]Sheet1!B501="","",[1]Sheet1!B501)</f>
        <v/>
      </c>
      <c r="C465" t="str">
        <f>IF([1]Sheet1!C501="","",[1]Sheet1!C501)</f>
        <v/>
      </c>
      <c r="D465" t="str">
        <f>IF([1]Sheet1!D501="","",[1]Sheet1!D501)</f>
        <v/>
      </c>
      <c r="E465" t="str">
        <f>IF([1]Sheet1!E501="","",[1]Sheet1!E501)</f>
        <v/>
      </c>
      <c r="F465" t="str">
        <f>IF([1]Sheet1!F501="","",[1]Sheet1!F501)</f>
        <v/>
      </c>
      <c r="G465" t="str">
        <f>IF([1]Sheet1!G501="","",[1]Sheet1!G501)</f>
        <v/>
      </c>
      <c r="H465" t="str">
        <f>IF([1]Sheet1!H501="","",[1]Sheet1!H501)</f>
        <v/>
      </c>
      <c r="I465" t="str">
        <f>IF([1]Sheet1!I501="","",[1]Sheet1!I501)</f>
        <v/>
      </c>
      <c r="J465" t="str">
        <f>IF([1]Sheet1!J501="","",[1]Sheet1!J501)</f>
        <v/>
      </c>
      <c r="K465" t="str">
        <f>IF([1]Sheet1!K501="","",[1]Sheet1!K501)</f>
        <v/>
      </c>
      <c r="L465" t="str">
        <f>IF([1]Sheet1!L501="","",[1]Sheet1!L501)</f>
        <v/>
      </c>
      <c r="M465" t="str">
        <f>IF([1]Sheet1!M501="","",[1]Sheet1!M501)</f>
        <v/>
      </c>
      <c r="N465" t="str">
        <f>IF([1]Sheet1!N501="","",[1]Sheet1!N501)</f>
        <v/>
      </c>
      <c r="O465" t="str">
        <f>IF([1]Sheet1!O501="","",[1]Sheet1!O501)</f>
        <v/>
      </c>
      <c r="P465" t="str">
        <f>IF([1]Sheet1!P501="","",[1]Sheet1!P501)</f>
        <v/>
      </c>
    </row>
    <row r="466" spans="1:16" x14ac:dyDescent="0.25">
      <c r="A466" t="str">
        <f>IF([1]Sheet1!A502="","",[1]Sheet1!A502)</f>
        <v/>
      </c>
      <c r="B466" t="str">
        <f>IF([1]Sheet1!B502="","",[1]Sheet1!B502)</f>
        <v/>
      </c>
      <c r="C466" t="str">
        <f>IF([1]Sheet1!C502="","",[1]Sheet1!C502)</f>
        <v/>
      </c>
      <c r="D466" t="str">
        <f>IF([1]Sheet1!D502="","",[1]Sheet1!D502)</f>
        <v/>
      </c>
      <c r="E466" t="str">
        <f>IF([1]Sheet1!E502="","",[1]Sheet1!E502)</f>
        <v/>
      </c>
      <c r="F466" t="str">
        <f>IF([1]Sheet1!F502="","",[1]Sheet1!F502)</f>
        <v/>
      </c>
      <c r="G466" t="str">
        <f>IF([1]Sheet1!G502="","",[1]Sheet1!G502)</f>
        <v/>
      </c>
      <c r="H466" t="str">
        <f>IF([1]Sheet1!H502="","",[1]Sheet1!H502)</f>
        <v/>
      </c>
      <c r="I466" t="str">
        <f>IF([1]Sheet1!I502="","",[1]Sheet1!I502)</f>
        <v/>
      </c>
      <c r="J466" t="str">
        <f>IF([1]Sheet1!J502="","",[1]Sheet1!J502)</f>
        <v/>
      </c>
      <c r="K466" t="str">
        <f>IF([1]Sheet1!K502="","",[1]Sheet1!K502)</f>
        <v/>
      </c>
      <c r="L466" t="str">
        <f>IF([1]Sheet1!L502="","",[1]Sheet1!L502)</f>
        <v/>
      </c>
      <c r="M466" t="str">
        <f>IF([1]Sheet1!M502="","",[1]Sheet1!M502)</f>
        <v/>
      </c>
      <c r="N466" t="str">
        <f>IF([1]Sheet1!N502="","",[1]Sheet1!N502)</f>
        <v/>
      </c>
      <c r="O466" t="str">
        <f>IF([1]Sheet1!O502="","",[1]Sheet1!O502)</f>
        <v/>
      </c>
      <c r="P466" t="str">
        <f>IF([1]Sheet1!P502="","",[1]Sheet1!P502)</f>
        <v/>
      </c>
    </row>
    <row r="467" spans="1:16" x14ac:dyDescent="0.25">
      <c r="A467" t="str">
        <f>IF([1]Sheet1!A503="","",[1]Sheet1!A503)</f>
        <v/>
      </c>
      <c r="B467" t="str">
        <f>IF([1]Sheet1!B503="","",[1]Sheet1!B503)</f>
        <v/>
      </c>
      <c r="C467" t="str">
        <f>IF([1]Sheet1!C503="","",[1]Sheet1!C503)</f>
        <v/>
      </c>
      <c r="D467" t="str">
        <f>IF([1]Sheet1!D503="","",[1]Sheet1!D503)</f>
        <v/>
      </c>
      <c r="E467" t="str">
        <f>IF([1]Sheet1!E503="","",[1]Sheet1!E503)</f>
        <v/>
      </c>
      <c r="F467" t="str">
        <f>IF([1]Sheet1!F503="","",[1]Sheet1!F503)</f>
        <v/>
      </c>
      <c r="G467" t="str">
        <f>IF([1]Sheet1!G503="","",[1]Sheet1!G503)</f>
        <v/>
      </c>
      <c r="H467" t="str">
        <f>IF([1]Sheet1!H503="","",[1]Sheet1!H503)</f>
        <v/>
      </c>
      <c r="I467" t="str">
        <f>IF([1]Sheet1!I503="","",[1]Sheet1!I503)</f>
        <v/>
      </c>
      <c r="J467" t="str">
        <f>IF([1]Sheet1!J503="","",[1]Sheet1!J503)</f>
        <v/>
      </c>
      <c r="K467" t="str">
        <f>IF([1]Sheet1!K503="","",[1]Sheet1!K503)</f>
        <v/>
      </c>
      <c r="L467" t="str">
        <f>IF([1]Sheet1!L503="","",[1]Sheet1!L503)</f>
        <v/>
      </c>
      <c r="M467" t="str">
        <f>IF([1]Sheet1!M503="","",[1]Sheet1!M503)</f>
        <v/>
      </c>
      <c r="N467" t="str">
        <f>IF([1]Sheet1!N503="","",[1]Sheet1!N503)</f>
        <v/>
      </c>
      <c r="O467" t="str">
        <f>IF([1]Sheet1!O503="","",[1]Sheet1!O503)</f>
        <v/>
      </c>
      <c r="P467" t="str">
        <f>IF([1]Sheet1!P503="","",[1]Sheet1!P503)</f>
        <v/>
      </c>
    </row>
    <row r="468" spans="1:16" x14ac:dyDescent="0.25">
      <c r="A468" t="str">
        <f>IF([1]Sheet1!A504="","",[1]Sheet1!A504)</f>
        <v/>
      </c>
      <c r="B468" t="str">
        <f>IF([1]Sheet1!B504="","",[1]Sheet1!B504)</f>
        <v/>
      </c>
      <c r="C468" t="str">
        <f>IF([1]Sheet1!C504="","",[1]Sheet1!C504)</f>
        <v/>
      </c>
      <c r="D468" t="str">
        <f>IF([1]Sheet1!D504="","",[1]Sheet1!D504)</f>
        <v/>
      </c>
      <c r="E468" t="str">
        <f>IF([1]Sheet1!E504="","",[1]Sheet1!E504)</f>
        <v/>
      </c>
      <c r="F468" t="str">
        <f>IF([1]Sheet1!F504="","",[1]Sheet1!F504)</f>
        <v/>
      </c>
      <c r="G468" t="str">
        <f>IF([1]Sheet1!G504="","",[1]Sheet1!G504)</f>
        <v/>
      </c>
      <c r="H468" t="str">
        <f>IF([1]Sheet1!H504="","",[1]Sheet1!H504)</f>
        <v/>
      </c>
      <c r="I468" t="str">
        <f>IF([1]Sheet1!I504="","",[1]Sheet1!I504)</f>
        <v/>
      </c>
      <c r="J468" t="str">
        <f>IF([1]Sheet1!J504="","",[1]Sheet1!J504)</f>
        <v/>
      </c>
      <c r="K468" t="str">
        <f>IF([1]Sheet1!K504="","",[1]Sheet1!K504)</f>
        <v/>
      </c>
      <c r="L468" t="str">
        <f>IF([1]Sheet1!L504="","",[1]Sheet1!L504)</f>
        <v/>
      </c>
      <c r="M468" t="str">
        <f>IF([1]Sheet1!M504="","",[1]Sheet1!M504)</f>
        <v/>
      </c>
      <c r="N468" t="str">
        <f>IF([1]Sheet1!N504="","",[1]Sheet1!N504)</f>
        <v/>
      </c>
      <c r="O468" t="str">
        <f>IF([1]Sheet1!O504="","",[1]Sheet1!O504)</f>
        <v/>
      </c>
      <c r="P468" t="str">
        <f>IF([1]Sheet1!P504="","",[1]Sheet1!P504)</f>
        <v/>
      </c>
    </row>
    <row r="469" spans="1:16" x14ac:dyDescent="0.25">
      <c r="A469" t="str">
        <f>IF([1]Sheet1!A505="","",[1]Sheet1!A505)</f>
        <v/>
      </c>
      <c r="B469" t="str">
        <f>IF([1]Sheet1!B505="","",[1]Sheet1!B505)</f>
        <v/>
      </c>
      <c r="C469" t="str">
        <f>IF([1]Sheet1!C505="","",[1]Sheet1!C505)</f>
        <v/>
      </c>
      <c r="D469" t="str">
        <f>IF([1]Sheet1!D505="","",[1]Sheet1!D505)</f>
        <v/>
      </c>
      <c r="E469" t="str">
        <f>IF([1]Sheet1!E505="","",[1]Sheet1!E505)</f>
        <v/>
      </c>
      <c r="F469" t="str">
        <f>IF([1]Sheet1!F505="","",[1]Sheet1!F505)</f>
        <v/>
      </c>
      <c r="G469" t="str">
        <f>IF([1]Sheet1!G505="","",[1]Sheet1!G505)</f>
        <v/>
      </c>
      <c r="H469" t="str">
        <f>IF([1]Sheet1!H505="","",[1]Sheet1!H505)</f>
        <v/>
      </c>
      <c r="I469" t="str">
        <f>IF([1]Sheet1!I505="","",[1]Sheet1!I505)</f>
        <v/>
      </c>
      <c r="J469" t="str">
        <f>IF([1]Sheet1!J505="","",[1]Sheet1!J505)</f>
        <v/>
      </c>
      <c r="K469" t="str">
        <f>IF([1]Sheet1!K505="","",[1]Sheet1!K505)</f>
        <v/>
      </c>
      <c r="L469" t="str">
        <f>IF([1]Sheet1!L505="","",[1]Sheet1!L505)</f>
        <v/>
      </c>
      <c r="M469" t="str">
        <f>IF([1]Sheet1!M505="","",[1]Sheet1!M505)</f>
        <v/>
      </c>
      <c r="N469" t="str">
        <f>IF([1]Sheet1!N505="","",[1]Sheet1!N505)</f>
        <v/>
      </c>
      <c r="O469" t="str">
        <f>IF([1]Sheet1!O505="","",[1]Sheet1!O505)</f>
        <v/>
      </c>
      <c r="P469" t="str">
        <f>IF([1]Sheet1!P505="","",[1]Sheet1!P505)</f>
        <v/>
      </c>
    </row>
    <row r="470" spans="1:16" x14ac:dyDescent="0.25">
      <c r="A470" t="str">
        <f>IF([1]Sheet1!A506="","",[1]Sheet1!A506)</f>
        <v/>
      </c>
      <c r="B470" t="str">
        <f>IF([1]Sheet1!B506="","",[1]Sheet1!B506)</f>
        <v/>
      </c>
      <c r="C470" t="str">
        <f>IF([1]Sheet1!C506="","",[1]Sheet1!C506)</f>
        <v/>
      </c>
      <c r="D470" t="str">
        <f>IF([1]Sheet1!D506="","",[1]Sheet1!D506)</f>
        <v/>
      </c>
      <c r="E470" t="str">
        <f>IF([1]Sheet1!E506="","",[1]Sheet1!E506)</f>
        <v/>
      </c>
      <c r="F470" t="str">
        <f>IF([1]Sheet1!F506="","",[1]Sheet1!F506)</f>
        <v/>
      </c>
      <c r="G470" t="str">
        <f>IF([1]Sheet1!G506="","",[1]Sheet1!G506)</f>
        <v/>
      </c>
      <c r="H470" t="str">
        <f>IF([1]Sheet1!H506="","",[1]Sheet1!H506)</f>
        <v/>
      </c>
      <c r="I470" t="str">
        <f>IF([1]Sheet1!I506="","",[1]Sheet1!I506)</f>
        <v/>
      </c>
      <c r="J470" t="str">
        <f>IF([1]Sheet1!J506="","",[1]Sheet1!J506)</f>
        <v/>
      </c>
      <c r="K470" t="str">
        <f>IF([1]Sheet1!K506="","",[1]Sheet1!K506)</f>
        <v/>
      </c>
      <c r="L470" t="str">
        <f>IF([1]Sheet1!L506="","",[1]Sheet1!L506)</f>
        <v/>
      </c>
      <c r="M470" t="str">
        <f>IF([1]Sheet1!M506="","",[1]Sheet1!M506)</f>
        <v/>
      </c>
      <c r="N470" t="str">
        <f>IF([1]Sheet1!N506="","",[1]Sheet1!N506)</f>
        <v/>
      </c>
      <c r="O470" t="str">
        <f>IF([1]Sheet1!O506="","",[1]Sheet1!O506)</f>
        <v/>
      </c>
      <c r="P470" t="str">
        <f>IF([1]Sheet1!P506="","",[1]Sheet1!P506)</f>
        <v/>
      </c>
    </row>
    <row r="471" spans="1:16" x14ac:dyDescent="0.25">
      <c r="A471" t="str">
        <f>IF([1]Sheet1!A507="","",[1]Sheet1!A507)</f>
        <v/>
      </c>
      <c r="B471" t="str">
        <f>IF([1]Sheet1!B507="","",[1]Sheet1!B507)</f>
        <v/>
      </c>
      <c r="C471" t="str">
        <f>IF([1]Sheet1!C507="","",[1]Sheet1!C507)</f>
        <v/>
      </c>
      <c r="D471" t="str">
        <f>IF([1]Sheet1!D507="","",[1]Sheet1!D507)</f>
        <v/>
      </c>
      <c r="E471" t="str">
        <f>IF([1]Sheet1!E507="","",[1]Sheet1!E507)</f>
        <v/>
      </c>
      <c r="F471" t="str">
        <f>IF([1]Sheet1!F507="","",[1]Sheet1!F507)</f>
        <v/>
      </c>
      <c r="G471" t="str">
        <f>IF([1]Sheet1!G507="","",[1]Sheet1!G507)</f>
        <v/>
      </c>
      <c r="H471" t="str">
        <f>IF([1]Sheet1!H507="","",[1]Sheet1!H507)</f>
        <v/>
      </c>
      <c r="I471" t="str">
        <f>IF([1]Sheet1!I507="","",[1]Sheet1!I507)</f>
        <v/>
      </c>
      <c r="J471" t="str">
        <f>IF([1]Sheet1!J507="","",[1]Sheet1!J507)</f>
        <v/>
      </c>
      <c r="K471" t="str">
        <f>IF([1]Sheet1!K507="","",[1]Sheet1!K507)</f>
        <v/>
      </c>
      <c r="L471" t="str">
        <f>IF([1]Sheet1!L507="","",[1]Sheet1!L507)</f>
        <v/>
      </c>
      <c r="M471" t="str">
        <f>IF([1]Sheet1!M507="","",[1]Sheet1!M507)</f>
        <v/>
      </c>
      <c r="N471" t="str">
        <f>IF([1]Sheet1!N507="","",[1]Sheet1!N507)</f>
        <v/>
      </c>
      <c r="O471" t="str">
        <f>IF([1]Sheet1!O507="","",[1]Sheet1!O507)</f>
        <v/>
      </c>
      <c r="P471" t="str">
        <f>IF([1]Sheet1!P507="","",[1]Sheet1!P507)</f>
        <v/>
      </c>
    </row>
    <row r="472" spans="1:16" x14ac:dyDescent="0.25">
      <c r="A472" t="str">
        <f>IF([1]Sheet1!A508="","",[1]Sheet1!A508)</f>
        <v/>
      </c>
      <c r="B472" t="str">
        <f>IF([1]Sheet1!B508="","",[1]Sheet1!B508)</f>
        <v/>
      </c>
      <c r="C472" t="str">
        <f>IF([1]Sheet1!C508="","",[1]Sheet1!C508)</f>
        <v/>
      </c>
      <c r="D472" t="str">
        <f>IF([1]Sheet1!D508="","",[1]Sheet1!D508)</f>
        <v/>
      </c>
      <c r="E472" t="str">
        <f>IF([1]Sheet1!E508="","",[1]Sheet1!E508)</f>
        <v/>
      </c>
      <c r="F472" t="str">
        <f>IF([1]Sheet1!F508="","",[1]Sheet1!F508)</f>
        <v/>
      </c>
      <c r="G472" t="str">
        <f>IF([1]Sheet1!G508="","",[1]Sheet1!G508)</f>
        <v/>
      </c>
      <c r="H472" t="str">
        <f>IF([1]Sheet1!H508="","",[1]Sheet1!H508)</f>
        <v/>
      </c>
      <c r="I472" t="str">
        <f>IF([1]Sheet1!I508="","",[1]Sheet1!I508)</f>
        <v/>
      </c>
      <c r="J472" t="str">
        <f>IF([1]Sheet1!J508="","",[1]Sheet1!J508)</f>
        <v/>
      </c>
      <c r="K472" t="str">
        <f>IF([1]Sheet1!K508="","",[1]Sheet1!K508)</f>
        <v/>
      </c>
      <c r="L472" t="str">
        <f>IF([1]Sheet1!L508="","",[1]Sheet1!L508)</f>
        <v/>
      </c>
      <c r="M472" t="str">
        <f>IF([1]Sheet1!M508="","",[1]Sheet1!M508)</f>
        <v/>
      </c>
      <c r="N472" t="str">
        <f>IF([1]Sheet1!N508="","",[1]Sheet1!N508)</f>
        <v/>
      </c>
      <c r="O472" t="str">
        <f>IF([1]Sheet1!O508="","",[1]Sheet1!O508)</f>
        <v/>
      </c>
      <c r="P472" t="str">
        <f>IF([1]Sheet1!P508="","",[1]Sheet1!P508)</f>
        <v/>
      </c>
    </row>
    <row r="473" spans="1:16" x14ac:dyDescent="0.25">
      <c r="A473" t="str">
        <f>IF([1]Sheet1!A509="","",[1]Sheet1!A509)</f>
        <v/>
      </c>
      <c r="B473" t="str">
        <f>IF([1]Sheet1!B509="","",[1]Sheet1!B509)</f>
        <v/>
      </c>
      <c r="C473" t="str">
        <f>IF([1]Sheet1!C509="","",[1]Sheet1!C509)</f>
        <v/>
      </c>
      <c r="D473" t="str">
        <f>IF([1]Sheet1!D509="","",[1]Sheet1!D509)</f>
        <v/>
      </c>
      <c r="E473" t="str">
        <f>IF([1]Sheet1!E509="","",[1]Sheet1!E509)</f>
        <v/>
      </c>
      <c r="F473" t="str">
        <f>IF([1]Sheet1!F509="","",[1]Sheet1!F509)</f>
        <v/>
      </c>
      <c r="G473" t="str">
        <f>IF([1]Sheet1!G509="","",[1]Sheet1!G509)</f>
        <v/>
      </c>
      <c r="H473" t="str">
        <f>IF([1]Sheet1!H509="","",[1]Sheet1!H509)</f>
        <v/>
      </c>
      <c r="I473" t="str">
        <f>IF([1]Sheet1!I509="","",[1]Sheet1!I509)</f>
        <v/>
      </c>
      <c r="J473" t="str">
        <f>IF([1]Sheet1!J509="","",[1]Sheet1!J509)</f>
        <v/>
      </c>
      <c r="K473" t="str">
        <f>IF([1]Sheet1!K509="","",[1]Sheet1!K509)</f>
        <v/>
      </c>
      <c r="L473" t="str">
        <f>IF([1]Sheet1!L509="","",[1]Sheet1!L509)</f>
        <v/>
      </c>
      <c r="M473" t="str">
        <f>IF([1]Sheet1!M509="","",[1]Sheet1!M509)</f>
        <v/>
      </c>
      <c r="N473" t="str">
        <f>IF([1]Sheet1!N509="","",[1]Sheet1!N509)</f>
        <v/>
      </c>
      <c r="O473" t="str">
        <f>IF([1]Sheet1!O509="","",[1]Sheet1!O509)</f>
        <v/>
      </c>
      <c r="P473" t="str">
        <f>IF([1]Sheet1!P509="","",[1]Sheet1!P509)</f>
        <v/>
      </c>
    </row>
    <row r="474" spans="1:16" x14ac:dyDescent="0.25">
      <c r="A474" t="str">
        <f>IF([1]Sheet1!A510="","",[1]Sheet1!A510)</f>
        <v/>
      </c>
      <c r="B474" t="str">
        <f>IF([1]Sheet1!B510="","",[1]Sheet1!B510)</f>
        <v/>
      </c>
      <c r="C474" t="str">
        <f>IF([1]Sheet1!C510="","",[1]Sheet1!C510)</f>
        <v/>
      </c>
      <c r="D474" t="str">
        <f>IF([1]Sheet1!D510="","",[1]Sheet1!D510)</f>
        <v/>
      </c>
      <c r="E474" t="str">
        <f>IF([1]Sheet1!E510="","",[1]Sheet1!E510)</f>
        <v/>
      </c>
      <c r="F474" t="str">
        <f>IF([1]Sheet1!F510="","",[1]Sheet1!F510)</f>
        <v/>
      </c>
      <c r="G474" t="str">
        <f>IF([1]Sheet1!G510="","",[1]Sheet1!G510)</f>
        <v/>
      </c>
      <c r="H474" t="str">
        <f>IF([1]Sheet1!H510="","",[1]Sheet1!H510)</f>
        <v/>
      </c>
      <c r="I474" t="str">
        <f>IF([1]Sheet1!I510="","",[1]Sheet1!I510)</f>
        <v/>
      </c>
      <c r="J474" t="str">
        <f>IF([1]Sheet1!J510="","",[1]Sheet1!J510)</f>
        <v/>
      </c>
      <c r="K474" t="str">
        <f>IF([1]Sheet1!K510="","",[1]Sheet1!K510)</f>
        <v/>
      </c>
      <c r="L474" t="str">
        <f>IF([1]Sheet1!L510="","",[1]Sheet1!L510)</f>
        <v/>
      </c>
      <c r="M474" t="str">
        <f>IF([1]Sheet1!M510="","",[1]Sheet1!M510)</f>
        <v/>
      </c>
      <c r="N474" t="str">
        <f>IF([1]Sheet1!N510="","",[1]Sheet1!N510)</f>
        <v/>
      </c>
      <c r="O474" t="str">
        <f>IF([1]Sheet1!O510="","",[1]Sheet1!O510)</f>
        <v/>
      </c>
      <c r="P474" t="str">
        <f>IF([1]Sheet1!P510="","",[1]Sheet1!P510)</f>
        <v/>
      </c>
    </row>
    <row r="475" spans="1:16" x14ac:dyDescent="0.25">
      <c r="A475" t="str">
        <f>IF([1]Sheet1!A511="","",[1]Sheet1!A511)</f>
        <v/>
      </c>
      <c r="B475" t="str">
        <f>IF([1]Sheet1!B511="","",[1]Sheet1!B511)</f>
        <v/>
      </c>
      <c r="C475" t="str">
        <f>IF([1]Sheet1!C511="","",[1]Sheet1!C511)</f>
        <v/>
      </c>
      <c r="D475" t="str">
        <f>IF([1]Sheet1!D511="","",[1]Sheet1!D511)</f>
        <v/>
      </c>
      <c r="E475" t="str">
        <f>IF([1]Sheet1!E511="","",[1]Sheet1!E511)</f>
        <v/>
      </c>
      <c r="F475" t="str">
        <f>IF([1]Sheet1!F511="","",[1]Sheet1!F511)</f>
        <v/>
      </c>
      <c r="G475" t="str">
        <f>IF([1]Sheet1!G511="","",[1]Sheet1!G511)</f>
        <v/>
      </c>
      <c r="H475" t="str">
        <f>IF([1]Sheet1!H511="","",[1]Sheet1!H511)</f>
        <v/>
      </c>
      <c r="I475" t="str">
        <f>IF([1]Sheet1!I511="","",[1]Sheet1!I511)</f>
        <v/>
      </c>
      <c r="J475" t="str">
        <f>IF([1]Sheet1!J511="","",[1]Sheet1!J511)</f>
        <v/>
      </c>
      <c r="K475" t="str">
        <f>IF([1]Sheet1!K511="","",[1]Sheet1!K511)</f>
        <v/>
      </c>
      <c r="L475" t="str">
        <f>IF([1]Sheet1!L511="","",[1]Sheet1!L511)</f>
        <v/>
      </c>
      <c r="M475" t="str">
        <f>IF([1]Sheet1!M511="","",[1]Sheet1!M511)</f>
        <v/>
      </c>
      <c r="N475" t="str">
        <f>IF([1]Sheet1!N511="","",[1]Sheet1!N511)</f>
        <v/>
      </c>
      <c r="O475" t="str">
        <f>IF([1]Sheet1!O511="","",[1]Sheet1!O511)</f>
        <v/>
      </c>
      <c r="P475" t="str">
        <f>IF([1]Sheet1!P511="","",[1]Sheet1!P511)</f>
        <v/>
      </c>
    </row>
    <row r="476" spans="1:16" x14ac:dyDescent="0.25">
      <c r="A476" t="str">
        <f>IF([1]Sheet1!A512="","",[1]Sheet1!A512)</f>
        <v/>
      </c>
      <c r="B476" t="str">
        <f>IF([1]Sheet1!B512="","",[1]Sheet1!B512)</f>
        <v/>
      </c>
      <c r="C476" t="str">
        <f>IF([1]Sheet1!C512="","",[1]Sheet1!C512)</f>
        <v/>
      </c>
      <c r="D476" t="str">
        <f>IF([1]Sheet1!D512="","",[1]Sheet1!D512)</f>
        <v/>
      </c>
      <c r="E476" t="str">
        <f>IF([1]Sheet1!E512="","",[1]Sheet1!E512)</f>
        <v/>
      </c>
      <c r="F476" t="str">
        <f>IF([1]Sheet1!F512="","",[1]Sheet1!F512)</f>
        <v/>
      </c>
      <c r="G476" t="str">
        <f>IF([1]Sheet1!G512="","",[1]Sheet1!G512)</f>
        <v/>
      </c>
      <c r="H476" t="str">
        <f>IF([1]Sheet1!H512="","",[1]Sheet1!H512)</f>
        <v/>
      </c>
      <c r="I476" t="str">
        <f>IF([1]Sheet1!I512="","",[1]Sheet1!I512)</f>
        <v/>
      </c>
      <c r="J476" t="str">
        <f>IF([1]Sheet1!J512="","",[1]Sheet1!J512)</f>
        <v/>
      </c>
      <c r="K476" t="str">
        <f>IF([1]Sheet1!K512="","",[1]Sheet1!K512)</f>
        <v/>
      </c>
      <c r="L476" t="str">
        <f>IF([1]Sheet1!L512="","",[1]Sheet1!L512)</f>
        <v/>
      </c>
      <c r="M476" t="str">
        <f>IF([1]Sheet1!M512="","",[1]Sheet1!M512)</f>
        <v/>
      </c>
      <c r="N476" t="str">
        <f>IF([1]Sheet1!N512="","",[1]Sheet1!N512)</f>
        <v/>
      </c>
      <c r="O476" t="str">
        <f>IF([1]Sheet1!O512="","",[1]Sheet1!O512)</f>
        <v/>
      </c>
      <c r="P476" t="str">
        <f>IF([1]Sheet1!P512="","",[1]Sheet1!P512)</f>
        <v/>
      </c>
    </row>
    <row r="477" spans="1:16" x14ac:dyDescent="0.25">
      <c r="A477" t="str">
        <f>IF([1]Sheet1!A513="","",[1]Sheet1!A513)</f>
        <v/>
      </c>
      <c r="B477" t="str">
        <f>IF([1]Sheet1!B513="","",[1]Sheet1!B513)</f>
        <v/>
      </c>
      <c r="C477" t="str">
        <f>IF([1]Sheet1!C513="","",[1]Sheet1!C513)</f>
        <v/>
      </c>
      <c r="D477" t="str">
        <f>IF([1]Sheet1!D513="","",[1]Sheet1!D513)</f>
        <v/>
      </c>
      <c r="E477" t="str">
        <f>IF([1]Sheet1!E513="","",[1]Sheet1!E513)</f>
        <v/>
      </c>
      <c r="F477" t="str">
        <f>IF([1]Sheet1!F513="","",[1]Sheet1!F513)</f>
        <v/>
      </c>
      <c r="G477" t="str">
        <f>IF([1]Sheet1!G513="","",[1]Sheet1!G513)</f>
        <v/>
      </c>
      <c r="H477" t="str">
        <f>IF([1]Sheet1!H513="","",[1]Sheet1!H513)</f>
        <v/>
      </c>
      <c r="I477" t="str">
        <f>IF([1]Sheet1!I513="","",[1]Sheet1!I513)</f>
        <v/>
      </c>
      <c r="J477" t="str">
        <f>IF([1]Sheet1!J513="","",[1]Sheet1!J513)</f>
        <v/>
      </c>
      <c r="K477" t="str">
        <f>IF([1]Sheet1!K513="","",[1]Sheet1!K513)</f>
        <v/>
      </c>
      <c r="L477" t="str">
        <f>IF([1]Sheet1!L513="","",[1]Sheet1!L513)</f>
        <v/>
      </c>
      <c r="M477" t="str">
        <f>IF([1]Sheet1!M513="","",[1]Sheet1!M513)</f>
        <v/>
      </c>
      <c r="N477" t="str">
        <f>IF([1]Sheet1!N513="","",[1]Sheet1!N513)</f>
        <v/>
      </c>
      <c r="O477" t="str">
        <f>IF([1]Sheet1!O513="","",[1]Sheet1!O513)</f>
        <v/>
      </c>
      <c r="P477" t="str">
        <f>IF([1]Sheet1!P513="","",[1]Sheet1!P513)</f>
        <v/>
      </c>
    </row>
    <row r="478" spans="1:16" x14ac:dyDescent="0.25">
      <c r="A478" t="str">
        <f>IF([1]Sheet1!A514="","",[1]Sheet1!A514)</f>
        <v/>
      </c>
      <c r="B478" t="str">
        <f>IF([1]Sheet1!B514="","",[1]Sheet1!B514)</f>
        <v/>
      </c>
      <c r="C478" t="str">
        <f>IF([1]Sheet1!C514="","",[1]Sheet1!C514)</f>
        <v/>
      </c>
      <c r="D478" t="str">
        <f>IF([1]Sheet1!D514="","",[1]Sheet1!D514)</f>
        <v/>
      </c>
      <c r="E478" t="str">
        <f>IF([1]Sheet1!E514="","",[1]Sheet1!E514)</f>
        <v/>
      </c>
      <c r="F478" t="str">
        <f>IF([1]Sheet1!F514="","",[1]Sheet1!F514)</f>
        <v/>
      </c>
      <c r="G478" t="str">
        <f>IF([1]Sheet1!G514="","",[1]Sheet1!G514)</f>
        <v/>
      </c>
      <c r="H478" t="str">
        <f>IF([1]Sheet1!H514="","",[1]Sheet1!H514)</f>
        <v/>
      </c>
      <c r="I478" t="str">
        <f>IF([1]Sheet1!I514="","",[1]Sheet1!I514)</f>
        <v/>
      </c>
      <c r="J478" t="str">
        <f>IF([1]Sheet1!J514="","",[1]Sheet1!J514)</f>
        <v/>
      </c>
      <c r="K478" t="str">
        <f>IF([1]Sheet1!K514="","",[1]Sheet1!K514)</f>
        <v/>
      </c>
      <c r="L478" t="str">
        <f>IF([1]Sheet1!L514="","",[1]Sheet1!L514)</f>
        <v/>
      </c>
      <c r="M478" t="str">
        <f>IF([1]Sheet1!M514="","",[1]Sheet1!M514)</f>
        <v/>
      </c>
      <c r="N478" t="str">
        <f>IF([1]Sheet1!N514="","",[1]Sheet1!N514)</f>
        <v/>
      </c>
      <c r="O478" t="str">
        <f>IF([1]Sheet1!O514="","",[1]Sheet1!O514)</f>
        <v/>
      </c>
      <c r="P478" t="str">
        <f>IF([1]Sheet1!P514="","",[1]Sheet1!P514)</f>
        <v/>
      </c>
    </row>
    <row r="479" spans="1:16" x14ac:dyDescent="0.25">
      <c r="A479" t="str">
        <f>IF([1]Sheet1!A515="","",[1]Sheet1!A515)</f>
        <v/>
      </c>
      <c r="B479" t="str">
        <f>IF([1]Sheet1!B515="","",[1]Sheet1!B515)</f>
        <v/>
      </c>
      <c r="C479" t="str">
        <f>IF([1]Sheet1!C515="","",[1]Sheet1!C515)</f>
        <v/>
      </c>
      <c r="D479" t="str">
        <f>IF([1]Sheet1!D515="","",[1]Sheet1!D515)</f>
        <v/>
      </c>
      <c r="E479" t="str">
        <f>IF([1]Sheet1!E515="","",[1]Sheet1!E515)</f>
        <v/>
      </c>
      <c r="F479" t="str">
        <f>IF([1]Sheet1!F515="","",[1]Sheet1!F515)</f>
        <v/>
      </c>
      <c r="G479" t="str">
        <f>IF([1]Sheet1!G515="","",[1]Sheet1!G515)</f>
        <v/>
      </c>
      <c r="H479" t="str">
        <f>IF([1]Sheet1!H515="","",[1]Sheet1!H515)</f>
        <v/>
      </c>
      <c r="I479" t="str">
        <f>IF([1]Sheet1!I515="","",[1]Sheet1!I515)</f>
        <v/>
      </c>
      <c r="J479" t="str">
        <f>IF([1]Sheet1!J515="","",[1]Sheet1!J515)</f>
        <v/>
      </c>
      <c r="K479" t="str">
        <f>IF([1]Sheet1!K515="","",[1]Sheet1!K515)</f>
        <v/>
      </c>
      <c r="L479" t="str">
        <f>IF([1]Sheet1!L515="","",[1]Sheet1!L515)</f>
        <v/>
      </c>
      <c r="M479" t="str">
        <f>IF([1]Sheet1!M515="","",[1]Sheet1!M515)</f>
        <v/>
      </c>
      <c r="N479" t="str">
        <f>IF([1]Sheet1!N515="","",[1]Sheet1!N515)</f>
        <v/>
      </c>
      <c r="O479" t="str">
        <f>IF([1]Sheet1!O515="","",[1]Sheet1!O515)</f>
        <v/>
      </c>
      <c r="P479" t="str">
        <f>IF([1]Sheet1!P515="","",[1]Sheet1!P515)</f>
        <v/>
      </c>
    </row>
    <row r="480" spans="1:16" x14ac:dyDescent="0.25">
      <c r="A480" t="str">
        <f>IF([1]Sheet1!A516="","",[1]Sheet1!A516)</f>
        <v/>
      </c>
      <c r="B480" t="str">
        <f>IF([1]Sheet1!B516="","",[1]Sheet1!B516)</f>
        <v/>
      </c>
      <c r="C480" t="str">
        <f>IF([1]Sheet1!C516="","",[1]Sheet1!C516)</f>
        <v/>
      </c>
      <c r="D480" t="str">
        <f>IF([1]Sheet1!D516="","",[1]Sheet1!D516)</f>
        <v/>
      </c>
      <c r="E480" t="str">
        <f>IF([1]Sheet1!E516="","",[1]Sheet1!E516)</f>
        <v/>
      </c>
      <c r="F480" t="str">
        <f>IF([1]Sheet1!F516="","",[1]Sheet1!F516)</f>
        <v/>
      </c>
      <c r="G480" t="str">
        <f>IF([1]Sheet1!G516="","",[1]Sheet1!G516)</f>
        <v/>
      </c>
      <c r="H480" t="str">
        <f>IF([1]Sheet1!H516="","",[1]Sheet1!H516)</f>
        <v/>
      </c>
      <c r="I480" t="str">
        <f>IF([1]Sheet1!I516="","",[1]Sheet1!I516)</f>
        <v/>
      </c>
      <c r="J480" t="str">
        <f>IF([1]Sheet1!J516="","",[1]Sheet1!J516)</f>
        <v/>
      </c>
      <c r="K480" t="str">
        <f>IF([1]Sheet1!K516="","",[1]Sheet1!K516)</f>
        <v/>
      </c>
      <c r="L480" t="str">
        <f>IF([1]Sheet1!L516="","",[1]Sheet1!L516)</f>
        <v/>
      </c>
      <c r="M480" t="str">
        <f>IF([1]Sheet1!M516="","",[1]Sheet1!M516)</f>
        <v/>
      </c>
      <c r="N480" t="str">
        <f>IF([1]Sheet1!N516="","",[1]Sheet1!N516)</f>
        <v/>
      </c>
      <c r="O480" t="str">
        <f>IF([1]Sheet1!O516="","",[1]Sheet1!O516)</f>
        <v/>
      </c>
      <c r="P480" t="str">
        <f>IF([1]Sheet1!P516="","",[1]Sheet1!P516)</f>
        <v/>
      </c>
    </row>
    <row r="481" spans="1:16" x14ac:dyDescent="0.25">
      <c r="A481" t="str">
        <f>IF([1]Sheet1!A517="","",[1]Sheet1!A517)</f>
        <v/>
      </c>
      <c r="B481" t="str">
        <f>IF([1]Sheet1!B517="","",[1]Sheet1!B517)</f>
        <v/>
      </c>
      <c r="C481" t="str">
        <f>IF([1]Sheet1!C517="","",[1]Sheet1!C517)</f>
        <v/>
      </c>
      <c r="D481" t="str">
        <f>IF([1]Sheet1!D517="","",[1]Sheet1!D517)</f>
        <v/>
      </c>
      <c r="E481" t="str">
        <f>IF([1]Sheet1!E517="","",[1]Sheet1!E517)</f>
        <v/>
      </c>
      <c r="F481" t="str">
        <f>IF([1]Sheet1!F517="","",[1]Sheet1!F517)</f>
        <v/>
      </c>
      <c r="G481" t="str">
        <f>IF([1]Sheet1!G517="","",[1]Sheet1!G517)</f>
        <v/>
      </c>
      <c r="H481" t="str">
        <f>IF([1]Sheet1!H517="","",[1]Sheet1!H517)</f>
        <v/>
      </c>
      <c r="I481" t="str">
        <f>IF([1]Sheet1!I517="","",[1]Sheet1!I517)</f>
        <v/>
      </c>
      <c r="J481" t="str">
        <f>IF([1]Sheet1!J517="","",[1]Sheet1!J517)</f>
        <v/>
      </c>
      <c r="K481" t="str">
        <f>IF([1]Sheet1!K517="","",[1]Sheet1!K517)</f>
        <v/>
      </c>
      <c r="L481" t="str">
        <f>IF([1]Sheet1!L517="","",[1]Sheet1!L517)</f>
        <v/>
      </c>
      <c r="M481" t="str">
        <f>IF([1]Sheet1!M517="","",[1]Sheet1!M517)</f>
        <v/>
      </c>
      <c r="N481" t="str">
        <f>IF([1]Sheet1!N517="","",[1]Sheet1!N517)</f>
        <v/>
      </c>
      <c r="O481" t="str">
        <f>IF([1]Sheet1!O517="","",[1]Sheet1!O517)</f>
        <v/>
      </c>
      <c r="P481" t="str">
        <f>IF([1]Sheet1!P517="","",[1]Sheet1!P517)</f>
        <v/>
      </c>
    </row>
    <row r="482" spans="1:16" x14ac:dyDescent="0.25">
      <c r="A482" t="str">
        <f>IF([1]Sheet1!A518="","",[1]Sheet1!A518)</f>
        <v/>
      </c>
      <c r="B482" t="str">
        <f>IF([1]Sheet1!B518="","",[1]Sheet1!B518)</f>
        <v/>
      </c>
      <c r="C482" t="str">
        <f>IF([1]Sheet1!C518="","",[1]Sheet1!C518)</f>
        <v/>
      </c>
      <c r="D482" t="str">
        <f>IF([1]Sheet1!D518="","",[1]Sheet1!D518)</f>
        <v/>
      </c>
      <c r="E482" t="str">
        <f>IF([1]Sheet1!E518="","",[1]Sheet1!E518)</f>
        <v/>
      </c>
      <c r="F482" t="str">
        <f>IF([1]Sheet1!F518="","",[1]Sheet1!F518)</f>
        <v/>
      </c>
      <c r="G482" t="str">
        <f>IF([1]Sheet1!G518="","",[1]Sheet1!G518)</f>
        <v/>
      </c>
      <c r="H482" t="str">
        <f>IF([1]Sheet1!H518="","",[1]Sheet1!H518)</f>
        <v/>
      </c>
      <c r="I482" t="str">
        <f>IF([1]Sheet1!I518="","",[1]Sheet1!I518)</f>
        <v/>
      </c>
      <c r="J482" t="str">
        <f>IF([1]Sheet1!J518="","",[1]Sheet1!J518)</f>
        <v/>
      </c>
      <c r="K482" t="str">
        <f>IF([1]Sheet1!K518="","",[1]Sheet1!K518)</f>
        <v/>
      </c>
      <c r="L482" t="str">
        <f>IF([1]Sheet1!L518="","",[1]Sheet1!L518)</f>
        <v/>
      </c>
      <c r="M482" t="str">
        <f>IF([1]Sheet1!M518="","",[1]Sheet1!M518)</f>
        <v/>
      </c>
      <c r="N482" t="str">
        <f>IF([1]Sheet1!N518="","",[1]Sheet1!N518)</f>
        <v/>
      </c>
      <c r="O482" t="str">
        <f>IF([1]Sheet1!O518="","",[1]Sheet1!O518)</f>
        <v/>
      </c>
      <c r="P482" t="str">
        <f>IF([1]Sheet1!P518="","",[1]Sheet1!P518)</f>
        <v/>
      </c>
    </row>
    <row r="483" spans="1:16" x14ac:dyDescent="0.25">
      <c r="A483" t="str">
        <f>IF([1]Sheet1!A519="","",[1]Sheet1!A519)</f>
        <v/>
      </c>
      <c r="B483" t="str">
        <f>IF([1]Sheet1!B519="","",[1]Sheet1!B519)</f>
        <v/>
      </c>
      <c r="C483" t="str">
        <f>IF([1]Sheet1!C519="","",[1]Sheet1!C519)</f>
        <v/>
      </c>
      <c r="D483" t="str">
        <f>IF([1]Sheet1!D519="","",[1]Sheet1!D519)</f>
        <v/>
      </c>
      <c r="E483" t="str">
        <f>IF([1]Sheet1!E519="","",[1]Sheet1!E519)</f>
        <v/>
      </c>
      <c r="F483" t="str">
        <f>IF([1]Sheet1!F519="","",[1]Sheet1!F519)</f>
        <v/>
      </c>
      <c r="G483" t="str">
        <f>IF([1]Sheet1!G519="","",[1]Sheet1!G519)</f>
        <v/>
      </c>
      <c r="H483" t="str">
        <f>IF([1]Sheet1!H519="","",[1]Sheet1!H519)</f>
        <v/>
      </c>
      <c r="I483" t="str">
        <f>IF([1]Sheet1!I519="","",[1]Sheet1!I519)</f>
        <v/>
      </c>
      <c r="J483" t="str">
        <f>IF([1]Sheet1!J519="","",[1]Sheet1!J519)</f>
        <v/>
      </c>
      <c r="K483" t="str">
        <f>IF([1]Sheet1!K519="","",[1]Sheet1!K519)</f>
        <v/>
      </c>
      <c r="L483" t="str">
        <f>IF([1]Sheet1!L519="","",[1]Sheet1!L519)</f>
        <v/>
      </c>
      <c r="M483" t="str">
        <f>IF([1]Sheet1!M519="","",[1]Sheet1!M519)</f>
        <v/>
      </c>
      <c r="N483" t="str">
        <f>IF([1]Sheet1!N519="","",[1]Sheet1!N519)</f>
        <v/>
      </c>
      <c r="O483" t="str">
        <f>IF([1]Sheet1!O519="","",[1]Sheet1!O519)</f>
        <v/>
      </c>
      <c r="P483" t="str">
        <f>IF([1]Sheet1!P519="","",[1]Sheet1!P519)</f>
        <v/>
      </c>
    </row>
    <row r="484" spans="1:16" x14ac:dyDescent="0.25">
      <c r="A484" t="str">
        <f>IF([1]Sheet1!A520="","",[1]Sheet1!A520)</f>
        <v/>
      </c>
      <c r="B484" t="str">
        <f>IF([1]Sheet1!B520="","",[1]Sheet1!B520)</f>
        <v/>
      </c>
      <c r="C484" t="str">
        <f>IF([1]Sheet1!C520="","",[1]Sheet1!C520)</f>
        <v/>
      </c>
      <c r="D484" t="str">
        <f>IF([1]Sheet1!D520="","",[1]Sheet1!D520)</f>
        <v/>
      </c>
      <c r="E484" t="str">
        <f>IF([1]Sheet1!E520="","",[1]Sheet1!E520)</f>
        <v/>
      </c>
      <c r="F484" t="str">
        <f>IF([1]Sheet1!F520="","",[1]Sheet1!F520)</f>
        <v/>
      </c>
      <c r="G484" t="str">
        <f>IF([1]Sheet1!G520="","",[1]Sheet1!G520)</f>
        <v/>
      </c>
      <c r="H484" t="str">
        <f>IF([1]Sheet1!H520="","",[1]Sheet1!H520)</f>
        <v/>
      </c>
      <c r="I484" t="str">
        <f>IF([1]Sheet1!I520="","",[1]Sheet1!I520)</f>
        <v/>
      </c>
      <c r="J484" t="str">
        <f>IF([1]Sheet1!J520="","",[1]Sheet1!J520)</f>
        <v/>
      </c>
      <c r="K484" t="str">
        <f>IF([1]Sheet1!K520="","",[1]Sheet1!K520)</f>
        <v/>
      </c>
      <c r="L484" t="str">
        <f>IF([1]Sheet1!L520="","",[1]Sheet1!L520)</f>
        <v/>
      </c>
      <c r="M484" t="str">
        <f>IF([1]Sheet1!M520="","",[1]Sheet1!M520)</f>
        <v/>
      </c>
      <c r="N484" t="str">
        <f>IF([1]Sheet1!N520="","",[1]Sheet1!N520)</f>
        <v/>
      </c>
      <c r="O484" t="str">
        <f>IF([1]Sheet1!O520="","",[1]Sheet1!O520)</f>
        <v/>
      </c>
      <c r="P484" t="str">
        <f>IF([1]Sheet1!P520="","",[1]Sheet1!P520)</f>
        <v/>
      </c>
    </row>
    <row r="485" spans="1:16" x14ac:dyDescent="0.25">
      <c r="A485" t="str">
        <f>IF([1]Sheet1!A521="","",[1]Sheet1!A521)</f>
        <v/>
      </c>
      <c r="B485" t="str">
        <f>IF([1]Sheet1!B521="","",[1]Sheet1!B521)</f>
        <v/>
      </c>
      <c r="C485" t="str">
        <f>IF([1]Sheet1!C521="","",[1]Sheet1!C521)</f>
        <v/>
      </c>
      <c r="D485" t="str">
        <f>IF([1]Sheet1!D521="","",[1]Sheet1!D521)</f>
        <v/>
      </c>
      <c r="E485" t="str">
        <f>IF([1]Sheet1!E521="","",[1]Sheet1!E521)</f>
        <v/>
      </c>
      <c r="F485" t="str">
        <f>IF([1]Sheet1!F521="","",[1]Sheet1!F521)</f>
        <v/>
      </c>
      <c r="G485" t="str">
        <f>IF([1]Sheet1!G521="","",[1]Sheet1!G521)</f>
        <v/>
      </c>
      <c r="H485" t="str">
        <f>IF([1]Sheet1!H521="","",[1]Sheet1!H521)</f>
        <v/>
      </c>
      <c r="I485" t="str">
        <f>IF([1]Sheet1!I521="","",[1]Sheet1!I521)</f>
        <v/>
      </c>
      <c r="J485" t="str">
        <f>IF([1]Sheet1!J521="","",[1]Sheet1!J521)</f>
        <v/>
      </c>
      <c r="K485" t="str">
        <f>IF([1]Sheet1!K521="","",[1]Sheet1!K521)</f>
        <v/>
      </c>
      <c r="L485" t="str">
        <f>IF([1]Sheet1!L521="","",[1]Sheet1!L521)</f>
        <v/>
      </c>
      <c r="M485" t="str">
        <f>IF([1]Sheet1!M521="","",[1]Sheet1!M521)</f>
        <v/>
      </c>
      <c r="N485" t="str">
        <f>IF([1]Sheet1!N521="","",[1]Sheet1!N521)</f>
        <v/>
      </c>
      <c r="O485" t="str">
        <f>IF([1]Sheet1!O521="","",[1]Sheet1!O521)</f>
        <v/>
      </c>
      <c r="P485" t="str">
        <f>IF([1]Sheet1!P521="","",[1]Sheet1!P521)</f>
        <v/>
      </c>
    </row>
    <row r="486" spans="1:16" x14ac:dyDescent="0.25">
      <c r="A486" t="str">
        <f>IF([1]Sheet1!A522="","",[1]Sheet1!A522)</f>
        <v/>
      </c>
      <c r="B486" t="str">
        <f>IF([1]Sheet1!B522="","",[1]Sheet1!B522)</f>
        <v/>
      </c>
      <c r="C486" t="str">
        <f>IF([1]Sheet1!C522="","",[1]Sheet1!C522)</f>
        <v/>
      </c>
      <c r="D486" t="str">
        <f>IF([1]Sheet1!D522="","",[1]Sheet1!D522)</f>
        <v/>
      </c>
      <c r="E486" t="str">
        <f>IF([1]Sheet1!E522="","",[1]Sheet1!E522)</f>
        <v/>
      </c>
      <c r="F486" t="str">
        <f>IF([1]Sheet1!F522="","",[1]Sheet1!F522)</f>
        <v/>
      </c>
      <c r="G486" t="str">
        <f>IF([1]Sheet1!G522="","",[1]Sheet1!G522)</f>
        <v/>
      </c>
      <c r="H486" t="str">
        <f>IF([1]Sheet1!H522="","",[1]Sheet1!H522)</f>
        <v/>
      </c>
      <c r="I486" t="str">
        <f>IF([1]Sheet1!I522="","",[1]Sheet1!I522)</f>
        <v/>
      </c>
      <c r="J486" t="str">
        <f>IF([1]Sheet1!J522="","",[1]Sheet1!J522)</f>
        <v/>
      </c>
      <c r="K486" t="str">
        <f>IF([1]Sheet1!K522="","",[1]Sheet1!K522)</f>
        <v/>
      </c>
      <c r="L486" t="str">
        <f>IF([1]Sheet1!L522="","",[1]Sheet1!L522)</f>
        <v/>
      </c>
      <c r="M486" t="str">
        <f>IF([1]Sheet1!M522="","",[1]Sheet1!M522)</f>
        <v/>
      </c>
      <c r="N486" t="str">
        <f>IF([1]Sheet1!N522="","",[1]Sheet1!N522)</f>
        <v/>
      </c>
      <c r="O486" t="str">
        <f>IF([1]Sheet1!O522="","",[1]Sheet1!O522)</f>
        <v/>
      </c>
      <c r="P486" t="str">
        <f>IF([1]Sheet1!P522="","",[1]Sheet1!P522)</f>
        <v/>
      </c>
    </row>
    <row r="487" spans="1:16" x14ac:dyDescent="0.25">
      <c r="A487" t="str">
        <f>IF([1]Sheet1!A523="","",[1]Sheet1!A523)</f>
        <v/>
      </c>
      <c r="B487" t="str">
        <f>IF([1]Sheet1!B523="","",[1]Sheet1!B523)</f>
        <v/>
      </c>
      <c r="C487" t="str">
        <f>IF([1]Sheet1!C523="","",[1]Sheet1!C523)</f>
        <v/>
      </c>
      <c r="D487" t="str">
        <f>IF([1]Sheet1!D523="","",[1]Sheet1!D523)</f>
        <v/>
      </c>
      <c r="E487" t="str">
        <f>IF([1]Sheet1!E523="","",[1]Sheet1!E523)</f>
        <v/>
      </c>
      <c r="F487" t="str">
        <f>IF([1]Sheet1!F523="","",[1]Sheet1!F523)</f>
        <v/>
      </c>
      <c r="G487" t="str">
        <f>IF([1]Sheet1!G523="","",[1]Sheet1!G523)</f>
        <v/>
      </c>
      <c r="H487" t="str">
        <f>IF([1]Sheet1!H523="","",[1]Sheet1!H523)</f>
        <v/>
      </c>
      <c r="I487" t="str">
        <f>IF([1]Sheet1!I523="","",[1]Sheet1!I523)</f>
        <v/>
      </c>
      <c r="J487" t="str">
        <f>IF([1]Sheet1!J523="","",[1]Sheet1!J523)</f>
        <v/>
      </c>
      <c r="K487" t="str">
        <f>IF([1]Sheet1!K523="","",[1]Sheet1!K523)</f>
        <v/>
      </c>
      <c r="L487" t="str">
        <f>IF([1]Sheet1!L523="","",[1]Sheet1!L523)</f>
        <v/>
      </c>
      <c r="M487" t="str">
        <f>IF([1]Sheet1!M523="","",[1]Sheet1!M523)</f>
        <v/>
      </c>
      <c r="N487" t="str">
        <f>IF([1]Sheet1!N523="","",[1]Sheet1!N523)</f>
        <v/>
      </c>
      <c r="O487" t="str">
        <f>IF([1]Sheet1!O523="","",[1]Sheet1!O523)</f>
        <v/>
      </c>
      <c r="P487" t="str">
        <f>IF([1]Sheet1!P523="","",[1]Sheet1!P523)</f>
        <v/>
      </c>
    </row>
    <row r="488" spans="1:16" x14ac:dyDescent="0.25">
      <c r="A488" t="str">
        <f>IF([1]Sheet1!A524="","",[1]Sheet1!A524)</f>
        <v/>
      </c>
      <c r="B488" t="str">
        <f>IF([1]Sheet1!B524="","",[1]Sheet1!B524)</f>
        <v/>
      </c>
      <c r="C488" t="str">
        <f>IF([1]Sheet1!C524="","",[1]Sheet1!C524)</f>
        <v/>
      </c>
      <c r="D488" t="str">
        <f>IF([1]Sheet1!D524="","",[1]Sheet1!D524)</f>
        <v/>
      </c>
      <c r="E488" t="str">
        <f>IF([1]Sheet1!E524="","",[1]Sheet1!E524)</f>
        <v/>
      </c>
      <c r="F488" t="str">
        <f>IF([1]Sheet1!F524="","",[1]Sheet1!F524)</f>
        <v/>
      </c>
      <c r="G488" t="str">
        <f>IF([1]Sheet1!G524="","",[1]Sheet1!G524)</f>
        <v/>
      </c>
      <c r="H488" t="str">
        <f>IF([1]Sheet1!H524="","",[1]Sheet1!H524)</f>
        <v/>
      </c>
      <c r="I488" t="str">
        <f>IF([1]Sheet1!I524="","",[1]Sheet1!I524)</f>
        <v/>
      </c>
      <c r="J488" t="str">
        <f>IF([1]Sheet1!J524="","",[1]Sheet1!J524)</f>
        <v/>
      </c>
      <c r="K488" t="str">
        <f>IF([1]Sheet1!K524="","",[1]Sheet1!K524)</f>
        <v/>
      </c>
      <c r="L488" t="str">
        <f>IF([1]Sheet1!L524="","",[1]Sheet1!L524)</f>
        <v/>
      </c>
      <c r="M488" t="str">
        <f>IF([1]Sheet1!M524="","",[1]Sheet1!M524)</f>
        <v/>
      </c>
      <c r="N488" t="str">
        <f>IF([1]Sheet1!N524="","",[1]Sheet1!N524)</f>
        <v/>
      </c>
      <c r="O488" t="str">
        <f>IF([1]Sheet1!O524="","",[1]Sheet1!O524)</f>
        <v/>
      </c>
      <c r="P488" t="str">
        <f>IF([1]Sheet1!P524="","",[1]Sheet1!P524)</f>
        <v/>
      </c>
    </row>
    <row r="489" spans="1:16" x14ac:dyDescent="0.25">
      <c r="A489" t="str">
        <f>IF([1]Sheet1!A525="","",[1]Sheet1!A525)</f>
        <v/>
      </c>
      <c r="B489" t="str">
        <f>IF([1]Sheet1!B525="","",[1]Sheet1!B525)</f>
        <v/>
      </c>
      <c r="C489" t="str">
        <f>IF([1]Sheet1!C525="","",[1]Sheet1!C525)</f>
        <v/>
      </c>
      <c r="D489" t="str">
        <f>IF([1]Sheet1!D525="","",[1]Sheet1!D525)</f>
        <v/>
      </c>
      <c r="E489" t="str">
        <f>IF([1]Sheet1!E525="","",[1]Sheet1!E525)</f>
        <v/>
      </c>
      <c r="F489" t="str">
        <f>IF([1]Sheet1!F525="","",[1]Sheet1!F525)</f>
        <v/>
      </c>
      <c r="G489" t="str">
        <f>IF([1]Sheet1!G525="","",[1]Sheet1!G525)</f>
        <v/>
      </c>
      <c r="H489" t="str">
        <f>IF([1]Sheet1!H525="","",[1]Sheet1!H525)</f>
        <v/>
      </c>
      <c r="I489" t="str">
        <f>IF([1]Sheet1!I525="","",[1]Sheet1!I525)</f>
        <v/>
      </c>
      <c r="J489" t="str">
        <f>IF([1]Sheet1!J525="","",[1]Sheet1!J525)</f>
        <v/>
      </c>
      <c r="K489" t="str">
        <f>IF([1]Sheet1!K525="","",[1]Sheet1!K525)</f>
        <v/>
      </c>
      <c r="L489" t="str">
        <f>IF([1]Sheet1!L525="","",[1]Sheet1!L525)</f>
        <v/>
      </c>
      <c r="M489" t="str">
        <f>IF([1]Sheet1!M525="","",[1]Sheet1!M525)</f>
        <v/>
      </c>
      <c r="N489" t="str">
        <f>IF([1]Sheet1!N525="","",[1]Sheet1!N525)</f>
        <v/>
      </c>
      <c r="O489" t="str">
        <f>IF([1]Sheet1!O525="","",[1]Sheet1!O525)</f>
        <v/>
      </c>
      <c r="P489" t="str">
        <f>IF([1]Sheet1!P525="","",[1]Sheet1!P525)</f>
        <v/>
      </c>
    </row>
    <row r="490" spans="1:16" x14ac:dyDescent="0.25">
      <c r="A490" t="str">
        <f>IF([1]Sheet1!A526="","",[1]Sheet1!A526)</f>
        <v/>
      </c>
      <c r="B490" t="str">
        <f>IF([1]Sheet1!B526="","",[1]Sheet1!B526)</f>
        <v/>
      </c>
      <c r="C490" t="str">
        <f>IF([1]Sheet1!C526="","",[1]Sheet1!C526)</f>
        <v/>
      </c>
      <c r="D490" t="str">
        <f>IF([1]Sheet1!D526="","",[1]Sheet1!D526)</f>
        <v/>
      </c>
      <c r="E490" t="str">
        <f>IF([1]Sheet1!E526="","",[1]Sheet1!E526)</f>
        <v/>
      </c>
      <c r="F490" t="str">
        <f>IF([1]Sheet1!F526="","",[1]Sheet1!F526)</f>
        <v/>
      </c>
      <c r="G490" t="str">
        <f>IF([1]Sheet1!G526="","",[1]Sheet1!G526)</f>
        <v/>
      </c>
      <c r="H490" t="str">
        <f>IF([1]Sheet1!H526="","",[1]Sheet1!H526)</f>
        <v/>
      </c>
      <c r="I490" t="str">
        <f>IF([1]Sheet1!I526="","",[1]Sheet1!I526)</f>
        <v/>
      </c>
      <c r="J490" t="str">
        <f>IF([1]Sheet1!J526="","",[1]Sheet1!J526)</f>
        <v/>
      </c>
      <c r="K490" t="str">
        <f>IF([1]Sheet1!K526="","",[1]Sheet1!K526)</f>
        <v/>
      </c>
      <c r="L490" t="str">
        <f>IF([1]Sheet1!L526="","",[1]Sheet1!L526)</f>
        <v/>
      </c>
      <c r="M490" t="str">
        <f>IF([1]Sheet1!M526="","",[1]Sheet1!M526)</f>
        <v/>
      </c>
      <c r="N490" t="str">
        <f>IF([1]Sheet1!N526="","",[1]Sheet1!N526)</f>
        <v/>
      </c>
      <c r="O490" t="str">
        <f>IF([1]Sheet1!O526="","",[1]Sheet1!O526)</f>
        <v/>
      </c>
      <c r="P490" t="str">
        <f>IF([1]Sheet1!P526="","",[1]Sheet1!P526)</f>
        <v/>
      </c>
    </row>
    <row r="491" spans="1:16" x14ac:dyDescent="0.25">
      <c r="A491" t="str">
        <f>IF([1]Sheet1!A527="","",[1]Sheet1!A527)</f>
        <v/>
      </c>
      <c r="B491" t="str">
        <f>IF([1]Sheet1!B527="","",[1]Sheet1!B527)</f>
        <v/>
      </c>
      <c r="C491" t="str">
        <f>IF([1]Sheet1!C527="","",[1]Sheet1!C527)</f>
        <v/>
      </c>
      <c r="D491" t="str">
        <f>IF([1]Sheet1!D527="","",[1]Sheet1!D527)</f>
        <v/>
      </c>
      <c r="E491" t="str">
        <f>IF([1]Sheet1!E527="","",[1]Sheet1!E527)</f>
        <v/>
      </c>
      <c r="F491" t="str">
        <f>IF([1]Sheet1!F527="","",[1]Sheet1!F527)</f>
        <v/>
      </c>
      <c r="G491" t="str">
        <f>IF([1]Sheet1!G527="","",[1]Sheet1!G527)</f>
        <v/>
      </c>
      <c r="H491" t="str">
        <f>IF([1]Sheet1!H527="","",[1]Sheet1!H527)</f>
        <v/>
      </c>
      <c r="I491" t="str">
        <f>IF([1]Sheet1!I527="","",[1]Sheet1!I527)</f>
        <v/>
      </c>
      <c r="J491" t="str">
        <f>IF([1]Sheet1!J527="","",[1]Sheet1!J527)</f>
        <v/>
      </c>
      <c r="K491" t="str">
        <f>IF([1]Sheet1!K527="","",[1]Sheet1!K527)</f>
        <v/>
      </c>
      <c r="L491" t="str">
        <f>IF([1]Sheet1!L527="","",[1]Sheet1!L527)</f>
        <v/>
      </c>
      <c r="M491" t="str">
        <f>IF([1]Sheet1!M527="","",[1]Sheet1!M527)</f>
        <v/>
      </c>
      <c r="N491" t="str">
        <f>IF([1]Sheet1!N527="","",[1]Sheet1!N527)</f>
        <v/>
      </c>
      <c r="O491" t="str">
        <f>IF([1]Sheet1!O527="","",[1]Sheet1!O527)</f>
        <v/>
      </c>
      <c r="P491" t="str">
        <f>IF([1]Sheet1!P527="","",[1]Sheet1!P527)</f>
        <v/>
      </c>
    </row>
    <row r="492" spans="1:16" x14ac:dyDescent="0.25">
      <c r="A492" t="str">
        <f>IF([1]Sheet1!A528="","",[1]Sheet1!A528)</f>
        <v/>
      </c>
      <c r="B492" t="str">
        <f>IF([1]Sheet1!B528="","",[1]Sheet1!B528)</f>
        <v/>
      </c>
      <c r="C492" t="str">
        <f>IF([1]Sheet1!C528="","",[1]Sheet1!C528)</f>
        <v/>
      </c>
      <c r="D492" t="str">
        <f>IF([1]Sheet1!D528="","",[1]Sheet1!D528)</f>
        <v/>
      </c>
      <c r="E492" t="str">
        <f>IF([1]Sheet1!E528="","",[1]Sheet1!E528)</f>
        <v/>
      </c>
      <c r="F492" t="str">
        <f>IF([1]Sheet1!F528="","",[1]Sheet1!F528)</f>
        <v/>
      </c>
      <c r="G492" t="str">
        <f>IF([1]Sheet1!G528="","",[1]Sheet1!G528)</f>
        <v/>
      </c>
      <c r="H492" t="str">
        <f>IF([1]Sheet1!H528="","",[1]Sheet1!H528)</f>
        <v/>
      </c>
      <c r="I492" t="str">
        <f>IF([1]Sheet1!I528="","",[1]Sheet1!I528)</f>
        <v/>
      </c>
      <c r="J492" t="str">
        <f>IF([1]Sheet1!J528="","",[1]Sheet1!J528)</f>
        <v/>
      </c>
      <c r="K492" t="str">
        <f>IF([1]Sheet1!K528="","",[1]Sheet1!K528)</f>
        <v/>
      </c>
      <c r="L492" t="str">
        <f>IF([1]Sheet1!L528="","",[1]Sheet1!L528)</f>
        <v/>
      </c>
      <c r="M492" t="str">
        <f>IF([1]Sheet1!M528="","",[1]Sheet1!M528)</f>
        <v/>
      </c>
      <c r="N492" t="str">
        <f>IF([1]Sheet1!N528="","",[1]Sheet1!N528)</f>
        <v/>
      </c>
      <c r="O492" t="str">
        <f>IF([1]Sheet1!O528="","",[1]Sheet1!O528)</f>
        <v/>
      </c>
      <c r="P492" t="str">
        <f>IF([1]Sheet1!P528="","",[1]Sheet1!P528)</f>
        <v/>
      </c>
    </row>
    <row r="493" spans="1:16" x14ac:dyDescent="0.25">
      <c r="A493" t="str">
        <f>IF([1]Sheet1!A529="","",[1]Sheet1!A529)</f>
        <v/>
      </c>
      <c r="B493" t="str">
        <f>IF([1]Sheet1!B529="","",[1]Sheet1!B529)</f>
        <v/>
      </c>
      <c r="C493" t="str">
        <f>IF([1]Sheet1!C529="","",[1]Sheet1!C529)</f>
        <v/>
      </c>
      <c r="D493" t="str">
        <f>IF([1]Sheet1!D529="","",[1]Sheet1!D529)</f>
        <v/>
      </c>
      <c r="E493" t="str">
        <f>IF([1]Sheet1!E529="","",[1]Sheet1!E529)</f>
        <v/>
      </c>
      <c r="F493" t="str">
        <f>IF([1]Sheet1!F529="","",[1]Sheet1!F529)</f>
        <v/>
      </c>
      <c r="G493" t="str">
        <f>IF([1]Sheet1!G529="","",[1]Sheet1!G529)</f>
        <v/>
      </c>
      <c r="H493" t="str">
        <f>IF([1]Sheet1!H529="","",[1]Sheet1!H529)</f>
        <v/>
      </c>
      <c r="I493" t="str">
        <f>IF([1]Sheet1!I529="","",[1]Sheet1!I529)</f>
        <v/>
      </c>
      <c r="J493" t="str">
        <f>IF([1]Sheet1!J529="","",[1]Sheet1!J529)</f>
        <v/>
      </c>
      <c r="K493" t="str">
        <f>IF([1]Sheet1!K529="","",[1]Sheet1!K529)</f>
        <v/>
      </c>
      <c r="L493" t="str">
        <f>IF([1]Sheet1!L529="","",[1]Sheet1!L529)</f>
        <v/>
      </c>
      <c r="M493" t="str">
        <f>IF([1]Sheet1!M529="","",[1]Sheet1!M529)</f>
        <v/>
      </c>
      <c r="N493" t="str">
        <f>IF([1]Sheet1!N529="","",[1]Sheet1!N529)</f>
        <v/>
      </c>
      <c r="O493" t="str">
        <f>IF([1]Sheet1!O529="","",[1]Sheet1!O529)</f>
        <v/>
      </c>
      <c r="P493" t="str">
        <f>IF([1]Sheet1!P529="","",[1]Sheet1!P529)</f>
        <v/>
      </c>
    </row>
    <row r="494" spans="1:16" x14ac:dyDescent="0.25">
      <c r="A494" t="str">
        <f>IF([1]Sheet1!A530="","",[1]Sheet1!A530)</f>
        <v/>
      </c>
      <c r="B494" t="str">
        <f>IF([1]Sheet1!B530="","",[1]Sheet1!B530)</f>
        <v/>
      </c>
      <c r="C494" t="str">
        <f>IF([1]Sheet1!C530="","",[1]Sheet1!C530)</f>
        <v/>
      </c>
      <c r="D494" t="str">
        <f>IF([1]Sheet1!D530="","",[1]Sheet1!D530)</f>
        <v/>
      </c>
      <c r="E494" t="str">
        <f>IF([1]Sheet1!E530="","",[1]Sheet1!E530)</f>
        <v/>
      </c>
      <c r="F494" t="str">
        <f>IF([1]Sheet1!F530="","",[1]Sheet1!F530)</f>
        <v/>
      </c>
      <c r="G494" t="str">
        <f>IF([1]Sheet1!G530="","",[1]Sheet1!G530)</f>
        <v/>
      </c>
      <c r="H494" t="str">
        <f>IF([1]Sheet1!H530="","",[1]Sheet1!H530)</f>
        <v/>
      </c>
      <c r="I494" t="str">
        <f>IF([1]Sheet1!I530="","",[1]Sheet1!I530)</f>
        <v/>
      </c>
      <c r="J494" t="str">
        <f>IF([1]Sheet1!J530="","",[1]Sheet1!J530)</f>
        <v/>
      </c>
      <c r="K494" t="str">
        <f>IF([1]Sheet1!K530="","",[1]Sheet1!K530)</f>
        <v/>
      </c>
      <c r="L494" t="str">
        <f>IF([1]Sheet1!L530="","",[1]Sheet1!L530)</f>
        <v/>
      </c>
      <c r="M494" t="str">
        <f>IF([1]Sheet1!M530="","",[1]Sheet1!M530)</f>
        <v/>
      </c>
      <c r="N494" t="str">
        <f>IF([1]Sheet1!N530="","",[1]Sheet1!N530)</f>
        <v/>
      </c>
      <c r="O494" t="str">
        <f>IF([1]Sheet1!O530="","",[1]Sheet1!O530)</f>
        <v/>
      </c>
      <c r="P494" t="str">
        <f>IF([1]Sheet1!P530="","",[1]Sheet1!P530)</f>
        <v/>
      </c>
    </row>
    <row r="495" spans="1:16" x14ac:dyDescent="0.25">
      <c r="A495" t="str">
        <f>IF([1]Sheet1!A531="","",[1]Sheet1!A531)</f>
        <v/>
      </c>
      <c r="B495" t="str">
        <f>IF([1]Sheet1!B531="","",[1]Sheet1!B531)</f>
        <v/>
      </c>
      <c r="C495" t="str">
        <f>IF([1]Sheet1!C531="","",[1]Sheet1!C531)</f>
        <v/>
      </c>
      <c r="D495" t="str">
        <f>IF([1]Sheet1!D531="","",[1]Sheet1!D531)</f>
        <v/>
      </c>
      <c r="E495" t="str">
        <f>IF([1]Sheet1!E531="","",[1]Sheet1!E531)</f>
        <v/>
      </c>
      <c r="F495" t="str">
        <f>IF([1]Sheet1!F531="","",[1]Sheet1!F531)</f>
        <v/>
      </c>
      <c r="G495" t="str">
        <f>IF([1]Sheet1!G531="","",[1]Sheet1!G531)</f>
        <v/>
      </c>
      <c r="H495" t="str">
        <f>IF([1]Sheet1!H531="","",[1]Sheet1!H531)</f>
        <v/>
      </c>
      <c r="I495" t="str">
        <f>IF([1]Sheet1!I531="","",[1]Sheet1!I531)</f>
        <v/>
      </c>
      <c r="J495" t="str">
        <f>IF([1]Sheet1!J531="","",[1]Sheet1!J531)</f>
        <v/>
      </c>
      <c r="K495" t="str">
        <f>IF([1]Sheet1!K531="","",[1]Sheet1!K531)</f>
        <v/>
      </c>
      <c r="L495" t="str">
        <f>IF([1]Sheet1!L531="","",[1]Sheet1!L531)</f>
        <v/>
      </c>
      <c r="M495" t="str">
        <f>IF([1]Sheet1!M531="","",[1]Sheet1!M531)</f>
        <v/>
      </c>
      <c r="N495" t="str">
        <f>IF([1]Sheet1!N531="","",[1]Sheet1!N531)</f>
        <v/>
      </c>
      <c r="O495" t="str">
        <f>IF([1]Sheet1!O531="","",[1]Sheet1!O531)</f>
        <v/>
      </c>
      <c r="P495" t="str">
        <f>IF([1]Sheet1!P531="","",[1]Sheet1!P531)</f>
        <v/>
      </c>
    </row>
    <row r="496" spans="1:16" x14ac:dyDescent="0.25">
      <c r="A496" t="str">
        <f>IF([1]Sheet1!A532="","",[1]Sheet1!A532)</f>
        <v/>
      </c>
      <c r="B496" t="str">
        <f>IF([1]Sheet1!B532="","",[1]Sheet1!B532)</f>
        <v/>
      </c>
      <c r="C496" t="str">
        <f>IF([1]Sheet1!C532="","",[1]Sheet1!C532)</f>
        <v/>
      </c>
      <c r="D496" t="str">
        <f>IF([1]Sheet1!D532="","",[1]Sheet1!D532)</f>
        <v/>
      </c>
      <c r="E496" t="str">
        <f>IF([1]Sheet1!E532="","",[1]Sheet1!E532)</f>
        <v/>
      </c>
      <c r="F496" t="str">
        <f>IF([1]Sheet1!F532="","",[1]Sheet1!F532)</f>
        <v/>
      </c>
      <c r="G496" t="str">
        <f>IF([1]Sheet1!G532="","",[1]Sheet1!G532)</f>
        <v/>
      </c>
      <c r="H496" t="str">
        <f>IF([1]Sheet1!H532="","",[1]Sheet1!H532)</f>
        <v/>
      </c>
      <c r="I496" t="str">
        <f>IF([1]Sheet1!I532="","",[1]Sheet1!I532)</f>
        <v/>
      </c>
      <c r="J496" t="str">
        <f>IF([1]Sheet1!J532="","",[1]Sheet1!J532)</f>
        <v/>
      </c>
      <c r="K496" t="str">
        <f>IF([1]Sheet1!K532="","",[1]Sheet1!K532)</f>
        <v/>
      </c>
      <c r="L496" t="str">
        <f>IF([1]Sheet1!L532="","",[1]Sheet1!L532)</f>
        <v/>
      </c>
      <c r="M496" t="str">
        <f>IF([1]Sheet1!M532="","",[1]Sheet1!M532)</f>
        <v/>
      </c>
      <c r="N496" t="str">
        <f>IF([1]Sheet1!N532="","",[1]Sheet1!N532)</f>
        <v/>
      </c>
      <c r="O496" t="str">
        <f>IF([1]Sheet1!O532="","",[1]Sheet1!O532)</f>
        <v/>
      </c>
      <c r="P496" t="str">
        <f>IF([1]Sheet1!P532="","",[1]Sheet1!P532)</f>
        <v/>
      </c>
    </row>
    <row r="497" spans="1:16" x14ac:dyDescent="0.25">
      <c r="A497" t="str">
        <f>IF([1]Sheet1!A533="","",[1]Sheet1!A533)</f>
        <v/>
      </c>
      <c r="B497" t="str">
        <f>IF([1]Sheet1!B533="","",[1]Sheet1!B533)</f>
        <v/>
      </c>
      <c r="C497" t="str">
        <f>IF([1]Sheet1!C533="","",[1]Sheet1!C533)</f>
        <v/>
      </c>
      <c r="D497" t="str">
        <f>IF([1]Sheet1!D533="","",[1]Sheet1!D533)</f>
        <v/>
      </c>
      <c r="E497" t="str">
        <f>IF([1]Sheet1!E533="","",[1]Sheet1!E533)</f>
        <v/>
      </c>
      <c r="F497" t="str">
        <f>IF([1]Sheet1!F533="","",[1]Sheet1!F533)</f>
        <v/>
      </c>
      <c r="G497" t="str">
        <f>IF([1]Sheet1!G533="","",[1]Sheet1!G533)</f>
        <v/>
      </c>
      <c r="H497" t="str">
        <f>IF([1]Sheet1!H533="","",[1]Sheet1!H533)</f>
        <v/>
      </c>
      <c r="I497" t="str">
        <f>IF([1]Sheet1!I533="","",[1]Sheet1!I533)</f>
        <v/>
      </c>
      <c r="J497" t="str">
        <f>IF([1]Sheet1!J533="","",[1]Sheet1!J533)</f>
        <v/>
      </c>
      <c r="K497" t="str">
        <f>IF([1]Sheet1!K533="","",[1]Sheet1!K533)</f>
        <v/>
      </c>
      <c r="L497" t="str">
        <f>IF([1]Sheet1!L533="","",[1]Sheet1!L533)</f>
        <v/>
      </c>
      <c r="M497" t="str">
        <f>IF([1]Sheet1!M533="","",[1]Sheet1!M533)</f>
        <v/>
      </c>
      <c r="N497" t="str">
        <f>IF([1]Sheet1!N533="","",[1]Sheet1!N533)</f>
        <v/>
      </c>
      <c r="O497" t="str">
        <f>IF([1]Sheet1!O533="","",[1]Sheet1!O533)</f>
        <v/>
      </c>
      <c r="P497" t="str">
        <f>IF([1]Sheet1!P533="","",[1]Sheet1!P533)</f>
        <v/>
      </c>
    </row>
    <row r="498" spans="1:16" x14ac:dyDescent="0.25">
      <c r="A498" t="str">
        <f>IF([1]Sheet1!A534="","",[1]Sheet1!A534)</f>
        <v/>
      </c>
      <c r="B498" t="str">
        <f>IF([1]Sheet1!B534="","",[1]Sheet1!B534)</f>
        <v/>
      </c>
      <c r="C498" t="str">
        <f>IF([1]Sheet1!C534="","",[1]Sheet1!C534)</f>
        <v/>
      </c>
      <c r="D498" t="str">
        <f>IF([1]Sheet1!D534="","",[1]Sheet1!D534)</f>
        <v/>
      </c>
      <c r="E498" t="str">
        <f>IF([1]Sheet1!E534="","",[1]Sheet1!E534)</f>
        <v/>
      </c>
      <c r="F498" t="str">
        <f>IF([1]Sheet1!F534="","",[1]Sheet1!F534)</f>
        <v/>
      </c>
      <c r="G498" t="str">
        <f>IF([1]Sheet1!G534="","",[1]Sheet1!G534)</f>
        <v/>
      </c>
      <c r="H498" t="str">
        <f>IF([1]Sheet1!H534="","",[1]Sheet1!H534)</f>
        <v/>
      </c>
      <c r="I498" t="str">
        <f>IF([1]Sheet1!I534="","",[1]Sheet1!I534)</f>
        <v/>
      </c>
      <c r="J498" t="str">
        <f>IF([1]Sheet1!J534="","",[1]Sheet1!J534)</f>
        <v/>
      </c>
      <c r="K498" t="str">
        <f>IF([1]Sheet1!K534="","",[1]Sheet1!K534)</f>
        <v/>
      </c>
      <c r="L498" t="str">
        <f>IF([1]Sheet1!L534="","",[1]Sheet1!L534)</f>
        <v/>
      </c>
      <c r="M498" t="str">
        <f>IF([1]Sheet1!M534="","",[1]Sheet1!M534)</f>
        <v/>
      </c>
      <c r="N498" t="str">
        <f>IF([1]Sheet1!N534="","",[1]Sheet1!N534)</f>
        <v/>
      </c>
      <c r="O498" t="str">
        <f>IF([1]Sheet1!O534="","",[1]Sheet1!O534)</f>
        <v/>
      </c>
      <c r="P498" t="str">
        <f>IF([1]Sheet1!P534="","",[1]Sheet1!P534)</f>
        <v/>
      </c>
    </row>
    <row r="499" spans="1:16" x14ac:dyDescent="0.25">
      <c r="A499" t="str">
        <f>IF([1]Sheet1!A535="","",[1]Sheet1!A535)</f>
        <v/>
      </c>
      <c r="B499" t="str">
        <f>IF([1]Sheet1!B535="","",[1]Sheet1!B535)</f>
        <v/>
      </c>
      <c r="C499" t="str">
        <f>IF([1]Sheet1!C535="","",[1]Sheet1!C535)</f>
        <v/>
      </c>
      <c r="D499" t="str">
        <f>IF([1]Sheet1!D535="","",[1]Sheet1!D535)</f>
        <v/>
      </c>
      <c r="E499" t="str">
        <f>IF([1]Sheet1!E535="","",[1]Sheet1!E535)</f>
        <v/>
      </c>
      <c r="F499" t="str">
        <f>IF([1]Sheet1!F535="","",[1]Sheet1!F535)</f>
        <v/>
      </c>
      <c r="G499" t="str">
        <f>IF([1]Sheet1!G535="","",[1]Sheet1!G535)</f>
        <v/>
      </c>
      <c r="H499" t="str">
        <f>IF([1]Sheet1!H535="","",[1]Sheet1!H535)</f>
        <v/>
      </c>
      <c r="I499" t="str">
        <f>IF([1]Sheet1!I535="","",[1]Sheet1!I535)</f>
        <v/>
      </c>
      <c r="J499" t="str">
        <f>IF([1]Sheet1!J535="","",[1]Sheet1!J535)</f>
        <v/>
      </c>
      <c r="K499" t="str">
        <f>IF([1]Sheet1!K535="","",[1]Sheet1!K535)</f>
        <v/>
      </c>
      <c r="L499" t="str">
        <f>IF([1]Sheet1!L535="","",[1]Sheet1!L535)</f>
        <v/>
      </c>
      <c r="M499" t="str">
        <f>IF([1]Sheet1!M535="","",[1]Sheet1!M535)</f>
        <v/>
      </c>
      <c r="N499" t="str">
        <f>IF([1]Sheet1!N535="","",[1]Sheet1!N535)</f>
        <v/>
      </c>
      <c r="O499" t="str">
        <f>IF([1]Sheet1!O535="","",[1]Sheet1!O535)</f>
        <v/>
      </c>
      <c r="P499" t="str">
        <f>IF([1]Sheet1!P535="","",[1]Sheet1!P535)</f>
        <v/>
      </c>
    </row>
    <row r="500" spans="1:16" x14ac:dyDescent="0.25">
      <c r="A500" t="str">
        <f>IF([1]Sheet1!A536="","",[1]Sheet1!A536)</f>
        <v/>
      </c>
      <c r="B500" t="str">
        <f>IF([1]Sheet1!B536="","",[1]Sheet1!B536)</f>
        <v/>
      </c>
      <c r="C500" t="str">
        <f>IF([1]Sheet1!C536="","",[1]Sheet1!C536)</f>
        <v/>
      </c>
      <c r="D500" t="str">
        <f>IF([1]Sheet1!D536="","",[1]Sheet1!D536)</f>
        <v/>
      </c>
      <c r="E500" t="str">
        <f>IF([1]Sheet1!E536="","",[1]Sheet1!E536)</f>
        <v/>
      </c>
      <c r="F500" t="str">
        <f>IF([1]Sheet1!F536="","",[1]Sheet1!F536)</f>
        <v/>
      </c>
      <c r="G500" t="str">
        <f>IF([1]Sheet1!G536="","",[1]Sheet1!G536)</f>
        <v/>
      </c>
      <c r="H500" t="str">
        <f>IF([1]Sheet1!H536="","",[1]Sheet1!H536)</f>
        <v/>
      </c>
      <c r="I500" t="str">
        <f>IF([1]Sheet1!I536="","",[1]Sheet1!I536)</f>
        <v/>
      </c>
      <c r="J500" t="str">
        <f>IF([1]Sheet1!J536="","",[1]Sheet1!J536)</f>
        <v/>
      </c>
      <c r="K500" t="str">
        <f>IF([1]Sheet1!K536="","",[1]Sheet1!K536)</f>
        <v/>
      </c>
      <c r="L500" t="str">
        <f>IF([1]Sheet1!L536="","",[1]Sheet1!L536)</f>
        <v/>
      </c>
      <c r="M500" t="str">
        <f>IF([1]Sheet1!M536="","",[1]Sheet1!M536)</f>
        <v/>
      </c>
      <c r="N500" t="str">
        <f>IF([1]Sheet1!N536="","",[1]Sheet1!N536)</f>
        <v/>
      </c>
      <c r="O500" t="str">
        <f>IF([1]Sheet1!O536="","",[1]Sheet1!O536)</f>
        <v/>
      </c>
      <c r="P500" t="str">
        <f>IF([1]Sheet1!P536="","",[1]Sheet1!P536)</f>
        <v/>
      </c>
    </row>
    <row r="501" spans="1:16" x14ac:dyDescent="0.25">
      <c r="A501" t="str">
        <f>IF([1]Sheet1!A537="","",[1]Sheet1!A537)</f>
        <v/>
      </c>
      <c r="B501" t="str">
        <f>IF([1]Sheet1!B537="","",[1]Sheet1!B537)</f>
        <v/>
      </c>
      <c r="C501" t="str">
        <f>IF([1]Sheet1!C537="","",[1]Sheet1!C537)</f>
        <v/>
      </c>
      <c r="D501" t="str">
        <f>IF([1]Sheet1!D537="","",[1]Sheet1!D537)</f>
        <v/>
      </c>
      <c r="E501" t="str">
        <f>IF([1]Sheet1!E537="","",[1]Sheet1!E537)</f>
        <v/>
      </c>
      <c r="F501" t="str">
        <f>IF([1]Sheet1!F537="","",[1]Sheet1!F537)</f>
        <v/>
      </c>
      <c r="G501" t="str">
        <f>IF([1]Sheet1!G537="","",[1]Sheet1!G537)</f>
        <v/>
      </c>
      <c r="H501" t="str">
        <f>IF([1]Sheet1!H537="","",[1]Sheet1!H537)</f>
        <v/>
      </c>
      <c r="I501" t="str">
        <f>IF([1]Sheet1!I537="","",[1]Sheet1!I537)</f>
        <v/>
      </c>
      <c r="J501" t="str">
        <f>IF([1]Sheet1!J537="","",[1]Sheet1!J537)</f>
        <v/>
      </c>
      <c r="K501" t="str">
        <f>IF([1]Sheet1!K537="","",[1]Sheet1!K537)</f>
        <v/>
      </c>
      <c r="L501" t="str">
        <f>IF([1]Sheet1!L537="","",[1]Sheet1!L537)</f>
        <v/>
      </c>
      <c r="M501" t="str">
        <f>IF([1]Sheet1!M537="","",[1]Sheet1!M537)</f>
        <v/>
      </c>
      <c r="N501" t="str">
        <f>IF([1]Sheet1!N537="","",[1]Sheet1!N537)</f>
        <v/>
      </c>
      <c r="O501" t="str">
        <f>IF([1]Sheet1!O537="","",[1]Sheet1!O537)</f>
        <v/>
      </c>
      <c r="P501" t="str">
        <f>IF([1]Sheet1!P537="","",[1]Sheet1!P537)</f>
        <v/>
      </c>
    </row>
    <row r="502" spans="1:16" x14ac:dyDescent="0.25">
      <c r="A502" t="str">
        <f>IF([1]Sheet1!A538="","",[1]Sheet1!A538)</f>
        <v/>
      </c>
      <c r="B502" t="str">
        <f>IF([1]Sheet1!B538="","",[1]Sheet1!B538)</f>
        <v/>
      </c>
      <c r="C502" t="str">
        <f>IF([1]Sheet1!C538="","",[1]Sheet1!C538)</f>
        <v/>
      </c>
      <c r="D502" t="str">
        <f>IF([1]Sheet1!D538="","",[1]Sheet1!D538)</f>
        <v/>
      </c>
      <c r="E502" t="str">
        <f>IF([1]Sheet1!E538="","",[1]Sheet1!E538)</f>
        <v/>
      </c>
      <c r="F502" t="str">
        <f>IF([1]Sheet1!F538="","",[1]Sheet1!F538)</f>
        <v/>
      </c>
      <c r="G502" t="str">
        <f>IF([1]Sheet1!G538="","",[1]Sheet1!G538)</f>
        <v/>
      </c>
      <c r="H502" t="str">
        <f>IF([1]Sheet1!H538="","",[1]Sheet1!H538)</f>
        <v/>
      </c>
      <c r="I502" t="str">
        <f>IF([1]Sheet1!I538="","",[1]Sheet1!I538)</f>
        <v/>
      </c>
      <c r="J502" t="str">
        <f>IF([1]Sheet1!J538="","",[1]Sheet1!J538)</f>
        <v/>
      </c>
      <c r="K502" t="str">
        <f>IF([1]Sheet1!K538="","",[1]Sheet1!K538)</f>
        <v/>
      </c>
      <c r="L502" t="str">
        <f>IF([1]Sheet1!L538="","",[1]Sheet1!L538)</f>
        <v/>
      </c>
      <c r="M502" t="str">
        <f>IF([1]Sheet1!M538="","",[1]Sheet1!M538)</f>
        <v/>
      </c>
      <c r="N502" t="str">
        <f>IF([1]Sheet1!N538="","",[1]Sheet1!N538)</f>
        <v/>
      </c>
      <c r="O502" t="str">
        <f>IF([1]Sheet1!O538="","",[1]Sheet1!O538)</f>
        <v/>
      </c>
      <c r="P502" t="str">
        <f>IF([1]Sheet1!P538="","",[1]Sheet1!P538)</f>
        <v/>
      </c>
    </row>
    <row r="503" spans="1:16" x14ac:dyDescent="0.25">
      <c r="A503" t="str">
        <f>IF([1]Sheet1!A539="","",[1]Sheet1!A539)</f>
        <v/>
      </c>
      <c r="B503" t="str">
        <f>IF([1]Sheet1!B539="","",[1]Sheet1!B539)</f>
        <v/>
      </c>
      <c r="C503" t="str">
        <f>IF([1]Sheet1!C539="","",[1]Sheet1!C539)</f>
        <v/>
      </c>
      <c r="D503" t="str">
        <f>IF([1]Sheet1!D539="","",[1]Sheet1!D539)</f>
        <v/>
      </c>
      <c r="E503" t="str">
        <f>IF([1]Sheet1!E539="","",[1]Sheet1!E539)</f>
        <v/>
      </c>
      <c r="F503" t="str">
        <f>IF([1]Sheet1!F539="","",[1]Sheet1!F539)</f>
        <v/>
      </c>
      <c r="G503" t="str">
        <f>IF([1]Sheet1!G539="","",[1]Sheet1!G539)</f>
        <v/>
      </c>
      <c r="H503" t="str">
        <f>IF([1]Sheet1!H539="","",[1]Sheet1!H539)</f>
        <v/>
      </c>
      <c r="I503" t="str">
        <f>IF([1]Sheet1!I539="","",[1]Sheet1!I539)</f>
        <v/>
      </c>
      <c r="J503" t="str">
        <f>IF([1]Sheet1!J539="","",[1]Sheet1!J539)</f>
        <v/>
      </c>
      <c r="K503" t="str">
        <f>IF([1]Sheet1!K539="","",[1]Sheet1!K539)</f>
        <v/>
      </c>
      <c r="L503" t="str">
        <f>IF([1]Sheet1!L539="","",[1]Sheet1!L539)</f>
        <v/>
      </c>
      <c r="M503" t="str">
        <f>IF([1]Sheet1!M539="","",[1]Sheet1!M539)</f>
        <v/>
      </c>
      <c r="N503" t="str">
        <f>IF([1]Sheet1!N539="","",[1]Sheet1!N539)</f>
        <v/>
      </c>
      <c r="O503" t="str">
        <f>IF([1]Sheet1!O539="","",[1]Sheet1!O539)</f>
        <v/>
      </c>
      <c r="P503" t="str">
        <f>IF([1]Sheet1!P539="","",[1]Sheet1!P539)</f>
        <v/>
      </c>
    </row>
    <row r="504" spans="1:16" x14ac:dyDescent="0.25">
      <c r="A504" t="str">
        <f>IF([1]Sheet1!A540="","",[1]Sheet1!A540)</f>
        <v/>
      </c>
      <c r="B504" t="str">
        <f>IF([1]Sheet1!B540="","",[1]Sheet1!B540)</f>
        <v/>
      </c>
      <c r="C504" t="str">
        <f>IF([1]Sheet1!C540="","",[1]Sheet1!C540)</f>
        <v/>
      </c>
      <c r="D504" t="str">
        <f>IF([1]Sheet1!D540="","",[1]Sheet1!D540)</f>
        <v/>
      </c>
      <c r="E504" t="str">
        <f>IF([1]Sheet1!E540="","",[1]Sheet1!E540)</f>
        <v/>
      </c>
      <c r="F504" t="str">
        <f>IF([1]Sheet1!F540="","",[1]Sheet1!F540)</f>
        <v/>
      </c>
      <c r="G504" t="str">
        <f>IF([1]Sheet1!G540="","",[1]Sheet1!G540)</f>
        <v/>
      </c>
      <c r="H504" t="str">
        <f>IF([1]Sheet1!H540="","",[1]Sheet1!H540)</f>
        <v/>
      </c>
      <c r="I504" t="str">
        <f>IF([1]Sheet1!I540="","",[1]Sheet1!I540)</f>
        <v/>
      </c>
      <c r="J504" t="str">
        <f>IF([1]Sheet1!J540="","",[1]Sheet1!J540)</f>
        <v/>
      </c>
      <c r="K504" t="str">
        <f>IF([1]Sheet1!K540="","",[1]Sheet1!K540)</f>
        <v/>
      </c>
      <c r="L504" t="str">
        <f>IF([1]Sheet1!L540="","",[1]Sheet1!L540)</f>
        <v/>
      </c>
      <c r="M504" t="str">
        <f>IF([1]Sheet1!M540="","",[1]Sheet1!M540)</f>
        <v/>
      </c>
      <c r="N504" t="str">
        <f>IF([1]Sheet1!N540="","",[1]Sheet1!N540)</f>
        <v/>
      </c>
      <c r="O504" t="str">
        <f>IF([1]Sheet1!O540="","",[1]Sheet1!O540)</f>
        <v/>
      </c>
      <c r="P504" t="str">
        <f>IF([1]Sheet1!P540="","",[1]Sheet1!P540)</f>
        <v/>
      </c>
    </row>
    <row r="505" spans="1:16" x14ac:dyDescent="0.25">
      <c r="A505" t="str">
        <f>IF([1]Sheet1!A541="","",[1]Sheet1!A541)</f>
        <v/>
      </c>
      <c r="B505" t="str">
        <f>IF([1]Sheet1!B541="","",[1]Sheet1!B541)</f>
        <v/>
      </c>
      <c r="C505" t="str">
        <f>IF([1]Sheet1!C541="","",[1]Sheet1!C541)</f>
        <v/>
      </c>
      <c r="D505" t="str">
        <f>IF([1]Sheet1!D541="","",[1]Sheet1!D541)</f>
        <v/>
      </c>
      <c r="E505" t="str">
        <f>IF([1]Sheet1!E541="","",[1]Sheet1!E541)</f>
        <v/>
      </c>
      <c r="F505" t="str">
        <f>IF([1]Sheet1!F541="","",[1]Sheet1!F541)</f>
        <v/>
      </c>
      <c r="G505" t="str">
        <f>IF([1]Sheet1!G541="","",[1]Sheet1!G541)</f>
        <v/>
      </c>
      <c r="H505" t="str">
        <f>IF([1]Sheet1!H541="","",[1]Sheet1!H541)</f>
        <v/>
      </c>
      <c r="I505" t="str">
        <f>IF([1]Sheet1!I541="","",[1]Sheet1!I541)</f>
        <v/>
      </c>
      <c r="J505" t="str">
        <f>IF([1]Sheet1!J541="","",[1]Sheet1!J541)</f>
        <v/>
      </c>
      <c r="K505" t="str">
        <f>IF([1]Sheet1!K541="","",[1]Sheet1!K541)</f>
        <v/>
      </c>
      <c r="L505" t="str">
        <f>IF([1]Sheet1!L541="","",[1]Sheet1!L541)</f>
        <v/>
      </c>
      <c r="M505" t="str">
        <f>IF([1]Sheet1!M541="","",[1]Sheet1!M541)</f>
        <v/>
      </c>
      <c r="N505" t="str">
        <f>IF([1]Sheet1!N541="","",[1]Sheet1!N541)</f>
        <v/>
      </c>
      <c r="O505" t="str">
        <f>IF([1]Sheet1!O541="","",[1]Sheet1!O541)</f>
        <v/>
      </c>
      <c r="P505" t="str">
        <f>IF([1]Sheet1!P541="","",[1]Sheet1!P541)</f>
        <v/>
      </c>
    </row>
    <row r="506" spans="1:16" x14ac:dyDescent="0.25">
      <c r="A506" t="str">
        <f>IF([1]Sheet1!A542="","",[1]Sheet1!A542)</f>
        <v/>
      </c>
      <c r="B506" t="str">
        <f>IF([1]Sheet1!B542="","",[1]Sheet1!B542)</f>
        <v/>
      </c>
      <c r="C506" t="str">
        <f>IF([1]Sheet1!C542="","",[1]Sheet1!C542)</f>
        <v/>
      </c>
      <c r="D506" t="str">
        <f>IF([1]Sheet1!D542="","",[1]Sheet1!D542)</f>
        <v/>
      </c>
      <c r="E506" t="str">
        <f>IF([1]Sheet1!E542="","",[1]Sheet1!E542)</f>
        <v/>
      </c>
      <c r="F506" t="str">
        <f>IF([1]Sheet1!F542="","",[1]Sheet1!F542)</f>
        <v/>
      </c>
      <c r="G506" t="str">
        <f>IF([1]Sheet1!G542="","",[1]Sheet1!G542)</f>
        <v/>
      </c>
      <c r="H506" t="str">
        <f>IF([1]Sheet1!H542="","",[1]Sheet1!H542)</f>
        <v/>
      </c>
      <c r="I506" t="str">
        <f>IF([1]Sheet1!I542="","",[1]Sheet1!I542)</f>
        <v/>
      </c>
      <c r="J506" t="str">
        <f>IF([1]Sheet1!J542="","",[1]Sheet1!J542)</f>
        <v/>
      </c>
      <c r="K506" t="str">
        <f>IF([1]Sheet1!K542="","",[1]Sheet1!K542)</f>
        <v/>
      </c>
      <c r="L506" t="str">
        <f>IF([1]Sheet1!L542="","",[1]Sheet1!L542)</f>
        <v/>
      </c>
      <c r="M506" t="str">
        <f>IF([1]Sheet1!M542="","",[1]Sheet1!M542)</f>
        <v/>
      </c>
      <c r="N506" t="str">
        <f>IF([1]Sheet1!N542="","",[1]Sheet1!N542)</f>
        <v/>
      </c>
      <c r="O506" t="str">
        <f>IF([1]Sheet1!O542="","",[1]Sheet1!O542)</f>
        <v/>
      </c>
      <c r="P506" t="str">
        <f>IF([1]Sheet1!P542="","",[1]Sheet1!P542)</f>
        <v/>
      </c>
    </row>
  </sheetData>
  <mergeCells count="13">
    <mergeCell ref="I4:J4"/>
    <mergeCell ref="F4:H4"/>
    <mergeCell ref="N3:O3"/>
    <mergeCell ref="A1:C3"/>
    <mergeCell ref="D1:D3"/>
    <mergeCell ref="E1:J2"/>
    <mergeCell ref="K1:K2"/>
    <mergeCell ref="L1:L2"/>
    <mergeCell ref="N1:P1"/>
    <mergeCell ref="N2:P2"/>
    <mergeCell ref="E3:F3"/>
    <mergeCell ref="G3:H3"/>
    <mergeCell ref="J3:L3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H515"/>
  <sheetViews>
    <sheetView zoomScale="85" zoomScaleNormal="85" workbookViewId="0">
      <pane ySplit="14" topLeftCell="A15" activePane="bottomLeft" state="frozen"/>
      <selection pane="bottomLeft" activeCell="P25" sqref="P25"/>
    </sheetView>
  </sheetViews>
  <sheetFormatPr defaultColWidth="0" defaultRowHeight="0" customHeight="1" zeroHeight="1" x14ac:dyDescent="0.25"/>
  <cols>
    <col min="1" max="1" width="2.5703125" style="48" customWidth="1"/>
    <col min="2" max="2" width="13" style="48" customWidth="1"/>
    <col min="3" max="3" width="9.28515625" style="48" customWidth="1"/>
    <col min="4" max="4" width="4.140625" style="49" customWidth="1"/>
    <col min="5" max="5" width="14.7109375" style="48" customWidth="1"/>
    <col min="6" max="6" width="14.42578125" style="48" bestFit="1" customWidth="1"/>
    <col min="7" max="7" width="9.140625" style="48" customWidth="1"/>
    <col min="8" max="8" width="11.85546875" style="48" customWidth="1"/>
    <col min="9" max="9" width="10.85546875" style="48" bestFit="1" customWidth="1"/>
    <col min="10" max="10" width="10" style="48" customWidth="1"/>
    <col min="11" max="11" width="9.5703125" style="48" customWidth="1"/>
    <col min="12" max="12" width="14" style="48" customWidth="1"/>
    <col min="13" max="13" width="11.42578125" style="48" bestFit="1" customWidth="1"/>
    <col min="14" max="14" width="12.140625" style="48" bestFit="1" customWidth="1"/>
    <col min="15" max="15" width="12.28515625" style="48" bestFit="1" customWidth="1"/>
    <col min="16" max="16" width="7.7109375" style="48" customWidth="1"/>
    <col min="17" max="17" width="13.5703125" style="48" customWidth="1"/>
    <col min="18" max="18" width="21.140625" style="48" bestFit="1" customWidth="1"/>
    <col min="19" max="19" width="9.7109375" style="48" bestFit="1" customWidth="1"/>
    <col min="20" max="20" width="23.140625" style="48" customWidth="1"/>
    <col min="21" max="21" width="4.28515625" style="53" customWidth="1"/>
    <col min="22" max="58" width="9.7109375" style="53" hidden="1" customWidth="1"/>
    <col min="59" max="60" width="4.28515625" style="53" hidden="1" customWidth="1"/>
    <col min="61" max="16384" width="5.140625" style="53" hidden="1"/>
  </cols>
  <sheetData>
    <row r="1" spans="1:38" s="48" customFormat="1" ht="15.75" customHeight="1" thickBot="1" x14ac:dyDescent="0.3">
      <c r="A1" s="48" t="str">
        <f>_xlfn.CONCAT(AL15:AL514)</f>
        <v/>
      </c>
      <c r="D1" s="49"/>
      <c r="E1" s="48" t="str">
        <f>IF(LEN(W13)=3,W13,IF(LEN(W13)=2,_xlfn.CONCAT("0",W13),_xlfn.CONCAT("00",W13)))</f>
        <v>000</v>
      </c>
      <c r="J1" s="50"/>
      <c r="K1" s="50"/>
      <c r="U1" s="54"/>
    </row>
    <row r="2" spans="1:38" s="48" customFormat="1" ht="15" customHeight="1" thickTop="1" thickBot="1" x14ac:dyDescent="0.3">
      <c r="B2" s="4" t="s">
        <v>0</v>
      </c>
      <c r="C2" s="4" t="s">
        <v>61</v>
      </c>
      <c r="D2" s="49"/>
      <c r="E2" s="66" t="s">
        <v>77</v>
      </c>
      <c r="G2" s="4" t="s">
        <v>1</v>
      </c>
      <c r="H2" s="4" t="s">
        <v>2</v>
      </c>
      <c r="I2" s="4" t="s">
        <v>3</v>
      </c>
      <c r="M2" s="51"/>
      <c r="N2" s="27" t="s">
        <v>4</v>
      </c>
      <c r="O2" s="4" t="s">
        <v>5</v>
      </c>
      <c r="P2" s="4" t="s">
        <v>6</v>
      </c>
      <c r="Q2" s="4" t="s">
        <v>73</v>
      </c>
      <c r="R2" s="4" t="s">
        <v>7</v>
      </c>
      <c r="U2" s="48" t="s">
        <v>8</v>
      </c>
    </row>
    <row r="3" spans="1:38" s="48" customFormat="1" ht="15" hidden="1" customHeight="1" thickBot="1" x14ac:dyDescent="0.3">
      <c r="B3" s="5" t="str">
        <f>RIGHT(B4,6)</f>
        <v/>
      </c>
      <c r="C3" s="6" t="str">
        <f>RIGHT(C4,2)</f>
        <v/>
      </c>
      <c r="D3" s="49"/>
      <c r="E3" s="67"/>
      <c r="G3" s="5" t="str">
        <f>IF(LEN(G4)=3,G4,IF(LEN(G4)=2,_xlfn.CONCAT("0",G4),_xlfn.CONCAT("00",G4)))</f>
        <v>00</v>
      </c>
      <c r="H3" s="3"/>
      <c r="I3" s="6" t="str">
        <f>IF(LEN(I4)=2,I4,IF(LEN(I4)=1,_xlfn.CONCAT("0",I4),_xlfn.CONCAT("11")))</f>
        <v>11</v>
      </c>
      <c r="M3" s="51"/>
      <c r="N3" s="3">
        <f>IF(N4&gt;3,3,IF(N4&lt;1,1,N4))</f>
        <v>1</v>
      </c>
      <c r="O3" s="3" t="str">
        <f>_xlfn.CONCAT("0",LEFT(O4,2),".",RIGHT(O4,1))</f>
        <v>0.</v>
      </c>
      <c r="P3" s="3" t="str">
        <f>IF(LEN(P4)=3,P4,IF(LEN(P4)=2,_xlfn.CONCAT("0",P4),_xlfn.CONCAT("00",P4)))</f>
        <v>00</v>
      </c>
      <c r="Q3" s="3" t="str">
        <f>IF(Q4="C","C",IF(Q4="T","T","N"))</f>
        <v>N</v>
      </c>
      <c r="R3" s="6" t="str">
        <f>IF(LEN(R4)=3,R4,IF(LEN(R4)=2,_xlfn.CONCAT("0",R4),_xlfn.CONCAT("00",R4)))</f>
        <v>00</v>
      </c>
      <c r="U3" s="48" t="str">
        <f>IF(U4="N",_xlfn.CONCAT(A9,A9,"E"),"N")</f>
        <v>N</v>
      </c>
    </row>
    <row r="4" spans="1:38" s="48" customFormat="1" ht="15.75" customHeight="1" thickBot="1" x14ac:dyDescent="0.3">
      <c r="B4" s="7"/>
      <c r="C4" s="7"/>
      <c r="D4" s="49"/>
      <c r="E4" s="68"/>
      <c r="G4" s="7"/>
      <c r="H4" s="7"/>
      <c r="I4" s="7"/>
      <c r="M4" s="51"/>
      <c r="N4" s="11"/>
      <c r="O4" s="7"/>
      <c r="P4" s="7"/>
      <c r="Q4" s="7"/>
      <c r="R4" s="7"/>
      <c r="U4" s="48" t="s">
        <v>58</v>
      </c>
    </row>
    <row r="5" spans="1:38" s="48" customFormat="1" ht="15" customHeight="1" thickBot="1" x14ac:dyDescent="0.3">
      <c r="D5" s="49"/>
      <c r="E5" s="8" t="str">
        <f>RIGHT(B4,6)</f>
        <v/>
      </c>
    </row>
    <row r="6" spans="1:38" s="48" customFormat="1" ht="17.25" thickTop="1" thickBot="1" x14ac:dyDescent="0.3">
      <c r="B6" s="48" t="str">
        <f>B3</f>
        <v/>
      </c>
      <c r="C6" s="48" t="str">
        <f>C3</f>
        <v/>
      </c>
      <c r="D6" s="49"/>
      <c r="F6" s="52"/>
      <c r="G6" s="4" t="s">
        <v>11</v>
      </c>
      <c r="H6" s="4" t="s">
        <v>12</v>
      </c>
      <c r="I6" s="4" t="s">
        <v>13</v>
      </c>
      <c r="M6" s="76" t="s">
        <v>17</v>
      </c>
      <c r="N6" s="4" t="s">
        <v>14</v>
      </c>
      <c r="O6" s="4" t="s">
        <v>15</v>
      </c>
      <c r="Q6" s="74" t="s">
        <v>109</v>
      </c>
      <c r="R6" s="4" t="s">
        <v>21</v>
      </c>
      <c r="S6" s="4" t="s">
        <v>20</v>
      </c>
      <c r="V6" s="48" t="s">
        <v>74</v>
      </c>
    </row>
    <row r="7" spans="1:38" s="48" customFormat="1" ht="16.5" thickBot="1" x14ac:dyDescent="0.3">
      <c r="D7" s="49"/>
      <c r="F7" s="4" t="s">
        <v>16</v>
      </c>
      <c r="G7" s="7"/>
      <c r="H7" s="7"/>
      <c r="I7" s="7"/>
      <c r="M7" s="77"/>
      <c r="N7" s="9"/>
      <c r="O7" s="9"/>
      <c r="Q7" s="75"/>
      <c r="R7" s="9"/>
      <c r="S7" s="9"/>
      <c r="V7" s="48" t="str">
        <f>IF(AF15="",_xlfn.CONCAT(AK14,AK14),_xlfn.CONCAT(AD15,AE15,AF15))</f>
        <v>{enter}{enter}</v>
      </c>
    </row>
    <row r="8" spans="1:38" s="48" customFormat="1" ht="15.75" hidden="1" thickBot="1" x14ac:dyDescent="0.3">
      <c r="A8" s="48" t="str">
        <f>"send, "</f>
        <v xml:space="preserve">send, </v>
      </c>
      <c r="D8" s="49"/>
      <c r="F8" s="10"/>
      <c r="G8" s="5" t="str">
        <f>IF(G7="C","C",IF(G7="M","M","D"))</f>
        <v>D</v>
      </c>
      <c r="H8" s="3" t="str">
        <f>IF(LEN(H7)=2,H7,IF(LEN(H7)=1,_xlfn.CONCAT("0",H7),_xlfn.CONCAT("11")))</f>
        <v>11</v>
      </c>
      <c r="I8" s="6">
        <f>IF(I7=600,I7,IF(I7=150,150,300))</f>
        <v>300</v>
      </c>
      <c r="N8" s="48" t="str">
        <f>_xlfn.CONCAT(LEFT(N7,2),$A$9)</f>
        <v>{enter}</v>
      </c>
      <c r="O8" s="48" t="str">
        <f>_xlfn.CONCAT(LEFT(O7,2),$A$9)</f>
        <v>{enter}</v>
      </c>
      <c r="P8" s="48">
        <v>21</v>
      </c>
      <c r="R8" s="48" t="str">
        <f>IF(LEN(R7)=2,R7,_xlfn.CONCAT("0",R7))</f>
        <v>0</v>
      </c>
      <c r="S8" s="48" t="str">
        <f>IF(LEN(S7)=2,S7,_xlfn.CONCAT("0",S7))</f>
        <v>0</v>
      </c>
    </row>
    <row r="9" spans="1:38" s="48" customFormat="1" ht="16.5" thickBot="1" x14ac:dyDescent="0.3">
      <c r="A9" s="48" t="s">
        <v>18</v>
      </c>
      <c r="D9" s="49"/>
      <c r="F9" s="4" t="s">
        <v>19</v>
      </c>
      <c r="G9" s="7"/>
      <c r="H9" s="7"/>
      <c r="I9" s="11"/>
      <c r="P9" s="48">
        <v>34</v>
      </c>
      <c r="Q9" s="48">
        <v>95</v>
      </c>
    </row>
    <row r="10" spans="1:38" s="48" customFormat="1" ht="15.75" thickBot="1" x14ac:dyDescent="0.3">
      <c r="D10" s="49"/>
      <c r="G10" s="48" t="str">
        <f>IF(G9="C","C",IF(G9="M","M","D"))</f>
        <v>D</v>
      </c>
      <c r="H10" s="48" t="str">
        <f>IF(LEN(H9)=2,H9,IF(LEN(H9)=1,_xlfn.CONCAT("0",H9),_xlfn.CONCAT("11")))</f>
        <v>11</v>
      </c>
      <c r="I10" s="48">
        <f>IF(I9=600,I9,IF(I9=150,150,300))</f>
        <v>300</v>
      </c>
      <c r="O10" s="48" t="s">
        <v>10</v>
      </c>
      <c r="P10" s="48">
        <v>53</v>
      </c>
      <c r="Q10" s="48">
        <v>170</v>
      </c>
    </row>
    <row r="11" spans="1:38" s="48" customFormat="1" ht="15" customHeight="1" thickBot="1" x14ac:dyDescent="0.3">
      <c r="D11" s="49"/>
      <c r="E11" s="4" t="s">
        <v>108</v>
      </c>
      <c r="F11" s="7"/>
      <c r="L11" s="48" t="s">
        <v>9</v>
      </c>
      <c r="N11" s="48">
        <v>1</v>
      </c>
      <c r="O11" s="48" t="s">
        <v>59</v>
      </c>
      <c r="P11" s="48">
        <v>107</v>
      </c>
      <c r="Q11" s="48">
        <v>300</v>
      </c>
    </row>
    <row r="12" spans="1:38" s="48" customFormat="1" ht="15.75" customHeight="1" thickBot="1" x14ac:dyDescent="0.3">
      <c r="D12" s="49"/>
      <c r="K12" s="28" t="s">
        <v>80</v>
      </c>
      <c r="L12" s="48" t="s">
        <v>75</v>
      </c>
      <c r="N12" s="48">
        <v>3</v>
      </c>
      <c r="O12" s="48" t="s">
        <v>60</v>
      </c>
      <c r="P12" s="48">
        <v>170</v>
      </c>
      <c r="Q12" s="48" t="str">
        <f>IF(Q4=95,"C",IF(Q4=300,"T","N"))</f>
        <v>N</v>
      </c>
    </row>
    <row r="13" spans="1:38" s="48" customFormat="1" ht="16.5" customHeight="1" thickBot="1" x14ac:dyDescent="0.3">
      <c r="C13" s="48" t="s">
        <v>22</v>
      </c>
      <c r="D13" s="49" t="s">
        <v>23</v>
      </c>
      <c r="E13" s="72"/>
      <c r="F13" s="73"/>
      <c r="G13" s="73"/>
      <c r="H13" s="73"/>
      <c r="I13" s="73"/>
      <c r="J13" s="69" t="s">
        <v>24</v>
      </c>
      <c r="K13" s="70"/>
      <c r="L13" s="71"/>
      <c r="M13" s="69" t="s">
        <v>25</v>
      </c>
      <c r="N13" s="71"/>
      <c r="O13" s="69" t="s">
        <v>26</v>
      </c>
      <c r="P13" s="70"/>
      <c r="Q13" s="71"/>
      <c r="R13" s="12"/>
      <c r="S13" s="13"/>
      <c r="T13" s="60" t="s">
        <v>107</v>
      </c>
      <c r="W13" s="48">
        <f>SUM(W15:W514)</f>
        <v>0</v>
      </c>
    </row>
    <row r="14" spans="1:38" s="48" customFormat="1" ht="48" customHeight="1" thickBot="1" x14ac:dyDescent="0.3">
      <c r="D14" s="49"/>
      <c r="E14" s="29" t="s">
        <v>27</v>
      </c>
      <c r="F14" s="30" t="s">
        <v>28</v>
      </c>
      <c r="G14" s="30" t="s">
        <v>29</v>
      </c>
      <c r="H14" s="30" t="s">
        <v>78</v>
      </c>
      <c r="I14" s="31" t="s">
        <v>30</v>
      </c>
      <c r="J14" s="29" t="s">
        <v>31</v>
      </c>
      <c r="K14" s="30" t="s">
        <v>32</v>
      </c>
      <c r="L14" s="32" t="s">
        <v>33</v>
      </c>
      <c r="M14" s="29" t="s">
        <v>31</v>
      </c>
      <c r="N14" s="32" t="s">
        <v>32</v>
      </c>
      <c r="O14" s="29" t="s">
        <v>34</v>
      </c>
      <c r="P14" s="30" t="s">
        <v>35</v>
      </c>
      <c r="Q14" s="32" t="s">
        <v>36</v>
      </c>
      <c r="R14" s="33" t="s">
        <v>37</v>
      </c>
      <c r="S14" s="32" t="s">
        <v>38</v>
      </c>
      <c r="T14" s="61"/>
      <c r="V14" s="48" t="s">
        <v>79</v>
      </c>
      <c r="W14" s="48" t="s">
        <v>39</v>
      </c>
      <c r="Y14" s="48" t="s">
        <v>40</v>
      </c>
      <c r="Z14" s="48" t="s">
        <v>41</v>
      </c>
      <c r="AA14" s="48" t="s">
        <v>42</v>
      </c>
      <c r="AB14" s="48" t="s">
        <v>43</v>
      </c>
      <c r="AC14" s="48" t="s">
        <v>62</v>
      </c>
      <c r="AD14" s="48" t="s">
        <v>63</v>
      </c>
      <c r="AG14" s="48" t="s">
        <v>64</v>
      </c>
      <c r="AI14" s="48" t="s">
        <v>35</v>
      </c>
      <c r="AJ14" s="48" t="s">
        <v>65</v>
      </c>
      <c r="AK14" s="48" t="str">
        <f>A9</f>
        <v>{enter}</v>
      </c>
      <c r="AL14" s="48" t="s">
        <v>44</v>
      </c>
    </row>
    <row r="15" spans="1:38" s="48" customFormat="1" ht="15" customHeight="1" x14ac:dyDescent="0.25">
      <c r="A15" s="48" t="s">
        <v>45</v>
      </c>
      <c r="B15" s="48" t="s">
        <v>76</v>
      </c>
      <c r="C15" s="48" t="str">
        <f>_xlfn.CONCAT($A$8,"RRR",A15,A9,"500",A9,"dwild",A9,$C$3,$B$3,DADOS!E1,A9,"
",DADOS!A1)</f>
        <v xml:space="preserve">send, RRRCCG{enter}500{enter}dwild{enter}000{enter}
</v>
      </c>
      <c r="D15" s="49" t="str">
        <f>_xlfn.CONCAT("^+",B15,"::
",C15,"
return","
")</f>
        <v xml:space="preserve">^+G::
send, RRRCCG{enter}500{enter}dwild{enter}000{enter}
return
</v>
      </c>
      <c r="E15" s="34"/>
      <c r="F15" s="35"/>
      <c r="G15" s="35"/>
      <c r="H15" s="35"/>
      <c r="I15" s="36"/>
      <c r="J15" s="34"/>
      <c r="K15" s="35"/>
      <c r="L15" s="37"/>
      <c r="M15" s="38"/>
      <c r="N15" s="37"/>
      <c r="O15" s="38"/>
      <c r="P15" s="39"/>
      <c r="Q15" s="37"/>
      <c r="R15" s="40"/>
      <c r="S15" s="41">
        <v>1</v>
      </c>
      <c r="T15" s="40"/>
      <c r="V15" s="48" t="str">
        <f>IF(E15="","",IF(R16="",IF(R15&lt;21,1,0),0))</f>
        <v/>
      </c>
      <c r="W15" s="48">
        <f t="shared" ref="W15:W78" si="0">IF(E15="",0,1)</f>
        <v>0</v>
      </c>
      <c r="X15" s="48">
        <f>R16</f>
        <v>0</v>
      </c>
      <c r="Y15" s="48" t="str">
        <f t="shared" ref="Y15:Y78" si="1">_xlfn.CONCAT(E15,IF(LEN(E15)=1,"  ",IF(LEN(E15)=2," ","")))</f>
        <v/>
      </c>
      <c r="Z15" s="48" t="str">
        <f t="shared" ref="Z15:Z78" si="2">_xlfn.CONCAT(F15,IF(LEN(F15)=1,"  ",IF(LEN(F15)=2," ","")))</f>
        <v/>
      </c>
      <c r="AA15" s="48" t="str">
        <f t="shared" ref="AA15:AA78" si="3">IF(W15=0,"",G15)</f>
        <v/>
      </c>
      <c r="AB15" s="48" t="str">
        <f>IF(OR(G15=0,G15=4),"",H15)</f>
        <v/>
      </c>
      <c r="AC15" s="48" t="str">
        <f t="shared" ref="AC15:AC78" si="4">IF(W15=0,"",IF(LEN(I15)=1,_xlfn.CONCAT(0,I15),I15))</f>
        <v/>
      </c>
      <c r="AD15" s="48" t="str">
        <f t="shared" ref="AD15:AD78" si="5">IF(I15=20,"",(IF(I15=8,IF(LEN(J15)=1,_xlfn.CONCAT("00",J15),IF(LEN(J15)=2,_xlfn.CONCAT("0",J15),J15)),"")))</f>
        <v/>
      </c>
      <c r="AE15" s="48" t="str">
        <f t="shared" ref="AE15:AE78" si="6">IF(I15=20,"",IF(I15=8,IF(LEN(K15)=1,_xlfn.CONCAT(0,K15),K15),""))</f>
        <v/>
      </c>
      <c r="AF15" s="48" t="str">
        <f t="shared" ref="AF15:AF78" si="7">IF(I15=8,L15,"")</f>
        <v/>
      </c>
      <c r="AG15" s="48" t="str">
        <f t="shared" ref="AG15:AG78" si="8">IF(W15=0,"",IF($I15=20,"",IF(LEN(M15)=1,_xlfn.CONCAT("00",M15),IF(LEN(M15)=2,_xlfn.CONCAT("0",M15),M15))))</f>
        <v/>
      </c>
      <c r="AH15" s="48" t="str">
        <f t="shared" ref="AH15:AH78" si="9">IF(W15=0,"",IF($I15=20,"",IF(LEN(N15)=1,_xlfn.CONCAT(0,N15),N15)))</f>
        <v/>
      </c>
      <c r="AI15" s="48" t="str">
        <f t="shared" ref="AI15:AI78" si="10">IF(W15=0,"",IF($I15=20,"",IF(LEN(P15)=3,_xlfn.CONCAT("00",P15),_xlfn.CONCAT("0",P15))))</f>
        <v/>
      </c>
      <c r="AJ15" s="48" t="str">
        <f>IF(W15=0,"",IF(I15=20,"",_xlfn.CONCAT(ROUNDUP(R15*10,0),$AK$14)))</f>
        <v/>
      </c>
      <c r="AK15" s="48" t="str">
        <f>IF(W15=0,"",IF(R15&lt;999,$AK$14,""))</f>
        <v/>
      </c>
      <c r="AL15" s="48" t="str">
        <f>IF(W15=0,"",_xlfn.CONCAT(DADOS!$A$8,Y15:AK15,"
"))</f>
        <v/>
      </c>
    </row>
    <row r="16" spans="1:38" s="48" customFormat="1" ht="15" customHeight="1" x14ac:dyDescent="0.25">
      <c r="D16" s="49"/>
      <c r="E16" s="16"/>
      <c r="F16" s="14"/>
      <c r="G16" s="14"/>
      <c r="H16" s="14"/>
      <c r="I16" s="15"/>
      <c r="J16" s="16"/>
      <c r="K16" s="14"/>
      <c r="L16" s="17"/>
      <c r="M16" s="18"/>
      <c r="N16" s="17"/>
      <c r="O16" s="18"/>
      <c r="P16" s="19"/>
      <c r="Q16" s="17"/>
      <c r="R16" s="40"/>
      <c r="S16" s="42">
        <v>2</v>
      </c>
      <c r="T16" s="40"/>
      <c r="V16" s="48" t="str">
        <f t="shared" ref="V16:V79" si="11">IF(E16="","",IF(R17="",IF(R16&lt;21,1,0),0))</f>
        <v/>
      </c>
      <c r="W16" s="48">
        <f t="shared" si="0"/>
        <v>0</v>
      </c>
      <c r="Y16" s="48" t="str">
        <f t="shared" si="1"/>
        <v/>
      </c>
      <c r="Z16" s="48" t="str">
        <f t="shared" si="2"/>
        <v/>
      </c>
      <c r="AA16" s="48" t="str">
        <f t="shared" si="3"/>
        <v/>
      </c>
      <c r="AB16" s="48" t="str">
        <f t="shared" ref="AB16:AB79" si="12">IF(OR(G16=0,G16=4),"",H16)</f>
        <v/>
      </c>
      <c r="AC16" s="48" t="str">
        <f t="shared" si="4"/>
        <v/>
      </c>
      <c r="AD16" s="48" t="str">
        <f t="shared" si="5"/>
        <v/>
      </c>
      <c r="AE16" s="48" t="str">
        <f t="shared" si="6"/>
        <v/>
      </c>
      <c r="AF16" s="48" t="str">
        <f t="shared" si="7"/>
        <v/>
      </c>
      <c r="AG16" s="48" t="str">
        <f t="shared" si="8"/>
        <v/>
      </c>
      <c r="AH16" s="48" t="str">
        <f t="shared" si="9"/>
        <v/>
      </c>
      <c r="AI16" s="48" t="str">
        <f t="shared" si="10"/>
        <v/>
      </c>
      <c r="AJ16" s="48" t="str">
        <f t="shared" ref="AJ16:AJ79" si="13">IF(W16=0,"",IF(I16=20,"",_xlfn.CONCAT(ROUNDUP(R16*10,0),$AK$14)))</f>
        <v/>
      </c>
      <c r="AK16" s="48" t="str">
        <f t="shared" ref="AK16:AK79" si="14">IF(W16=0,"",IF(R16&lt;999,$AK$14,""))</f>
        <v/>
      </c>
      <c r="AL16" s="48" t="str">
        <f>IF(W16=0,"",_xlfn.CONCAT(DADOS!$A$8,Y16:AK16,"
"))</f>
        <v/>
      </c>
    </row>
    <row r="17" spans="1:38" s="48" customFormat="1" ht="15" customHeight="1" x14ac:dyDescent="0.25">
      <c r="A17" s="48" t="s">
        <v>46</v>
      </c>
      <c r="B17" s="48" t="s">
        <v>66</v>
      </c>
      <c r="C17" s="48" t="str">
        <f>_xlfn.CONCAT($A$8,"RRR",A17,$C$3,$B$3,"4M",A9,A9,"
")</f>
        <v xml:space="preserve">send, RRRCCP4M{enter}{enter}
</v>
      </c>
      <c r="D17" s="49" t="str">
        <f>_xlfn.CONCAT("^+",B17,"::
",C17,"
return","
")</f>
        <v xml:space="preserve">^+A::
send, RRRCCP4M{enter}{enter}
return
</v>
      </c>
      <c r="E17" s="16"/>
      <c r="F17" s="35"/>
      <c r="G17" s="14"/>
      <c r="H17" s="14"/>
      <c r="I17" s="15"/>
      <c r="J17" s="16"/>
      <c r="K17" s="14"/>
      <c r="L17" s="17"/>
      <c r="M17" s="18"/>
      <c r="N17" s="17"/>
      <c r="O17" s="18"/>
      <c r="P17" s="19"/>
      <c r="Q17" s="17"/>
      <c r="R17" s="40"/>
      <c r="S17" s="42">
        <v>3</v>
      </c>
      <c r="T17" s="40"/>
      <c r="V17" s="48" t="str">
        <f t="shared" si="11"/>
        <v/>
      </c>
      <c r="W17" s="48">
        <f t="shared" si="0"/>
        <v>0</v>
      </c>
      <c r="Y17" s="48" t="str">
        <f t="shared" si="1"/>
        <v/>
      </c>
      <c r="Z17" s="48" t="str">
        <f t="shared" si="2"/>
        <v/>
      </c>
      <c r="AA17" s="48" t="str">
        <f t="shared" si="3"/>
        <v/>
      </c>
      <c r="AB17" s="48" t="str">
        <f t="shared" si="12"/>
        <v/>
      </c>
      <c r="AC17" s="48" t="str">
        <f t="shared" si="4"/>
        <v/>
      </c>
      <c r="AD17" s="48" t="str">
        <f t="shared" si="5"/>
        <v/>
      </c>
      <c r="AE17" s="48" t="str">
        <f t="shared" si="6"/>
        <v/>
      </c>
      <c r="AF17" s="48" t="str">
        <f t="shared" si="7"/>
        <v/>
      </c>
      <c r="AG17" s="48" t="str">
        <f t="shared" si="8"/>
        <v/>
      </c>
      <c r="AH17" s="48" t="str">
        <f t="shared" si="9"/>
        <v/>
      </c>
      <c r="AI17" s="48" t="str">
        <f t="shared" si="10"/>
        <v/>
      </c>
      <c r="AJ17" s="48" t="str">
        <f t="shared" si="13"/>
        <v/>
      </c>
      <c r="AK17" s="48" t="str">
        <f t="shared" si="14"/>
        <v/>
      </c>
      <c r="AL17" s="48" t="str">
        <f>IF(W17=0,"",_xlfn.CONCAT(DADOS!$A$8,Y17:AK17,"
"))</f>
        <v/>
      </c>
    </row>
    <row r="18" spans="1:38" s="48" customFormat="1" ht="15" customHeight="1" x14ac:dyDescent="0.25">
      <c r="D18" s="49"/>
      <c r="E18" s="16"/>
      <c r="F18" s="14"/>
      <c r="G18" s="14"/>
      <c r="H18" s="14"/>
      <c r="I18" s="15"/>
      <c r="J18" s="16"/>
      <c r="K18" s="14"/>
      <c r="L18" s="17"/>
      <c r="M18" s="18"/>
      <c r="N18" s="17"/>
      <c r="O18" s="18"/>
      <c r="P18" s="19"/>
      <c r="Q18" s="17"/>
      <c r="R18" s="40"/>
      <c r="S18" s="42">
        <v>4</v>
      </c>
      <c r="T18" s="40"/>
      <c r="V18" s="48" t="str">
        <f t="shared" si="11"/>
        <v/>
      </c>
      <c r="W18" s="48">
        <f t="shared" si="0"/>
        <v>0</v>
      </c>
      <c r="Y18" s="48" t="str">
        <f t="shared" si="1"/>
        <v/>
      </c>
      <c r="Z18" s="48" t="str">
        <f t="shared" si="2"/>
        <v/>
      </c>
      <c r="AA18" s="48" t="str">
        <f t="shared" si="3"/>
        <v/>
      </c>
      <c r="AB18" s="48" t="str">
        <f t="shared" si="12"/>
        <v/>
      </c>
      <c r="AC18" s="48" t="str">
        <f t="shared" si="4"/>
        <v/>
      </c>
      <c r="AD18" s="48" t="str">
        <f t="shared" si="5"/>
        <v/>
      </c>
      <c r="AE18" s="48" t="str">
        <f t="shared" si="6"/>
        <v/>
      </c>
      <c r="AF18" s="48" t="str">
        <f t="shared" si="7"/>
        <v/>
      </c>
      <c r="AG18" s="48" t="str">
        <f t="shared" si="8"/>
        <v/>
      </c>
      <c r="AH18" s="48" t="str">
        <f t="shared" si="9"/>
        <v/>
      </c>
      <c r="AI18" s="48" t="str">
        <f t="shared" si="10"/>
        <v/>
      </c>
      <c r="AJ18" s="48" t="str">
        <f t="shared" si="13"/>
        <v/>
      </c>
      <c r="AK18" s="48" t="str">
        <f t="shared" si="14"/>
        <v/>
      </c>
      <c r="AL18" s="48" t="str">
        <f>IF(W18=0,"",_xlfn.CONCAT(DADOS!$A$8,Y18:AK18,"
"))</f>
        <v/>
      </c>
    </row>
    <row r="19" spans="1:38" s="48" customFormat="1" ht="15" customHeight="1" x14ac:dyDescent="0.25">
      <c r="A19" s="48" t="s">
        <v>47</v>
      </c>
      <c r="B19" s="48" t="s">
        <v>67</v>
      </c>
      <c r="C19" s="48" t="str">
        <f>_xlfn.CONCAT($A$8,"RRR",A19,$C$3,$B$3,"T1FS4M",A9,A9,"
")</f>
        <v xml:space="preserve">send, RRRCMT1FS4M{enter}{enter}
</v>
      </c>
      <c r="D19" s="49" t="str">
        <f>_xlfn.CONCAT("^+",B19,"::
",C19,"
return","
")</f>
        <v xml:space="preserve">^+B::
send, RRRCMT1FS4M{enter}{enter}
return
</v>
      </c>
      <c r="E19" s="16"/>
      <c r="F19" s="35"/>
      <c r="G19" s="14"/>
      <c r="H19" s="14"/>
      <c r="I19" s="15"/>
      <c r="J19" s="16"/>
      <c r="K19" s="14"/>
      <c r="L19" s="17"/>
      <c r="M19" s="18"/>
      <c r="N19" s="17"/>
      <c r="O19" s="18"/>
      <c r="P19" s="19"/>
      <c r="Q19" s="17"/>
      <c r="R19" s="40"/>
      <c r="S19" s="42">
        <v>5</v>
      </c>
      <c r="T19" s="40"/>
      <c r="V19" s="48" t="str">
        <f t="shared" si="11"/>
        <v/>
      </c>
      <c r="W19" s="48">
        <f t="shared" si="0"/>
        <v>0</v>
      </c>
      <c r="Y19" s="48" t="str">
        <f t="shared" si="1"/>
        <v/>
      </c>
      <c r="Z19" s="48" t="str">
        <f t="shared" si="2"/>
        <v/>
      </c>
      <c r="AA19" s="48" t="str">
        <f t="shared" si="3"/>
        <v/>
      </c>
      <c r="AB19" s="48" t="str">
        <f t="shared" si="12"/>
        <v/>
      </c>
      <c r="AC19" s="48" t="str">
        <f t="shared" si="4"/>
        <v/>
      </c>
      <c r="AD19" s="48" t="str">
        <f t="shared" si="5"/>
        <v/>
      </c>
      <c r="AE19" s="48" t="str">
        <f t="shared" si="6"/>
        <v/>
      </c>
      <c r="AF19" s="48" t="str">
        <f t="shared" si="7"/>
        <v/>
      </c>
      <c r="AG19" s="48" t="str">
        <f t="shared" si="8"/>
        <v/>
      </c>
      <c r="AH19" s="48" t="str">
        <f t="shared" si="9"/>
        <v/>
      </c>
      <c r="AI19" s="48" t="str">
        <f t="shared" si="10"/>
        <v/>
      </c>
      <c r="AJ19" s="48" t="str">
        <f t="shared" si="13"/>
        <v/>
      </c>
      <c r="AK19" s="48" t="str">
        <f t="shared" si="14"/>
        <v/>
      </c>
      <c r="AL19" s="48" t="str">
        <f>IF(W19=0,"",_xlfn.CONCAT(DADOS!$A$8,Y19:AK19,"
"))</f>
        <v/>
      </c>
    </row>
    <row r="20" spans="1:38" s="48" customFormat="1" ht="15" customHeight="1" x14ac:dyDescent="0.25">
      <c r="D20" s="49"/>
      <c r="E20" s="16"/>
      <c r="F20" s="14"/>
      <c r="G20" s="14"/>
      <c r="H20" s="14"/>
      <c r="I20" s="15"/>
      <c r="J20" s="16"/>
      <c r="K20" s="14"/>
      <c r="L20" s="17"/>
      <c r="M20" s="18"/>
      <c r="N20" s="17"/>
      <c r="O20" s="18"/>
      <c r="P20" s="19"/>
      <c r="Q20" s="17"/>
      <c r="R20" s="40"/>
      <c r="S20" s="42">
        <v>6</v>
      </c>
      <c r="T20" s="40"/>
      <c r="V20" s="48" t="str">
        <f t="shared" si="11"/>
        <v/>
      </c>
      <c r="W20" s="48">
        <f t="shared" si="0"/>
        <v>0</v>
      </c>
      <c r="Y20" s="48" t="str">
        <f t="shared" si="1"/>
        <v/>
      </c>
      <c r="Z20" s="48" t="str">
        <f t="shared" si="2"/>
        <v/>
      </c>
      <c r="AA20" s="48" t="str">
        <f t="shared" si="3"/>
        <v/>
      </c>
      <c r="AB20" s="48" t="str">
        <f t="shared" si="12"/>
        <v/>
      </c>
      <c r="AC20" s="48" t="str">
        <f t="shared" si="4"/>
        <v/>
      </c>
      <c r="AD20" s="48" t="str">
        <f t="shared" si="5"/>
        <v/>
      </c>
      <c r="AE20" s="48" t="str">
        <f t="shared" si="6"/>
        <v/>
      </c>
      <c r="AF20" s="48" t="str">
        <f t="shared" si="7"/>
        <v/>
      </c>
      <c r="AG20" s="48" t="str">
        <f t="shared" si="8"/>
        <v/>
      </c>
      <c r="AH20" s="48" t="str">
        <f t="shared" si="9"/>
        <v/>
      </c>
      <c r="AI20" s="48" t="str">
        <f t="shared" si="10"/>
        <v/>
      </c>
      <c r="AJ20" s="48" t="str">
        <f t="shared" si="13"/>
        <v/>
      </c>
      <c r="AK20" s="48" t="str">
        <f t="shared" si="14"/>
        <v/>
      </c>
      <c r="AL20" s="48" t="str">
        <f>IF(W20=0,"",_xlfn.CONCAT(DADOS!$A$8,Y20:AK20,"
"))</f>
        <v/>
      </c>
    </row>
    <row r="21" spans="1:38" s="48" customFormat="1" ht="15" customHeight="1" x14ac:dyDescent="0.25">
      <c r="A21" s="48" t="s">
        <v>48</v>
      </c>
      <c r="B21" s="48" t="s">
        <v>68</v>
      </c>
      <c r="C21" s="48" t="str">
        <f>_xlfn.CONCAT($A$8,"RRR",A21,$C$3,$B$3,"1FS4M",A9,A9,"
")</f>
        <v xml:space="preserve">send, RRRCP1FS4M{enter}{enter}
</v>
      </c>
      <c r="D21" s="49" t="str">
        <f>_xlfn.CONCAT("^+",B21,"::
",C21,"
return","
")</f>
        <v xml:space="preserve">^+C::
send, RRRCP1FS4M{enter}{enter}
return
</v>
      </c>
      <c r="E21" s="16"/>
      <c r="F21" s="35"/>
      <c r="G21" s="14"/>
      <c r="H21" s="14"/>
      <c r="I21" s="15"/>
      <c r="J21" s="16"/>
      <c r="K21" s="14"/>
      <c r="L21" s="17"/>
      <c r="M21" s="18"/>
      <c r="N21" s="17"/>
      <c r="O21" s="18"/>
      <c r="P21" s="19"/>
      <c r="Q21" s="17"/>
      <c r="R21" s="40"/>
      <c r="S21" s="42">
        <v>7</v>
      </c>
      <c r="T21" s="40"/>
      <c r="V21" s="48" t="str">
        <f t="shared" si="11"/>
        <v/>
      </c>
      <c r="W21" s="48">
        <f t="shared" si="0"/>
        <v>0</v>
      </c>
      <c r="Y21" s="48" t="str">
        <f t="shared" si="1"/>
        <v/>
      </c>
      <c r="Z21" s="48" t="str">
        <f t="shared" si="2"/>
        <v/>
      </c>
      <c r="AA21" s="48" t="str">
        <f t="shared" si="3"/>
        <v/>
      </c>
      <c r="AB21" s="48" t="str">
        <f t="shared" si="12"/>
        <v/>
      </c>
      <c r="AC21" s="48" t="str">
        <f t="shared" si="4"/>
        <v/>
      </c>
      <c r="AD21" s="48" t="str">
        <f t="shared" si="5"/>
        <v/>
      </c>
      <c r="AE21" s="48" t="str">
        <f t="shared" si="6"/>
        <v/>
      </c>
      <c r="AF21" s="48" t="str">
        <f t="shared" si="7"/>
        <v/>
      </c>
      <c r="AG21" s="48" t="str">
        <f t="shared" si="8"/>
        <v/>
      </c>
      <c r="AH21" s="48" t="str">
        <f t="shared" si="9"/>
        <v/>
      </c>
      <c r="AI21" s="48" t="str">
        <f t="shared" si="10"/>
        <v/>
      </c>
      <c r="AJ21" s="48" t="str">
        <f t="shared" si="13"/>
        <v/>
      </c>
      <c r="AK21" s="48" t="str">
        <f t="shared" si="14"/>
        <v/>
      </c>
      <c r="AL21" s="48" t="str">
        <f>IF(W21=0,"",_xlfn.CONCAT(DADOS!$A$8,Y21:AK21,"
"))</f>
        <v/>
      </c>
    </row>
    <row r="22" spans="1:38" s="48" customFormat="1" ht="15" customHeight="1" x14ac:dyDescent="0.25">
      <c r="D22" s="49"/>
      <c r="E22" s="43"/>
      <c r="F22" s="14"/>
      <c r="G22" s="14"/>
      <c r="H22" s="20"/>
      <c r="I22" s="15"/>
      <c r="J22" s="16"/>
      <c r="K22" s="14"/>
      <c r="L22" s="17"/>
      <c r="M22" s="18"/>
      <c r="N22" s="17"/>
      <c r="O22" s="18"/>
      <c r="P22" s="19"/>
      <c r="Q22" s="17"/>
      <c r="R22" s="40"/>
      <c r="S22" s="42">
        <v>8</v>
      </c>
      <c r="T22" s="40"/>
      <c r="V22" s="48" t="str">
        <f t="shared" si="11"/>
        <v/>
      </c>
      <c r="W22" s="48">
        <f t="shared" si="0"/>
        <v>0</v>
      </c>
      <c r="Y22" s="48" t="str">
        <f t="shared" si="1"/>
        <v/>
      </c>
      <c r="Z22" s="48" t="str">
        <f t="shared" si="2"/>
        <v/>
      </c>
      <c r="AA22" s="48" t="str">
        <f t="shared" si="3"/>
        <v/>
      </c>
      <c r="AB22" s="48" t="str">
        <f t="shared" si="12"/>
        <v/>
      </c>
      <c r="AC22" s="48" t="str">
        <f t="shared" si="4"/>
        <v/>
      </c>
      <c r="AD22" s="48" t="str">
        <f t="shared" si="5"/>
        <v/>
      </c>
      <c r="AE22" s="48" t="str">
        <f t="shared" si="6"/>
        <v/>
      </c>
      <c r="AF22" s="48" t="str">
        <f t="shared" si="7"/>
        <v/>
      </c>
      <c r="AG22" s="48" t="str">
        <f t="shared" si="8"/>
        <v/>
      </c>
      <c r="AH22" s="48" t="str">
        <f t="shared" si="9"/>
        <v/>
      </c>
      <c r="AI22" s="48" t="str">
        <f t="shared" si="10"/>
        <v/>
      </c>
      <c r="AJ22" s="48" t="str">
        <f t="shared" si="13"/>
        <v/>
      </c>
      <c r="AK22" s="48" t="str">
        <f t="shared" si="14"/>
        <v/>
      </c>
      <c r="AL22" s="48" t="str">
        <f>IF(W22=0,"",_xlfn.CONCAT(DADOS!$A$8,Y22:AK22,"
"))</f>
        <v/>
      </c>
    </row>
    <row r="23" spans="1:38" s="48" customFormat="1" ht="15" customHeight="1" x14ac:dyDescent="0.25">
      <c r="A23" s="48" t="s">
        <v>49</v>
      </c>
      <c r="B23" s="48" t="s">
        <v>69</v>
      </c>
      <c r="C23" s="48" t="str">
        <f>_xlfn.CONCAT($A$8,"RRR",A23,$C$3,$B$3,A9,A9,"
")</f>
        <v xml:space="preserve">send, RRRTF{enter}{enter}
</v>
      </c>
      <c r="D23" s="49" t="str">
        <f>_xlfn.CONCAT("^+",B23,"::
",C23,"
return","
")</f>
        <v xml:space="preserve">^+V::
send, RRRTF{enter}{enter}
return
</v>
      </c>
      <c r="E23" s="43"/>
      <c r="F23" s="35"/>
      <c r="G23" s="14"/>
      <c r="H23" s="20"/>
      <c r="I23" s="15"/>
      <c r="J23" s="16"/>
      <c r="K23" s="14"/>
      <c r="L23" s="17"/>
      <c r="M23" s="18"/>
      <c r="N23" s="17"/>
      <c r="O23" s="18"/>
      <c r="P23" s="19"/>
      <c r="Q23" s="17"/>
      <c r="R23" s="40"/>
      <c r="S23" s="42">
        <v>9</v>
      </c>
      <c r="T23" s="40"/>
      <c r="V23" s="48" t="str">
        <f t="shared" si="11"/>
        <v/>
      </c>
      <c r="W23" s="48">
        <f t="shared" si="0"/>
        <v>0</v>
      </c>
      <c r="Y23" s="48" t="str">
        <f t="shared" si="1"/>
        <v/>
      </c>
      <c r="Z23" s="48" t="str">
        <f t="shared" si="2"/>
        <v/>
      </c>
      <c r="AA23" s="48" t="str">
        <f t="shared" si="3"/>
        <v/>
      </c>
      <c r="AB23" s="48" t="str">
        <f t="shared" si="12"/>
        <v/>
      </c>
      <c r="AC23" s="48" t="str">
        <f t="shared" si="4"/>
        <v/>
      </c>
      <c r="AD23" s="48" t="str">
        <f t="shared" si="5"/>
        <v/>
      </c>
      <c r="AE23" s="48" t="str">
        <f t="shared" si="6"/>
        <v/>
      </c>
      <c r="AF23" s="48" t="str">
        <f t="shared" si="7"/>
        <v/>
      </c>
      <c r="AG23" s="48" t="str">
        <f t="shared" si="8"/>
        <v/>
      </c>
      <c r="AH23" s="48" t="str">
        <f t="shared" si="9"/>
        <v/>
      </c>
      <c r="AI23" s="48" t="str">
        <f t="shared" si="10"/>
        <v/>
      </c>
      <c r="AJ23" s="48" t="str">
        <f t="shared" si="13"/>
        <v/>
      </c>
      <c r="AK23" s="48" t="str">
        <f t="shared" si="14"/>
        <v/>
      </c>
      <c r="AL23" s="48" t="str">
        <f>IF(W23=0,"",_xlfn.CONCAT(DADOS!$A$8,Y23:AK23,"
"))</f>
        <v/>
      </c>
    </row>
    <row r="24" spans="1:38" s="48" customFormat="1" ht="15.75" x14ac:dyDescent="0.25">
      <c r="D24" s="49"/>
      <c r="E24" s="43"/>
      <c r="F24" s="14"/>
      <c r="G24" s="14"/>
      <c r="H24" s="20"/>
      <c r="I24" s="15"/>
      <c r="J24" s="16"/>
      <c r="K24" s="14"/>
      <c r="L24" s="17"/>
      <c r="M24" s="18"/>
      <c r="N24" s="17"/>
      <c r="O24" s="18"/>
      <c r="P24" s="19"/>
      <c r="Q24" s="17"/>
      <c r="R24" s="40"/>
      <c r="S24" s="42">
        <v>10</v>
      </c>
      <c r="T24" s="40"/>
      <c r="V24" s="48" t="str">
        <f t="shared" si="11"/>
        <v/>
      </c>
      <c r="W24" s="48">
        <f t="shared" si="0"/>
        <v>0</v>
      </c>
      <c r="Y24" s="48" t="str">
        <f t="shared" si="1"/>
        <v/>
      </c>
      <c r="Z24" s="48" t="str">
        <f t="shared" si="2"/>
        <v/>
      </c>
      <c r="AA24" s="48" t="str">
        <f t="shared" si="3"/>
        <v/>
      </c>
      <c r="AB24" s="48" t="str">
        <f t="shared" si="12"/>
        <v/>
      </c>
      <c r="AC24" s="48" t="str">
        <f t="shared" si="4"/>
        <v/>
      </c>
      <c r="AD24" s="48" t="str">
        <f t="shared" si="5"/>
        <v/>
      </c>
      <c r="AE24" s="48" t="str">
        <f t="shared" si="6"/>
        <v/>
      </c>
      <c r="AF24" s="48" t="str">
        <f t="shared" si="7"/>
        <v/>
      </c>
      <c r="AG24" s="48" t="str">
        <f t="shared" si="8"/>
        <v/>
      </c>
      <c r="AH24" s="48" t="str">
        <f t="shared" si="9"/>
        <v/>
      </c>
      <c r="AI24" s="48" t="str">
        <f t="shared" si="10"/>
        <v/>
      </c>
      <c r="AJ24" s="48" t="str">
        <f t="shared" si="13"/>
        <v/>
      </c>
      <c r="AK24" s="48" t="str">
        <f t="shared" si="14"/>
        <v/>
      </c>
      <c r="AL24" s="48" t="str">
        <f>IF(W24=0,"",_xlfn.CONCAT(DADOS!$A$8,Y24:AK24,"
"))</f>
        <v/>
      </c>
    </row>
    <row r="25" spans="1:38" s="48" customFormat="1" ht="15" customHeight="1" x14ac:dyDescent="0.25">
      <c r="D25" s="49"/>
      <c r="E25" s="43"/>
      <c r="F25" s="20"/>
      <c r="G25" s="14"/>
      <c r="H25" s="20"/>
      <c r="I25" s="15"/>
      <c r="J25" s="16"/>
      <c r="K25" s="14"/>
      <c r="L25" s="17"/>
      <c r="M25" s="18"/>
      <c r="N25" s="17"/>
      <c r="O25" s="18"/>
      <c r="P25" s="19"/>
      <c r="Q25" s="17"/>
      <c r="R25" s="40"/>
      <c r="S25" s="42">
        <v>11</v>
      </c>
      <c r="T25" s="40"/>
      <c r="V25" s="48" t="str">
        <f t="shared" si="11"/>
        <v/>
      </c>
      <c r="W25" s="48">
        <f t="shared" si="0"/>
        <v>0</v>
      </c>
      <c r="Y25" s="48" t="str">
        <f t="shared" si="1"/>
        <v/>
      </c>
      <c r="Z25" s="48" t="str">
        <f t="shared" si="2"/>
        <v/>
      </c>
      <c r="AA25" s="48" t="str">
        <f t="shared" si="3"/>
        <v/>
      </c>
      <c r="AB25" s="48" t="str">
        <f t="shared" si="12"/>
        <v/>
      </c>
      <c r="AC25" s="48" t="str">
        <f t="shared" si="4"/>
        <v/>
      </c>
      <c r="AD25" s="48" t="str">
        <f t="shared" si="5"/>
        <v/>
      </c>
      <c r="AE25" s="48" t="str">
        <f t="shared" si="6"/>
        <v/>
      </c>
      <c r="AF25" s="48" t="str">
        <f t="shared" si="7"/>
        <v/>
      </c>
      <c r="AG25" s="48" t="str">
        <f t="shared" si="8"/>
        <v/>
      </c>
      <c r="AH25" s="48" t="str">
        <f t="shared" si="9"/>
        <v/>
      </c>
      <c r="AI25" s="48" t="str">
        <f t="shared" si="10"/>
        <v/>
      </c>
      <c r="AJ25" s="48" t="str">
        <f t="shared" si="13"/>
        <v/>
      </c>
      <c r="AK25" s="48" t="str">
        <f t="shared" si="14"/>
        <v/>
      </c>
      <c r="AL25" s="48" t="str">
        <f>IF(W25=0,"",_xlfn.CONCAT(DADOS!$A$8,Y25:AK25,"
"))</f>
        <v/>
      </c>
    </row>
    <row r="26" spans="1:38" s="48" customFormat="1" ht="15" customHeight="1" x14ac:dyDescent="0.25">
      <c r="A26" s="48" t="s">
        <v>50</v>
      </c>
      <c r="B26" s="48" t="s">
        <v>51</v>
      </c>
      <c r="C26" s="48" t="str">
        <f>_xlfn.CONCAT(C15:C23)</f>
        <v xml:space="preserve">send, RRRCCG{enter}500{enter}dwild{enter}000{enter}
send, RRRCCP4M{enter}{enter}
send, RRRCMT1FS4M{enter}{enter}
send, RRRCP1FS4M{enter}{enter}
send, RRRTF{enter}{enter}
</v>
      </c>
      <c r="D26" s="49" t="str">
        <f>_xlfn.CONCAT("^",B26,"::
",C26,"
return","
")</f>
        <v xml:space="preserve">^Q::
send, RRRCCG{enter}500{enter}dwild{enter}000{enter}
send, RRRCCP4M{enter}{enter}
send, RRRCMT1FS4M{enter}{enter}
send, RRRCP1FS4M{enter}{enter}
send, RRRTF{enter}{enter}
return
</v>
      </c>
      <c r="E26" s="43"/>
      <c r="F26" s="20"/>
      <c r="G26" s="14"/>
      <c r="H26" s="20"/>
      <c r="I26" s="15"/>
      <c r="J26" s="16"/>
      <c r="K26" s="14"/>
      <c r="L26" s="17"/>
      <c r="M26" s="18"/>
      <c r="N26" s="17"/>
      <c r="O26" s="18"/>
      <c r="P26" s="19"/>
      <c r="Q26" s="17"/>
      <c r="R26" s="40"/>
      <c r="S26" s="42">
        <v>12</v>
      </c>
      <c r="T26" s="40"/>
      <c r="V26" s="48" t="str">
        <f t="shared" si="11"/>
        <v/>
      </c>
      <c r="W26" s="48">
        <f t="shared" si="0"/>
        <v>0</v>
      </c>
      <c r="Y26" s="48" t="str">
        <f t="shared" si="1"/>
        <v/>
      </c>
      <c r="Z26" s="48" t="str">
        <f t="shared" si="2"/>
        <v/>
      </c>
      <c r="AA26" s="48" t="str">
        <f t="shared" si="3"/>
        <v/>
      </c>
      <c r="AB26" s="48" t="str">
        <f t="shared" si="12"/>
        <v/>
      </c>
      <c r="AC26" s="48" t="str">
        <f t="shared" si="4"/>
        <v/>
      </c>
      <c r="AD26" s="48" t="str">
        <f t="shared" si="5"/>
        <v/>
      </c>
      <c r="AE26" s="48" t="str">
        <f t="shared" si="6"/>
        <v/>
      </c>
      <c r="AF26" s="48" t="str">
        <f t="shared" si="7"/>
        <v/>
      </c>
      <c r="AG26" s="48" t="str">
        <f t="shared" si="8"/>
        <v/>
      </c>
      <c r="AH26" s="48" t="str">
        <f t="shared" si="9"/>
        <v/>
      </c>
      <c r="AI26" s="48" t="str">
        <f t="shared" si="10"/>
        <v/>
      </c>
      <c r="AJ26" s="48" t="str">
        <f t="shared" si="13"/>
        <v/>
      </c>
      <c r="AK26" s="48" t="str">
        <f t="shared" si="14"/>
        <v/>
      </c>
      <c r="AL26" s="48" t="str">
        <f>IF(W26=0,"",_xlfn.CONCAT(DADOS!$A$8,Y26:AK26,"
"))</f>
        <v/>
      </c>
    </row>
    <row r="27" spans="1:38" s="48" customFormat="1" ht="15" customHeight="1" x14ac:dyDescent="0.25">
      <c r="A27" s="48" t="s">
        <v>52</v>
      </c>
      <c r="B27" s="48" t="s">
        <v>70</v>
      </c>
      <c r="C27" s="48" t="str">
        <f>_xlfn.CONCAT($A$8,"RRR",A28,$G$3,C4,B3,"T",H4,I3,C3,B3,"OG",A9,"
sleep ",2000,"
",$A$8,N4,O3,"CAA",P3,R3,Q12,A9,A9,V7,G8,H8,I8,G10,H10,I10,N8,O8,S8,R8,"A120",A9,B4,A9,U3,"
")</f>
        <v xml:space="preserve">send, RRRLL00T11OG{enter}
sleep 2000
send, 0.CAA0000N{enter}{enter}{enter}{enter}D11300D11300{enter}{enter}00A120{enter}{enter}N
</v>
      </c>
      <c r="D27" s="49" t="str">
        <f>_xlfn.CONCAT("^+",B27,"::
",C27,"
return","
")</f>
        <v xml:space="preserve">^+L::
send, RRRLL00T11OG{enter}
sleep 2000
send, 0.CAA0000N{enter}{enter}{enter}{enter}D11300D11300{enter}{enter}00A120{enter}{enter}N
return
</v>
      </c>
      <c r="E27" s="43"/>
      <c r="F27" s="20"/>
      <c r="G27" s="14"/>
      <c r="H27" s="20"/>
      <c r="I27" s="15"/>
      <c r="J27" s="16"/>
      <c r="K27" s="14"/>
      <c r="L27" s="17"/>
      <c r="M27" s="18"/>
      <c r="N27" s="17"/>
      <c r="O27" s="18"/>
      <c r="P27" s="19"/>
      <c r="Q27" s="17"/>
      <c r="R27" s="40"/>
      <c r="S27" s="42">
        <v>13</v>
      </c>
      <c r="T27" s="40"/>
      <c r="V27" s="48" t="str">
        <f t="shared" si="11"/>
        <v/>
      </c>
      <c r="W27" s="48">
        <f t="shared" si="0"/>
        <v>0</v>
      </c>
      <c r="Y27" s="48" t="str">
        <f t="shared" si="1"/>
        <v/>
      </c>
      <c r="Z27" s="48" t="str">
        <f t="shared" si="2"/>
        <v/>
      </c>
      <c r="AA27" s="48" t="str">
        <f t="shared" si="3"/>
        <v/>
      </c>
      <c r="AB27" s="48" t="str">
        <f t="shared" si="12"/>
        <v/>
      </c>
      <c r="AC27" s="48" t="str">
        <f t="shared" si="4"/>
        <v/>
      </c>
      <c r="AD27" s="48" t="str">
        <f t="shared" si="5"/>
        <v/>
      </c>
      <c r="AE27" s="48" t="str">
        <f t="shared" si="6"/>
        <v/>
      </c>
      <c r="AF27" s="48" t="str">
        <f t="shared" si="7"/>
        <v/>
      </c>
      <c r="AG27" s="48" t="str">
        <f t="shared" si="8"/>
        <v/>
      </c>
      <c r="AH27" s="48" t="str">
        <f t="shared" si="9"/>
        <v/>
      </c>
      <c r="AI27" s="48" t="str">
        <f t="shared" si="10"/>
        <v/>
      </c>
      <c r="AJ27" s="48" t="str">
        <f t="shared" si="13"/>
        <v/>
      </c>
      <c r="AK27" s="48" t="str">
        <f t="shared" si="14"/>
        <v/>
      </c>
      <c r="AL27" s="48" t="str">
        <f>IF(W27=0,"",_xlfn.CONCAT(DADOS!$A$8,Y27:AK27,"
"))</f>
        <v/>
      </c>
    </row>
    <row r="28" spans="1:38" s="48" customFormat="1" ht="15" customHeight="1" x14ac:dyDescent="0.25">
      <c r="A28" s="48" t="s">
        <v>52</v>
      </c>
      <c r="B28" s="48" t="s">
        <v>53</v>
      </c>
      <c r="C28" s="48" t="str">
        <f>C27</f>
        <v xml:space="preserve">send, RRRLL00T11OG{enter}
sleep 2000
send, 0.CAA0000N{enter}{enter}{enter}{enter}D11300D11300{enter}{enter}00A120{enter}{enter}N
</v>
      </c>
      <c r="D28" s="49" t="str">
        <f>_xlfn.CONCAT("^",B28,"::
",C28,"
return","
")</f>
        <v xml:space="preserve">^W::
send, RRRLL00T11OG{enter}
sleep 2000
send, 0.CAA0000N{enter}{enter}{enter}{enter}D11300D11300{enter}{enter}00A120{enter}{enter}N
return
</v>
      </c>
      <c r="E28" s="43"/>
      <c r="F28" s="20"/>
      <c r="G28" s="14"/>
      <c r="H28" s="20"/>
      <c r="I28" s="15"/>
      <c r="J28" s="16"/>
      <c r="K28" s="14"/>
      <c r="L28" s="17"/>
      <c r="M28" s="18"/>
      <c r="N28" s="17"/>
      <c r="O28" s="18"/>
      <c r="P28" s="19"/>
      <c r="Q28" s="17"/>
      <c r="R28" s="40"/>
      <c r="S28" s="42">
        <v>14</v>
      </c>
      <c r="T28" s="40"/>
      <c r="V28" s="48" t="str">
        <f t="shared" si="11"/>
        <v/>
      </c>
      <c r="W28" s="48">
        <f t="shared" si="0"/>
        <v>0</v>
      </c>
      <c r="Y28" s="48" t="str">
        <f t="shared" si="1"/>
        <v/>
      </c>
      <c r="Z28" s="48" t="str">
        <f t="shared" si="2"/>
        <v/>
      </c>
      <c r="AA28" s="48" t="str">
        <f t="shared" si="3"/>
        <v/>
      </c>
      <c r="AB28" s="48" t="str">
        <f t="shared" si="12"/>
        <v/>
      </c>
      <c r="AC28" s="48" t="str">
        <f t="shared" si="4"/>
        <v/>
      </c>
      <c r="AD28" s="48" t="str">
        <f t="shared" si="5"/>
        <v/>
      </c>
      <c r="AE28" s="48" t="str">
        <f t="shared" si="6"/>
        <v/>
      </c>
      <c r="AF28" s="48" t="str">
        <f t="shared" si="7"/>
        <v/>
      </c>
      <c r="AG28" s="48" t="str">
        <f t="shared" si="8"/>
        <v/>
      </c>
      <c r="AH28" s="48" t="str">
        <f t="shared" si="9"/>
        <v/>
      </c>
      <c r="AI28" s="48" t="str">
        <f t="shared" si="10"/>
        <v/>
      </c>
      <c r="AJ28" s="48" t="str">
        <f t="shared" si="13"/>
        <v/>
      </c>
      <c r="AK28" s="48" t="str">
        <f t="shared" si="14"/>
        <v/>
      </c>
      <c r="AL28" s="48" t="str">
        <f>IF(W28=0,"",_xlfn.CONCAT(DADOS!$A$8,Y28:AK28,"
"))</f>
        <v/>
      </c>
    </row>
    <row r="29" spans="1:38" s="48" customFormat="1" ht="15" customHeight="1" x14ac:dyDescent="0.25">
      <c r="D29" s="49"/>
      <c r="E29" s="43"/>
      <c r="F29" s="20"/>
      <c r="G29" s="14"/>
      <c r="H29" s="20"/>
      <c r="I29" s="15"/>
      <c r="J29" s="16"/>
      <c r="K29" s="14"/>
      <c r="L29" s="17"/>
      <c r="M29" s="18"/>
      <c r="N29" s="17"/>
      <c r="O29" s="18"/>
      <c r="P29" s="19"/>
      <c r="Q29" s="17"/>
      <c r="R29" s="40"/>
      <c r="S29" s="42">
        <v>15</v>
      </c>
      <c r="T29" s="40"/>
      <c r="V29" s="48" t="str">
        <f t="shared" si="11"/>
        <v/>
      </c>
      <c r="W29" s="48">
        <f t="shared" si="0"/>
        <v>0</v>
      </c>
      <c r="Y29" s="48" t="str">
        <f t="shared" si="1"/>
        <v/>
      </c>
      <c r="Z29" s="48" t="str">
        <f t="shared" si="2"/>
        <v/>
      </c>
      <c r="AA29" s="48" t="str">
        <f t="shared" si="3"/>
        <v/>
      </c>
      <c r="AB29" s="48" t="str">
        <f t="shared" si="12"/>
        <v/>
      </c>
      <c r="AC29" s="48" t="str">
        <f t="shared" si="4"/>
        <v/>
      </c>
      <c r="AD29" s="48" t="str">
        <f t="shared" si="5"/>
        <v/>
      </c>
      <c r="AE29" s="48" t="str">
        <f t="shared" si="6"/>
        <v/>
      </c>
      <c r="AF29" s="48" t="str">
        <f t="shared" si="7"/>
        <v/>
      </c>
      <c r="AG29" s="48" t="str">
        <f t="shared" si="8"/>
        <v/>
      </c>
      <c r="AH29" s="48" t="str">
        <f t="shared" si="9"/>
        <v/>
      </c>
      <c r="AI29" s="48" t="str">
        <f t="shared" si="10"/>
        <v/>
      </c>
      <c r="AJ29" s="48" t="str">
        <f t="shared" si="13"/>
        <v/>
      </c>
      <c r="AK29" s="48" t="str">
        <f t="shared" si="14"/>
        <v/>
      </c>
      <c r="AL29" s="48" t="str">
        <f>IF(W29=0,"",_xlfn.CONCAT(DADOS!$A$8,Y29:AK29,"
"))</f>
        <v/>
      </c>
    </row>
    <row r="30" spans="1:38" s="48" customFormat="1" ht="15" customHeight="1" x14ac:dyDescent="0.25">
      <c r="A30" s="48" t="s">
        <v>54</v>
      </c>
      <c r="B30" s="48" t="s">
        <v>71</v>
      </c>
      <c r="C30" s="48" t="str">
        <f>_xlfn.CONCAT($A$8,"RRR",A30,"TR",$B$3,"SI4M1S",A9,"S","
")</f>
        <v xml:space="preserve">send, RRRLETTRSI4M1S{enter}S
</v>
      </c>
      <c r="D30" s="49" t="str">
        <f>_xlfn.CONCAT("^+",B30,"::
",C30,"
return","
")</f>
        <v xml:space="preserve">^+T::
send, RRRLETTRSI4M1S{enter}S
return
</v>
      </c>
      <c r="E30" s="43"/>
      <c r="F30" s="20"/>
      <c r="G30" s="14"/>
      <c r="H30" s="20"/>
      <c r="I30" s="15"/>
      <c r="J30" s="16"/>
      <c r="K30" s="14"/>
      <c r="L30" s="17"/>
      <c r="M30" s="18"/>
      <c r="N30" s="17"/>
      <c r="O30" s="18"/>
      <c r="P30" s="19"/>
      <c r="Q30" s="17"/>
      <c r="R30" s="40"/>
      <c r="S30" s="42">
        <v>16</v>
      </c>
      <c r="T30" s="40"/>
      <c r="V30" s="48" t="str">
        <f t="shared" si="11"/>
        <v/>
      </c>
      <c r="W30" s="48">
        <f t="shared" si="0"/>
        <v>0</v>
      </c>
      <c r="Y30" s="48" t="str">
        <f t="shared" si="1"/>
        <v/>
      </c>
      <c r="Z30" s="48" t="str">
        <f t="shared" si="2"/>
        <v/>
      </c>
      <c r="AA30" s="48" t="str">
        <f t="shared" si="3"/>
        <v/>
      </c>
      <c r="AB30" s="48" t="str">
        <f t="shared" si="12"/>
        <v/>
      </c>
      <c r="AC30" s="48" t="str">
        <f t="shared" si="4"/>
        <v/>
      </c>
      <c r="AD30" s="48" t="str">
        <f t="shared" si="5"/>
        <v/>
      </c>
      <c r="AE30" s="48" t="str">
        <f t="shared" si="6"/>
        <v/>
      </c>
      <c r="AF30" s="48" t="str">
        <f t="shared" si="7"/>
        <v/>
      </c>
      <c r="AG30" s="48" t="str">
        <f t="shared" si="8"/>
        <v/>
      </c>
      <c r="AH30" s="48" t="str">
        <f t="shared" si="9"/>
        <v/>
      </c>
      <c r="AI30" s="48" t="str">
        <f t="shared" si="10"/>
        <v/>
      </c>
      <c r="AJ30" s="48" t="str">
        <f t="shared" si="13"/>
        <v/>
      </c>
      <c r="AK30" s="48" t="str">
        <f t="shared" si="14"/>
        <v/>
      </c>
      <c r="AL30" s="48" t="str">
        <f>IF(W30=0,"",_xlfn.CONCAT(DADOS!$A$8,Y30:AK30,"
"))</f>
        <v/>
      </c>
    </row>
    <row r="31" spans="1:38" s="48" customFormat="1" ht="15" customHeight="1" x14ac:dyDescent="0.25">
      <c r="D31" s="49"/>
      <c r="E31" s="43"/>
      <c r="F31" s="21"/>
      <c r="G31" s="14"/>
      <c r="H31" s="20"/>
      <c r="I31" s="15"/>
      <c r="J31" s="16"/>
      <c r="K31" s="14"/>
      <c r="L31" s="17"/>
      <c r="M31" s="18"/>
      <c r="N31" s="17"/>
      <c r="O31" s="18"/>
      <c r="P31" s="19"/>
      <c r="Q31" s="17"/>
      <c r="R31" s="40"/>
      <c r="S31" s="42">
        <v>17</v>
      </c>
      <c r="T31" s="40"/>
      <c r="V31" s="48" t="str">
        <f t="shared" si="11"/>
        <v/>
      </c>
      <c r="W31" s="48">
        <f t="shared" si="0"/>
        <v>0</v>
      </c>
      <c r="Y31" s="48" t="str">
        <f t="shared" si="1"/>
        <v/>
      </c>
      <c r="Z31" s="48" t="str">
        <f t="shared" si="2"/>
        <v/>
      </c>
      <c r="AA31" s="48" t="str">
        <f t="shared" si="3"/>
        <v/>
      </c>
      <c r="AB31" s="48" t="str">
        <f t="shared" si="12"/>
        <v/>
      </c>
      <c r="AC31" s="48" t="str">
        <f t="shared" si="4"/>
        <v/>
      </c>
      <c r="AD31" s="48" t="str">
        <f t="shared" si="5"/>
        <v/>
      </c>
      <c r="AE31" s="48" t="str">
        <f t="shared" si="6"/>
        <v/>
      </c>
      <c r="AF31" s="48" t="str">
        <f t="shared" si="7"/>
        <v/>
      </c>
      <c r="AG31" s="48" t="str">
        <f t="shared" si="8"/>
        <v/>
      </c>
      <c r="AH31" s="48" t="str">
        <f t="shared" si="9"/>
        <v/>
      </c>
      <c r="AI31" s="48" t="str">
        <f t="shared" si="10"/>
        <v/>
      </c>
      <c r="AJ31" s="48" t="str">
        <f t="shared" si="13"/>
        <v/>
      </c>
      <c r="AK31" s="48" t="str">
        <f t="shared" si="14"/>
        <v/>
      </c>
      <c r="AL31" s="48" t="str">
        <f>IF(W31=0,"",_xlfn.CONCAT(DADOS!$A$8,Y31:AK31,"
"))</f>
        <v/>
      </c>
    </row>
    <row r="32" spans="1:38" s="48" customFormat="1" ht="15" customHeight="1" x14ac:dyDescent="0.25">
      <c r="A32" s="48" t="s">
        <v>55</v>
      </c>
      <c r="B32" s="48" t="s">
        <v>72</v>
      </c>
      <c r="C32" s="48" t="str">
        <f>_xlfn.CONCAT($A$8,"RRR",A32,"TR",$B$3,"I4M",A9,"
")</f>
        <v xml:space="preserve">send, RRRLMATRI4M{enter}
</v>
      </c>
      <c r="D32" s="49" t="str">
        <f>_xlfn.CONCAT("^+",B32,"::
",C32,"
return","
")</f>
        <v xml:space="preserve">^+M::
send, RRRLMATRI4M{enter}
return
</v>
      </c>
      <c r="E32" s="43"/>
      <c r="F32" s="20"/>
      <c r="G32" s="14"/>
      <c r="H32" s="20"/>
      <c r="I32" s="15"/>
      <c r="J32" s="16"/>
      <c r="K32" s="14"/>
      <c r="L32" s="17"/>
      <c r="M32" s="18"/>
      <c r="N32" s="17"/>
      <c r="O32" s="18"/>
      <c r="P32" s="19"/>
      <c r="Q32" s="17"/>
      <c r="R32" s="40"/>
      <c r="S32" s="42">
        <v>18</v>
      </c>
      <c r="T32" s="40"/>
      <c r="V32" s="48" t="str">
        <f t="shared" si="11"/>
        <v/>
      </c>
      <c r="W32" s="48">
        <f t="shared" si="0"/>
        <v>0</v>
      </c>
      <c r="Y32" s="48" t="str">
        <f t="shared" si="1"/>
        <v/>
      </c>
      <c r="Z32" s="48" t="str">
        <f t="shared" si="2"/>
        <v/>
      </c>
      <c r="AA32" s="48" t="str">
        <f t="shared" si="3"/>
        <v/>
      </c>
      <c r="AB32" s="48" t="str">
        <f t="shared" si="12"/>
        <v/>
      </c>
      <c r="AC32" s="48" t="str">
        <f t="shared" si="4"/>
        <v/>
      </c>
      <c r="AD32" s="48" t="str">
        <f t="shared" si="5"/>
        <v/>
      </c>
      <c r="AE32" s="48" t="str">
        <f t="shared" si="6"/>
        <v/>
      </c>
      <c r="AF32" s="48" t="str">
        <f t="shared" si="7"/>
        <v/>
      </c>
      <c r="AG32" s="48" t="str">
        <f t="shared" si="8"/>
        <v/>
      </c>
      <c r="AH32" s="48" t="str">
        <f t="shared" si="9"/>
        <v/>
      </c>
      <c r="AI32" s="48" t="str">
        <f t="shared" si="10"/>
        <v/>
      </c>
      <c r="AJ32" s="48" t="str">
        <f t="shared" si="13"/>
        <v/>
      </c>
      <c r="AK32" s="48" t="str">
        <f t="shared" si="14"/>
        <v/>
      </c>
      <c r="AL32" s="48" t="str">
        <f>IF(W32=0,"",_xlfn.CONCAT(DADOS!$A$8,Y32:AK32,"
"))</f>
        <v/>
      </c>
    </row>
    <row r="33" spans="1:38" s="48" customFormat="1" ht="15" customHeight="1" x14ac:dyDescent="0.25">
      <c r="D33" s="49"/>
      <c r="E33" s="43"/>
      <c r="F33" s="20"/>
      <c r="G33" s="14"/>
      <c r="H33" s="20"/>
      <c r="I33" s="15"/>
      <c r="J33" s="16"/>
      <c r="K33" s="14"/>
      <c r="L33" s="17"/>
      <c r="M33" s="18"/>
      <c r="N33" s="17"/>
      <c r="O33" s="18"/>
      <c r="P33" s="19"/>
      <c r="Q33" s="17"/>
      <c r="R33" s="40"/>
      <c r="S33" s="42">
        <v>19</v>
      </c>
      <c r="T33" s="40"/>
      <c r="V33" s="48" t="str">
        <f t="shared" si="11"/>
        <v/>
      </c>
      <c r="W33" s="48">
        <f t="shared" si="0"/>
        <v>0</v>
      </c>
      <c r="Y33" s="48" t="str">
        <f t="shared" si="1"/>
        <v/>
      </c>
      <c r="Z33" s="48" t="str">
        <f t="shared" si="2"/>
        <v/>
      </c>
      <c r="AA33" s="48" t="str">
        <f t="shared" si="3"/>
        <v/>
      </c>
      <c r="AB33" s="48" t="str">
        <f t="shared" si="12"/>
        <v/>
      </c>
      <c r="AC33" s="48" t="str">
        <f t="shared" si="4"/>
        <v/>
      </c>
      <c r="AD33" s="48" t="str">
        <f t="shared" si="5"/>
        <v/>
      </c>
      <c r="AE33" s="48" t="str">
        <f t="shared" si="6"/>
        <v/>
      </c>
      <c r="AF33" s="48" t="str">
        <f t="shared" si="7"/>
        <v/>
      </c>
      <c r="AG33" s="48" t="str">
        <f t="shared" si="8"/>
        <v/>
      </c>
      <c r="AH33" s="48" t="str">
        <f t="shared" si="9"/>
        <v/>
      </c>
      <c r="AI33" s="48" t="str">
        <f t="shared" si="10"/>
        <v/>
      </c>
      <c r="AJ33" s="48" t="str">
        <f t="shared" si="13"/>
        <v/>
      </c>
      <c r="AK33" s="48" t="str">
        <f t="shared" si="14"/>
        <v/>
      </c>
      <c r="AL33" s="48" t="str">
        <f>IF(W33=0,"",_xlfn.CONCAT(DADOS!$A$8,Y33:AK33,"
"))</f>
        <v/>
      </c>
    </row>
    <row r="34" spans="1:38" s="48" customFormat="1" ht="15" customHeight="1" x14ac:dyDescent="0.25">
      <c r="A34" s="48" t="s">
        <v>56</v>
      </c>
      <c r="B34" s="48" t="s">
        <v>57</v>
      </c>
      <c r="C34" s="48" t="str">
        <f>_xlfn.CONCAT(C30:C32)</f>
        <v xml:space="preserve">send, RRRLETTRSI4M1S{enter}S
send, RRRLMATRI4M{enter}
</v>
      </c>
      <c r="D34" s="49" t="str">
        <f>_xlfn.CONCAT("^",B34,"::
",C34,"
return","
")</f>
        <v xml:space="preserve">^R::
send, RRRLETTRSI4M1S{enter}S
send, RRRLMATRI4M{enter}
return
</v>
      </c>
      <c r="E34" s="43"/>
      <c r="F34" s="20"/>
      <c r="G34" s="14"/>
      <c r="H34" s="20"/>
      <c r="I34" s="15"/>
      <c r="J34" s="16"/>
      <c r="K34" s="14"/>
      <c r="L34" s="17"/>
      <c r="M34" s="18"/>
      <c r="N34" s="17"/>
      <c r="O34" s="18"/>
      <c r="P34" s="19"/>
      <c r="Q34" s="17"/>
      <c r="R34" s="40"/>
      <c r="S34" s="42">
        <v>20</v>
      </c>
      <c r="T34" s="40"/>
      <c r="V34" s="48" t="str">
        <f t="shared" si="11"/>
        <v/>
      </c>
      <c r="W34" s="48">
        <f t="shared" si="0"/>
        <v>0</v>
      </c>
      <c r="Y34" s="48" t="str">
        <f t="shared" si="1"/>
        <v/>
      </c>
      <c r="Z34" s="48" t="str">
        <f t="shared" si="2"/>
        <v/>
      </c>
      <c r="AA34" s="48" t="str">
        <f t="shared" si="3"/>
        <v/>
      </c>
      <c r="AB34" s="48" t="str">
        <f t="shared" si="12"/>
        <v/>
      </c>
      <c r="AC34" s="48" t="str">
        <f t="shared" si="4"/>
        <v/>
      </c>
      <c r="AD34" s="48" t="str">
        <f t="shared" si="5"/>
        <v/>
      </c>
      <c r="AE34" s="48" t="str">
        <f t="shared" si="6"/>
        <v/>
      </c>
      <c r="AF34" s="48" t="str">
        <f t="shared" si="7"/>
        <v/>
      </c>
      <c r="AG34" s="48" t="str">
        <f t="shared" si="8"/>
        <v/>
      </c>
      <c r="AH34" s="48" t="str">
        <f t="shared" si="9"/>
        <v/>
      </c>
      <c r="AI34" s="48" t="str">
        <f t="shared" si="10"/>
        <v/>
      </c>
      <c r="AJ34" s="48" t="str">
        <f t="shared" si="13"/>
        <v/>
      </c>
      <c r="AK34" s="48" t="str">
        <f t="shared" si="14"/>
        <v/>
      </c>
      <c r="AL34" s="48" t="str">
        <f>IF(W34=0,"",_xlfn.CONCAT(DADOS!$A$8,Y34:AK34,"
"))</f>
        <v/>
      </c>
    </row>
    <row r="35" spans="1:38" s="48" customFormat="1" ht="15" customHeight="1" x14ac:dyDescent="0.25">
      <c r="D35" s="49"/>
      <c r="E35" s="43"/>
      <c r="F35" s="20"/>
      <c r="G35" s="14"/>
      <c r="H35" s="20"/>
      <c r="I35" s="15"/>
      <c r="J35" s="16"/>
      <c r="K35" s="14"/>
      <c r="L35" s="17"/>
      <c r="M35" s="18"/>
      <c r="N35" s="17"/>
      <c r="O35" s="18"/>
      <c r="P35" s="19"/>
      <c r="Q35" s="17"/>
      <c r="R35" s="40"/>
      <c r="S35" s="42">
        <v>21</v>
      </c>
      <c r="T35" s="40"/>
      <c r="V35" s="48" t="str">
        <f t="shared" si="11"/>
        <v/>
      </c>
      <c r="W35" s="48">
        <f t="shared" si="0"/>
        <v>0</v>
      </c>
      <c r="Y35" s="48" t="str">
        <f t="shared" si="1"/>
        <v/>
      </c>
      <c r="Z35" s="48" t="str">
        <f t="shared" si="2"/>
        <v/>
      </c>
      <c r="AA35" s="48" t="str">
        <f t="shared" si="3"/>
        <v/>
      </c>
      <c r="AB35" s="48" t="str">
        <f t="shared" si="12"/>
        <v/>
      </c>
      <c r="AC35" s="48" t="str">
        <f t="shared" si="4"/>
        <v/>
      </c>
      <c r="AD35" s="48" t="str">
        <f t="shared" si="5"/>
        <v/>
      </c>
      <c r="AE35" s="48" t="str">
        <f t="shared" si="6"/>
        <v/>
      </c>
      <c r="AF35" s="48" t="str">
        <f t="shared" si="7"/>
        <v/>
      </c>
      <c r="AG35" s="48" t="str">
        <f t="shared" si="8"/>
        <v/>
      </c>
      <c r="AH35" s="48" t="str">
        <f t="shared" si="9"/>
        <v/>
      </c>
      <c r="AI35" s="48" t="str">
        <f t="shared" si="10"/>
        <v/>
      </c>
      <c r="AJ35" s="48" t="str">
        <f t="shared" si="13"/>
        <v/>
      </c>
      <c r="AK35" s="48" t="str">
        <f t="shared" si="14"/>
        <v/>
      </c>
      <c r="AL35" s="48" t="str">
        <f>IF(W35=0,"",_xlfn.CONCAT(DADOS!$A$8,Y35:AK35,"
"))</f>
        <v/>
      </c>
    </row>
    <row r="36" spans="1:38" s="48" customFormat="1" ht="15" customHeight="1" x14ac:dyDescent="0.25">
      <c r="D36" s="49"/>
      <c r="E36" s="43"/>
      <c r="F36" s="20"/>
      <c r="G36" s="14"/>
      <c r="H36" s="20"/>
      <c r="I36" s="15"/>
      <c r="J36" s="16"/>
      <c r="K36" s="14"/>
      <c r="L36" s="17"/>
      <c r="M36" s="18"/>
      <c r="N36" s="17"/>
      <c r="O36" s="18"/>
      <c r="P36" s="19"/>
      <c r="Q36" s="17"/>
      <c r="R36" s="40"/>
      <c r="S36" s="42">
        <v>22</v>
      </c>
      <c r="T36" s="40"/>
      <c r="V36" s="48" t="str">
        <f t="shared" si="11"/>
        <v/>
      </c>
      <c r="W36" s="48">
        <f t="shared" si="0"/>
        <v>0</v>
      </c>
      <c r="Y36" s="48" t="str">
        <f t="shared" si="1"/>
        <v/>
      </c>
      <c r="Z36" s="48" t="str">
        <f t="shared" si="2"/>
        <v/>
      </c>
      <c r="AA36" s="48" t="str">
        <f t="shared" si="3"/>
        <v/>
      </c>
      <c r="AB36" s="48" t="str">
        <f t="shared" si="12"/>
        <v/>
      </c>
      <c r="AC36" s="48" t="str">
        <f t="shared" si="4"/>
        <v/>
      </c>
      <c r="AD36" s="48" t="str">
        <f t="shared" si="5"/>
        <v/>
      </c>
      <c r="AE36" s="48" t="str">
        <f t="shared" si="6"/>
        <v/>
      </c>
      <c r="AF36" s="48" t="str">
        <f t="shared" si="7"/>
        <v/>
      </c>
      <c r="AG36" s="48" t="str">
        <f t="shared" si="8"/>
        <v/>
      </c>
      <c r="AH36" s="48" t="str">
        <f t="shared" si="9"/>
        <v/>
      </c>
      <c r="AI36" s="48" t="str">
        <f t="shared" si="10"/>
        <v/>
      </c>
      <c r="AJ36" s="48" t="str">
        <f t="shared" si="13"/>
        <v/>
      </c>
      <c r="AK36" s="48" t="str">
        <f t="shared" si="14"/>
        <v/>
      </c>
      <c r="AL36" s="48" t="str">
        <f>IF(W36=0,"",_xlfn.CONCAT(DADOS!$A$8,Y36:AK36,"
"))</f>
        <v/>
      </c>
    </row>
    <row r="37" spans="1:38" s="48" customFormat="1" ht="15" customHeight="1" x14ac:dyDescent="0.25">
      <c r="D37" s="49"/>
      <c r="E37" s="43"/>
      <c r="F37" s="20"/>
      <c r="G37" s="14"/>
      <c r="H37" s="20"/>
      <c r="I37" s="15"/>
      <c r="J37" s="16"/>
      <c r="K37" s="14"/>
      <c r="L37" s="17"/>
      <c r="M37" s="18"/>
      <c r="N37" s="17"/>
      <c r="O37" s="18"/>
      <c r="P37" s="19"/>
      <c r="Q37" s="17"/>
      <c r="R37" s="40"/>
      <c r="S37" s="42">
        <v>23</v>
      </c>
      <c r="T37" s="40"/>
      <c r="V37" s="48" t="str">
        <f t="shared" si="11"/>
        <v/>
      </c>
      <c r="W37" s="48">
        <f t="shared" si="0"/>
        <v>0</v>
      </c>
      <c r="Y37" s="48" t="str">
        <f t="shared" si="1"/>
        <v/>
      </c>
      <c r="Z37" s="48" t="str">
        <f t="shared" si="2"/>
        <v/>
      </c>
      <c r="AA37" s="48" t="str">
        <f t="shared" si="3"/>
        <v/>
      </c>
      <c r="AB37" s="48" t="str">
        <f t="shared" si="12"/>
        <v/>
      </c>
      <c r="AC37" s="48" t="str">
        <f t="shared" si="4"/>
        <v/>
      </c>
      <c r="AD37" s="48" t="str">
        <f t="shared" si="5"/>
        <v/>
      </c>
      <c r="AE37" s="48" t="str">
        <f t="shared" si="6"/>
        <v/>
      </c>
      <c r="AF37" s="48" t="str">
        <f t="shared" si="7"/>
        <v/>
      </c>
      <c r="AG37" s="48" t="str">
        <f t="shared" si="8"/>
        <v/>
      </c>
      <c r="AH37" s="48" t="str">
        <f t="shared" si="9"/>
        <v/>
      </c>
      <c r="AI37" s="48" t="str">
        <f t="shared" si="10"/>
        <v/>
      </c>
      <c r="AJ37" s="48" t="str">
        <f t="shared" si="13"/>
        <v/>
      </c>
      <c r="AK37" s="48" t="str">
        <f t="shared" si="14"/>
        <v/>
      </c>
      <c r="AL37" s="48" t="str">
        <f>IF(W37=0,"",_xlfn.CONCAT(DADOS!$A$8,Y37:AK37,"
"))</f>
        <v/>
      </c>
    </row>
    <row r="38" spans="1:38" s="48" customFormat="1" ht="15" customHeight="1" x14ac:dyDescent="0.25">
      <c r="D38" s="49"/>
      <c r="E38" s="43"/>
      <c r="F38" s="20"/>
      <c r="G38" s="14"/>
      <c r="H38" s="20"/>
      <c r="I38" s="15"/>
      <c r="J38" s="16"/>
      <c r="K38" s="14"/>
      <c r="L38" s="17"/>
      <c r="M38" s="18"/>
      <c r="N38" s="17"/>
      <c r="O38" s="18"/>
      <c r="P38" s="19"/>
      <c r="Q38" s="17"/>
      <c r="R38" s="40"/>
      <c r="S38" s="42">
        <v>24</v>
      </c>
      <c r="T38" s="40"/>
      <c r="V38" s="48" t="str">
        <f t="shared" si="11"/>
        <v/>
      </c>
      <c r="W38" s="48">
        <f t="shared" si="0"/>
        <v>0</v>
      </c>
      <c r="Y38" s="48" t="str">
        <f t="shared" si="1"/>
        <v/>
      </c>
      <c r="Z38" s="48" t="str">
        <f t="shared" si="2"/>
        <v/>
      </c>
      <c r="AA38" s="48" t="str">
        <f t="shared" si="3"/>
        <v/>
      </c>
      <c r="AB38" s="48" t="str">
        <f t="shared" si="12"/>
        <v/>
      </c>
      <c r="AC38" s="48" t="str">
        <f t="shared" si="4"/>
        <v/>
      </c>
      <c r="AD38" s="48" t="str">
        <f t="shared" si="5"/>
        <v/>
      </c>
      <c r="AE38" s="48" t="str">
        <f t="shared" si="6"/>
        <v/>
      </c>
      <c r="AF38" s="48" t="str">
        <f t="shared" si="7"/>
        <v/>
      </c>
      <c r="AG38" s="48" t="str">
        <f t="shared" si="8"/>
        <v/>
      </c>
      <c r="AH38" s="48" t="str">
        <f t="shared" si="9"/>
        <v/>
      </c>
      <c r="AI38" s="48" t="str">
        <f t="shared" si="10"/>
        <v/>
      </c>
      <c r="AJ38" s="48" t="str">
        <f t="shared" si="13"/>
        <v/>
      </c>
      <c r="AK38" s="48" t="str">
        <f t="shared" si="14"/>
        <v/>
      </c>
      <c r="AL38" s="48" t="str">
        <f>IF(W38=0,"",_xlfn.CONCAT(DADOS!$A$8,Y38:AK38,"
"))</f>
        <v/>
      </c>
    </row>
    <row r="39" spans="1:38" s="48" customFormat="1" ht="15" customHeight="1" x14ac:dyDescent="0.25">
      <c r="D39" s="49"/>
      <c r="E39" s="43"/>
      <c r="F39" s="20"/>
      <c r="G39" s="14"/>
      <c r="H39" s="20"/>
      <c r="I39" s="15"/>
      <c r="J39" s="16"/>
      <c r="K39" s="14"/>
      <c r="L39" s="17"/>
      <c r="M39" s="18"/>
      <c r="N39" s="17"/>
      <c r="O39" s="18"/>
      <c r="P39" s="19"/>
      <c r="Q39" s="17"/>
      <c r="R39" s="40"/>
      <c r="S39" s="42">
        <v>25</v>
      </c>
      <c r="T39" s="40"/>
      <c r="V39" s="48" t="str">
        <f t="shared" si="11"/>
        <v/>
      </c>
      <c r="W39" s="48">
        <f t="shared" si="0"/>
        <v>0</v>
      </c>
      <c r="Y39" s="48" t="str">
        <f t="shared" si="1"/>
        <v/>
      </c>
      <c r="Z39" s="48" t="str">
        <f t="shared" si="2"/>
        <v/>
      </c>
      <c r="AA39" s="48" t="str">
        <f t="shared" si="3"/>
        <v/>
      </c>
      <c r="AB39" s="48" t="str">
        <f t="shared" si="12"/>
        <v/>
      </c>
      <c r="AC39" s="48" t="str">
        <f t="shared" si="4"/>
        <v/>
      </c>
      <c r="AD39" s="48" t="str">
        <f t="shared" si="5"/>
        <v/>
      </c>
      <c r="AE39" s="48" t="str">
        <f t="shared" si="6"/>
        <v/>
      </c>
      <c r="AF39" s="48" t="str">
        <f t="shared" si="7"/>
        <v/>
      </c>
      <c r="AG39" s="48" t="str">
        <f t="shared" si="8"/>
        <v/>
      </c>
      <c r="AH39" s="48" t="str">
        <f t="shared" si="9"/>
        <v/>
      </c>
      <c r="AI39" s="48" t="str">
        <f t="shared" si="10"/>
        <v/>
      </c>
      <c r="AJ39" s="48" t="str">
        <f t="shared" si="13"/>
        <v/>
      </c>
      <c r="AK39" s="48" t="str">
        <f t="shared" si="14"/>
        <v/>
      </c>
      <c r="AL39" s="48" t="str">
        <f>IF(W39=0,"",_xlfn.CONCAT(DADOS!$A$8,Y39:AK39,"
"))</f>
        <v/>
      </c>
    </row>
    <row r="40" spans="1:38" s="48" customFormat="1" ht="15" customHeight="1" x14ac:dyDescent="0.25">
      <c r="D40" s="49"/>
      <c r="E40" s="43"/>
      <c r="F40" s="20"/>
      <c r="G40" s="14"/>
      <c r="H40" s="20"/>
      <c r="I40" s="15"/>
      <c r="J40" s="16"/>
      <c r="K40" s="14"/>
      <c r="L40" s="17"/>
      <c r="M40" s="18"/>
      <c r="N40" s="17"/>
      <c r="O40" s="18"/>
      <c r="P40" s="19"/>
      <c r="Q40" s="17"/>
      <c r="R40" s="40"/>
      <c r="S40" s="42">
        <v>26</v>
      </c>
      <c r="T40" s="40"/>
      <c r="V40" s="48" t="str">
        <f t="shared" si="11"/>
        <v/>
      </c>
      <c r="W40" s="48">
        <f t="shared" si="0"/>
        <v>0</v>
      </c>
      <c r="Y40" s="48" t="str">
        <f t="shared" si="1"/>
        <v/>
      </c>
      <c r="Z40" s="48" t="str">
        <f t="shared" si="2"/>
        <v/>
      </c>
      <c r="AA40" s="48" t="str">
        <f t="shared" si="3"/>
        <v/>
      </c>
      <c r="AB40" s="48" t="str">
        <f t="shared" si="12"/>
        <v/>
      </c>
      <c r="AC40" s="48" t="str">
        <f t="shared" si="4"/>
        <v/>
      </c>
      <c r="AD40" s="48" t="str">
        <f t="shared" si="5"/>
        <v/>
      </c>
      <c r="AE40" s="48" t="str">
        <f t="shared" si="6"/>
        <v/>
      </c>
      <c r="AF40" s="48" t="str">
        <f t="shared" si="7"/>
        <v/>
      </c>
      <c r="AG40" s="48" t="str">
        <f t="shared" si="8"/>
        <v/>
      </c>
      <c r="AH40" s="48" t="str">
        <f t="shared" si="9"/>
        <v/>
      </c>
      <c r="AI40" s="48" t="str">
        <f t="shared" si="10"/>
        <v/>
      </c>
      <c r="AJ40" s="48" t="str">
        <f t="shared" si="13"/>
        <v/>
      </c>
      <c r="AK40" s="48" t="str">
        <f t="shared" si="14"/>
        <v/>
      </c>
      <c r="AL40" s="48" t="str">
        <f>IF(W40=0,"",_xlfn.CONCAT(DADOS!$A$8,Y40:AK40,"
"))</f>
        <v/>
      </c>
    </row>
    <row r="41" spans="1:38" s="48" customFormat="1" ht="15" customHeight="1" x14ac:dyDescent="0.25">
      <c r="D41" s="49"/>
      <c r="E41" s="43"/>
      <c r="F41" s="20"/>
      <c r="G41" s="14"/>
      <c r="H41" s="20"/>
      <c r="I41" s="15"/>
      <c r="J41" s="16"/>
      <c r="K41" s="14"/>
      <c r="L41" s="17"/>
      <c r="M41" s="18"/>
      <c r="N41" s="17"/>
      <c r="O41" s="18"/>
      <c r="P41" s="19"/>
      <c r="Q41" s="17"/>
      <c r="R41" s="40"/>
      <c r="S41" s="42">
        <v>27</v>
      </c>
      <c r="T41" s="40"/>
      <c r="V41" s="48" t="str">
        <f t="shared" si="11"/>
        <v/>
      </c>
      <c r="W41" s="48">
        <f t="shared" si="0"/>
        <v>0</v>
      </c>
      <c r="Y41" s="48" t="str">
        <f t="shared" si="1"/>
        <v/>
      </c>
      <c r="Z41" s="48" t="str">
        <f t="shared" si="2"/>
        <v/>
      </c>
      <c r="AA41" s="48" t="str">
        <f t="shared" si="3"/>
        <v/>
      </c>
      <c r="AB41" s="48" t="str">
        <f t="shared" si="12"/>
        <v/>
      </c>
      <c r="AC41" s="48" t="str">
        <f t="shared" si="4"/>
        <v/>
      </c>
      <c r="AD41" s="48" t="str">
        <f t="shared" si="5"/>
        <v/>
      </c>
      <c r="AE41" s="48" t="str">
        <f t="shared" si="6"/>
        <v/>
      </c>
      <c r="AF41" s="48" t="str">
        <f t="shared" si="7"/>
        <v/>
      </c>
      <c r="AG41" s="48" t="str">
        <f t="shared" si="8"/>
        <v/>
      </c>
      <c r="AH41" s="48" t="str">
        <f t="shared" si="9"/>
        <v/>
      </c>
      <c r="AI41" s="48" t="str">
        <f t="shared" si="10"/>
        <v/>
      </c>
      <c r="AJ41" s="48" t="str">
        <f t="shared" si="13"/>
        <v/>
      </c>
      <c r="AK41" s="48" t="str">
        <f t="shared" si="14"/>
        <v/>
      </c>
      <c r="AL41" s="48" t="str">
        <f>IF(W41=0,"",_xlfn.CONCAT(DADOS!$A$8,Y41:AK41,"
"))</f>
        <v/>
      </c>
    </row>
    <row r="42" spans="1:38" s="48" customFormat="1" ht="15" customHeight="1" x14ac:dyDescent="0.25">
      <c r="D42" s="49"/>
      <c r="E42" s="43"/>
      <c r="F42" s="20"/>
      <c r="G42" s="14"/>
      <c r="H42" s="20"/>
      <c r="I42" s="15"/>
      <c r="J42" s="16"/>
      <c r="K42" s="14"/>
      <c r="L42" s="17"/>
      <c r="M42" s="18"/>
      <c r="N42" s="17"/>
      <c r="O42" s="18"/>
      <c r="P42" s="19"/>
      <c r="Q42" s="17"/>
      <c r="R42" s="40"/>
      <c r="S42" s="42">
        <v>28</v>
      </c>
      <c r="T42" s="40"/>
      <c r="V42" s="48" t="str">
        <f t="shared" si="11"/>
        <v/>
      </c>
      <c r="W42" s="48">
        <f t="shared" si="0"/>
        <v>0</v>
      </c>
      <c r="Y42" s="48" t="str">
        <f t="shared" si="1"/>
        <v/>
      </c>
      <c r="Z42" s="48" t="str">
        <f t="shared" si="2"/>
        <v/>
      </c>
      <c r="AA42" s="48" t="str">
        <f t="shared" si="3"/>
        <v/>
      </c>
      <c r="AB42" s="48" t="str">
        <f t="shared" si="12"/>
        <v/>
      </c>
      <c r="AC42" s="48" t="str">
        <f t="shared" si="4"/>
        <v/>
      </c>
      <c r="AD42" s="48" t="str">
        <f t="shared" si="5"/>
        <v/>
      </c>
      <c r="AE42" s="48" t="str">
        <f t="shared" si="6"/>
        <v/>
      </c>
      <c r="AF42" s="48" t="str">
        <f t="shared" si="7"/>
        <v/>
      </c>
      <c r="AG42" s="48" t="str">
        <f t="shared" si="8"/>
        <v/>
      </c>
      <c r="AH42" s="48" t="str">
        <f t="shared" si="9"/>
        <v/>
      </c>
      <c r="AI42" s="48" t="str">
        <f t="shared" si="10"/>
        <v/>
      </c>
      <c r="AJ42" s="48" t="str">
        <f t="shared" si="13"/>
        <v/>
      </c>
      <c r="AK42" s="48" t="str">
        <f t="shared" si="14"/>
        <v/>
      </c>
      <c r="AL42" s="48" t="str">
        <f>IF(W42=0,"",_xlfn.CONCAT(DADOS!$A$8,Y42:AK42,"
"))</f>
        <v/>
      </c>
    </row>
    <row r="43" spans="1:38" s="48" customFormat="1" ht="15" customHeight="1" x14ac:dyDescent="0.25">
      <c r="D43" s="49"/>
      <c r="E43" s="43"/>
      <c r="F43" s="20"/>
      <c r="G43" s="14"/>
      <c r="H43" s="20"/>
      <c r="I43" s="15"/>
      <c r="J43" s="16"/>
      <c r="K43" s="14"/>
      <c r="L43" s="17"/>
      <c r="M43" s="18"/>
      <c r="N43" s="17"/>
      <c r="O43" s="18"/>
      <c r="P43" s="19"/>
      <c r="Q43" s="17"/>
      <c r="R43" s="40"/>
      <c r="S43" s="42">
        <v>29</v>
      </c>
      <c r="T43" s="40"/>
      <c r="V43" s="48" t="str">
        <f t="shared" si="11"/>
        <v/>
      </c>
      <c r="W43" s="48">
        <f t="shared" si="0"/>
        <v>0</v>
      </c>
      <c r="Y43" s="48" t="str">
        <f t="shared" si="1"/>
        <v/>
      </c>
      <c r="Z43" s="48" t="str">
        <f t="shared" si="2"/>
        <v/>
      </c>
      <c r="AA43" s="48" t="str">
        <f t="shared" si="3"/>
        <v/>
      </c>
      <c r="AB43" s="48" t="str">
        <f t="shared" si="12"/>
        <v/>
      </c>
      <c r="AC43" s="48" t="str">
        <f t="shared" si="4"/>
        <v/>
      </c>
      <c r="AD43" s="48" t="str">
        <f t="shared" si="5"/>
        <v/>
      </c>
      <c r="AE43" s="48" t="str">
        <f t="shared" si="6"/>
        <v/>
      </c>
      <c r="AF43" s="48" t="str">
        <f t="shared" si="7"/>
        <v/>
      </c>
      <c r="AG43" s="48" t="str">
        <f t="shared" si="8"/>
        <v/>
      </c>
      <c r="AH43" s="48" t="str">
        <f t="shared" si="9"/>
        <v/>
      </c>
      <c r="AI43" s="48" t="str">
        <f t="shared" si="10"/>
        <v/>
      </c>
      <c r="AJ43" s="48" t="str">
        <f t="shared" si="13"/>
        <v/>
      </c>
      <c r="AK43" s="48" t="str">
        <f t="shared" si="14"/>
        <v/>
      </c>
      <c r="AL43" s="48" t="str">
        <f>IF(W43=0,"",_xlfn.CONCAT(DADOS!$A$8,Y43:AK43,"
"))</f>
        <v/>
      </c>
    </row>
    <row r="44" spans="1:38" s="48" customFormat="1" ht="15" customHeight="1" x14ac:dyDescent="0.25">
      <c r="D44" s="49"/>
      <c r="E44" s="43"/>
      <c r="F44" s="20"/>
      <c r="G44" s="14"/>
      <c r="H44" s="20"/>
      <c r="I44" s="15"/>
      <c r="J44" s="16"/>
      <c r="K44" s="14"/>
      <c r="L44" s="17"/>
      <c r="M44" s="18"/>
      <c r="N44" s="17"/>
      <c r="O44" s="18"/>
      <c r="P44" s="19"/>
      <c r="Q44" s="17"/>
      <c r="R44" s="40"/>
      <c r="S44" s="42">
        <v>30</v>
      </c>
      <c r="T44" s="40"/>
      <c r="V44" s="48" t="str">
        <f t="shared" si="11"/>
        <v/>
      </c>
      <c r="W44" s="48">
        <f t="shared" si="0"/>
        <v>0</v>
      </c>
      <c r="Y44" s="48" t="str">
        <f t="shared" si="1"/>
        <v/>
      </c>
      <c r="Z44" s="48" t="str">
        <f t="shared" si="2"/>
        <v/>
      </c>
      <c r="AA44" s="48" t="str">
        <f t="shared" si="3"/>
        <v/>
      </c>
      <c r="AB44" s="48" t="str">
        <f t="shared" si="12"/>
        <v/>
      </c>
      <c r="AC44" s="48" t="str">
        <f t="shared" si="4"/>
        <v/>
      </c>
      <c r="AD44" s="48" t="str">
        <f t="shared" si="5"/>
        <v/>
      </c>
      <c r="AE44" s="48" t="str">
        <f t="shared" si="6"/>
        <v/>
      </c>
      <c r="AF44" s="48" t="str">
        <f t="shared" si="7"/>
        <v/>
      </c>
      <c r="AG44" s="48" t="str">
        <f t="shared" si="8"/>
        <v/>
      </c>
      <c r="AH44" s="48" t="str">
        <f t="shared" si="9"/>
        <v/>
      </c>
      <c r="AI44" s="48" t="str">
        <f t="shared" si="10"/>
        <v/>
      </c>
      <c r="AJ44" s="48" t="str">
        <f t="shared" si="13"/>
        <v/>
      </c>
      <c r="AK44" s="48" t="str">
        <f t="shared" si="14"/>
        <v/>
      </c>
      <c r="AL44" s="48" t="str">
        <f>IF(W44=0,"",_xlfn.CONCAT(DADOS!$A$8,Y44:AK44,"
"))</f>
        <v/>
      </c>
    </row>
    <row r="45" spans="1:38" s="48" customFormat="1" ht="15" customHeight="1" x14ac:dyDescent="0.25">
      <c r="D45" s="49"/>
      <c r="E45" s="43"/>
      <c r="F45" s="20"/>
      <c r="G45" s="14"/>
      <c r="H45" s="20"/>
      <c r="I45" s="15"/>
      <c r="J45" s="16"/>
      <c r="K45" s="14"/>
      <c r="L45" s="17"/>
      <c r="M45" s="18"/>
      <c r="N45" s="17"/>
      <c r="O45" s="18"/>
      <c r="P45" s="19"/>
      <c r="Q45" s="17"/>
      <c r="R45" s="40"/>
      <c r="S45" s="42">
        <v>31</v>
      </c>
      <c r="T45" s="40"/>
      <c r="V45" s="48" t="str">
        <f t="shared" si="11"/>
        <v/>
      </c>
      <c r="W45" s="48">
        <f t="shared" si="0"/>
        <v>0</v>
      </c>
      <c r="Y45" s="48" t="str">
        <f t="shared" si="1"/>
        <v/>
      </c>
      <c r="Z45" s="48" t="str">
        <f t="shared" si="2"/>
        <v/>
      </c>
      <c r="AA45" s="48" t="str">
        <f t="shared" si="3"/>
        <v/>
      </c>
      <c r="AB45" s="48" t="str">
        <f t="shared" si="12"/>
        <v/>
      </c>
      <c r="AC45" s="48" t="str">
        <f t="shared" si="4"/>
        <v/>
      </c>
      <c r="AD45" s="48" t="str">
        <f t="shared" si="5"/>
        <v/>
      </c>
      <c r="AE45" s="48" t="str">
        <f t="shared" si="6"/>
        <v/>
      </c>
      <c r="AF45" s="48" t="str">
        <f t="shared" si="7"/>
        <v/>
      </c>
      <c r="AG45" s="48" t="str">
        <f t="shared" si="8"/>
        <v/>
      </c>
      <c r="AH45" s="48" t="str">
        <f t="shared" si="9"/>
        <v/>
      </c>
      <c r="AI45" s="48" t="str">
        <f t="shared" si="10"/>
        <v/>
      </c>
      <c r="AJ45" s="48" t="str">
        <f t="shared" si="13"/>
        <v/>
      </c>
      <c r="AK45" s="48" t="str">
        <f t="shared" si="14"/>
        <v/>
      </c>
      <c r="AL45" s="48" t="str">
        <f>IF(W45=0,"",_xlfn.CONCAT(DADOS!$A$8,Y45:AK45,"
"))</f>
        <v/>
      </c>
    </row>
    <row r="46" spans="1:38" s="48" customFormat="1" ht="15" customHeight="1" x14ac:dyDescent="0.25">
      <c r="D46" s="49"/>
      <c r="E46" s="43"/>
      <c r="F46" s="20"/>
      <c r="G46" s="14"/>
      <c r="H46" s="20"/>
      <c r="I46" s="15"/>
      <c r="J46" s="16"/>
      <c r="K46" s="14"/>
      <c r="L46" s="17"/>
      <c r="M46" s="18"/>
      <c r="N46" s="17"/>
      <c r="O46" s="18"/>
      <c r="P46" s="19"/>
      <c r="Q46" s="17"/>
      <c r="R46" s="40"/>
      <c r="S46" s="42">
        <v>32</v>
      </c>
      <c r="T46" s="40"/>
      <c r="V46" s="48" t="str">
        <f t="shared" si="11"/>
        <v/>
      </c>
      <c r="W46" s="48">
        <f t="shared" si="0"/>
        <v>0</v>
      </c>
      <c r="Y46" s="48" t="str">
        <f t="shared" si="1"/>
        <v/>
      </c>
      <c r="Z46" s="48" t="str">
        <f t="shared" si="2"/>
        <v/>
      </c>
      <c r="AA46" s="48" t="str">
        <f t="shared" si="3"/>
        <v/>
      </c>
      <c r="AB46" s="48" t="str">
        <f t="shared" si="12"/>
        <v/>
      </c>
      <c r="AC46" s="48" t="str">
        <f t="shared" si="4"/>
        <v/>
      </c>
      <c r="AD46" s="48" t="str">
        <f t="shared" si="5"/>
        <v/>
      </c>
      <c r="AE46" s="48" t="str">
        <f t="shared" si="6"/>
        <v/>
      </c>
      <c r="AF46" s="48" t="str">
        <f t="shared" si="7"/>
        <v/>
      </c>
      <c r="AG46" s="48" t="str">
        <f t="shared" si="8"/>
        <v/>
      </c>
      <c r="AH46" s="48" t="str">
        <f t="shared" si="9"/>
        <v/>
      </c>
      <c r="AI46" s="48" t="str">
        <f t="shared" si="10"/>
        <v/>
      </c>
      <c r="AJ46" s="48" t="str">
        <f t="shared" si="13"/>
        <v/>
      </c>
      <c r="AK46" s="48" t="str">
        <f t="shared" si="14"/>
        <v/>
      </c>
      <c r="AL46" s="48" t="str">
        <f>IF(W46=0,"",_xlfn.CONCAT(DADOS!$A$8,Y46:AK46,"
"))</f>
        <v/>
      </c>
    </row>
    <row r="47" spans="1:38" s="48" customFormat="1" ht="15" customHeight="1" x14ac:dyDescent="0.25">
      <c r="D47" s="49"/>
      <c r="E47" s="43"/>
      <c r="F47" s="20"/>
      <c r="G47" s="14"/>
      <c r="H47" s="20"/>
      <c r="I47" s="15"/>
      <c r="J47" s="16"/>
      <c r="K47" s="14"/>
      <c r="L47" s="17"/>
      <c r="M47" s="18"/>
      <c r="N47" s="17"/>
      <c r="O47" s="18"/>
      <c r="P47" s="19"/>
      <c r="Q47" s="17"/>
      <c r="R47" s="40"/>
      <c r="S47" s="42">
        <v>33</v>
      </c>
      <c r="T47" s="40"/>
      <c r="V47" s="48" t="str">
        <f t="shared" si="11"/>
        <v/>
      </c>
      <c r="W47" s="48">
        <f t="shared" si="0"/>
        <v>0</v>
      </c>
      <c r="Y47" s="48" t="str">
        <f t="shared" si="1"/>
        <v/>
      </c>
      <c r="Z47" s="48" t="str">
        <f t="shared" si="2"/>
        <v/>
      </c>
      <c r="AA47" s="48" t="str">
        <f t="shared" si="3"/>
        <v/>
      </c>
      <c r="AB47" s="48" t="str">
        <f t="shared" si="12"/>
        <v/>
      </c>
      <c r="AC47" s="48" t="str">
        <f t="shared" si="4"/>
        <v/>
      </c>
      <c r="AD47" s="48" t="str">
        <f t="shared" si="5"/>
        <v/>
      </c>
      <c r="AE47" s="48" t="str">
        <f t="shared" si="6"/>
        <v/>
      </c>
      <c r="AF47" s="48" t="str">
        <f t="shared" si="7"/>
        <v/>
      </c>
      <c r="AG47" s="48" t="str">
        <f t="shared" si="8"/>
        <v/>
      </c>
      <c r="AH47" s="48" t="str">
        <f t="shared" si="9"/>
        <v/>
      </c>
      <c r="AI47" s="48" t="str">
        <f t="shared" si="10"/>
        <v/>
      </c>
      <c r="AJ47" s="48" t="str">
        <f t="shared" si="13"/>
        <v/>
      </c>
      <c r="AK47" s="48" t="str">
        <f t="shared" si="14"/>
        <v/>
      </c>
      <c r="AL47" s="48" t="str">
        <f>IF(W47=0,"",_xlfn.CONCAT(DADOS!$A$8,Y47:AK47,"
"))</f>
        <v/>
      </c>
    </row>
    <row r="48" spans="1:38" s="48" customFormat="1" ht="15" customHeight="1" x14ac:dyDescent="0.25">
      <c r="D48" s="49"/>
      <c r="E48" s="43"/>
      <c r="F48" s="20"/>
      <c r="G48" s="14"/>
      <c r="H48" s="20"/>
      <c r="I48" s="15"/>
      <c r="J48" s="16"/>
      <c r="K48" s="14"/>
      <c r="L48" s="17"/>
      <c r="M48" s="18"/>
      <c r="N48" s="17"/>
      <c r="O48" s="18"/>
      <c r="P48" s="19"/>
      <c r="Q48" s="17"/>
      <c r="R48" s="40"/>
      <c r="S48" s="42">
        <v>34</v>
      </c>
      <c r="T48" s="40"/>
      <c r="V48" s="48" t="str">
        <f t="shared" si="11"/>
        <v/>
      </c>
      <c r="W48" s="48">
        <f t="shared" si="0"/>
        <v>0</v>
      </c>
      <c r="Y48" s="48" t="str">
        <f t="shared" si="1"/>
        <v/>
      </c>
      <c r="Z48" s="48" t="str">
        <f t="shared" si="2"/>
        <v/>
      </c>
      <c r="AA48" s="48" t="str">
        <f t="shared" si="3"/>
        <v/>
      </c>
      <c r="AB48" s="48" t="str">
        <f t="shared" si="12"/>
        <v/>
      </c>
      <c r="AC48" s="48" t="str">
        <f t="shared" si="4"/>
        <v/>
      </c>
      <c r="AD48" s="48" t="str">
        <f t="shared" si="5"/>
        <v/>
      </c>
      <c r="AE48" s="48" t="str">
        <f t="shared" si="6"/>
        <v/>
      </c>
      <c r="AF48" s="48" t="str">
        <f t="shared" si="7"/>
        <v/>
      </c>
      <c r="AG48" s="48" t="str">
        <f t="shared" si="8"/>
        <v/>
      </c>
      <c r="AH48" s="48" t="str">
        <f t="shared" si="9"/>
        <v/>
      </c>
      <c r="AI48" s="48" t="str">
        <f t="shared" si="10"/>
        <v/>
      </c>
      <c r="AJ48" s="48" t="str">
        <f t="shared" si="13"/>
        <v/>
      </c>
      <c r="AK48" s="48" t="str">
        <f t="shared" si="14"/>
        <v/>
      </c>
      <c r="AL48" s="48" t="str">
        <f>IF(W48=0,"",_xlfn.CONCAT(DADOS!$A$8,Y48:AK48,"
"))</f>
        <v/>
      </c>
    </row>
    <row r="49" spans="4:38" s="48" customFormat="1" ht="15" customHeight="1" x14ac:dyDescent="0.25">
      <c r="D49" s="49"/>
      <c r="E49" s="43"/>
      <c r="F49" s="20"/>
      <c r="G49" s="14"/>
      <c r="H49" s="20"/>
      <c r="I49" s="15"/>
      <c r="J49" s="16"/>
      <c r="K49" s="14"/>
      <c r="L49" s="17"/>
      <c r="M49" s="18"/>
      <c r="N49" s="17"/>
      <c r="O49" s="18"/>
      <c r="P49" s="19"/>
      <c r="Q49" s="17"/>
      <c r="R49" s="40"/>
      <c r="S49" s="42">
        <v>35</v>
      </c>
      <c r="T49" s="40"/>
      <c r="V49" s="48" t="str">
        <f t="shared" si="11"/>
        <v/>
      </c>
      <c r="W49" s="48">
        <f t="shared" si="0"/>
        <v>0</v>
      </c>
      <c r="Y49" s="48" t="str">
        <f t="shared" si="1"/>
        <v/>
      </c>
      <c r="Z49" s="48" t="str">
        <f t="shared" si="2"/>
        <v/>
      </c>
      <c r="AA49" s="48" t="str">
        <f t="shared" si="3"/>
        <v/>
      </c>
      <c r="AB49" s="48" t="str">
        <f t="shared" si="12"/>
        <v/>
      </c>
      <c r="AC49" s="48" t="str">
        <f t="shared" si="4"/>
        <v/>
      </c>
      <c r="AD49" s="48" t="str">
        <f t="shared" si="5"/>
        <v/>
      </c>
      <c r="AE49" s="48" t="str">
        <f t="shared" si="6"/>
        <v/>
      </c>
      <c r="AF49" s="48" t="str">
        <f t="shared" si="7"/>
        <v/>
      </c>
      <c r="AG49" s="48" t="str">
        <f t="shared" si="8"/>
        <v/>
      </c>
      <c r="AH49" s="48" t="str">
        <f t="shared" si="9"/>
        <v/>
      </c>
      <c r="AI49" s="48" t="str">
        <f t="shared" si="10"/>
        <v/>
      </c>
      <c r="AJ49" s="48" t="str">
        <f t="shared" si="13"/>
        <v/>
      </c>
      <c r="AK49" s="48" t="str">
        <f t="shared" si="14"/>
        <v/>
      </c>
      <c r="AL49" s="48" t="str">
        <f>IF(W49=0,"",_xlfn.CONCAT(DADOS!$A$8,Y49:AK49,"
"))</f>
        <v/>
      </c>
    </row>
    <row r="50" spans="4:38" s="48" customFormat="1" ht="15" customHeight="1" x14ac:dyDescent="0.25">
      <c r="D50" s="49"/>
      <c r="E50" s="43"/>
      <c r="F50" s="20"/>
      <c r="G50" s="14"/>
      <c r="H50" s="20"/>
      <c r="I50" s="15"/>
      <c r="J50" s="16"/>
      <c r="K50" s="14"/>
      <c r="L50" s="17"/>
      <c r="M50" s="18"/>
      <c r="N50" s="17"/>
      <c r="O50" s="18"/>
      <c r="P50" s="19"/>
      <c r="Q50" s="17"/>
      <c r="R50" s="40"/>
      <c r="S50" s="42">
        <v>36</v>
      </c>
      <c r="T50" s="40"/>
      <c r="V50" s="48" t="str">
        <f t="shared" si="11"/>
        <v/>
      </c>
      <c r="W50" s="48">
        <f t="shared" si="0"/>
        <v>0</v>
      </c>
      <c r="Y50" s="48" t="str">
        <f t="shared" si="1"/>
        <v/>
      </c>
      <c r="Z50" s="48" t="str">
        <f t="shared" si="2"/>
        <v/>
      </c>
      <c r="AA50" s="48" t="str">
        <f t="shared" si="3"/>
        <v/>
      </c>
      <c r="AB50" s="48" t="str">
        <f t="shared" si="12"/>
        <v/>
      </c>
      <c r="AC50" s="48" t="str">
        <f t="shared" si="4"/>
        <v/>
      </c>
      <c r="AD50" s="48" t="str">
        <f t="shared" si="5"/>
        <v/>
      </c>
      <c r="AE50" s="48" t="str">
        <f t="shared" si="6"/>
        <v/>
      </c>
      <c r="AF50" s="48" t="str">
        <f t="shared" si="7"/>
        <v/>
      </c>
      <c r="AG50" s="48" t="str">
        <f t="shared" si="8"/>
        <v/>
      </c>
      <c r="AH50" s="48" t="str">
        <f t="shared" si="9"/>
        <v/>
      </c>
      <c r="AI50" s="48" t="str">
        <f t="shared" si="10"/>
        <v/>
      </c>
      <c r="AJ50" s="48" t="str">
        <f t="shared" si="13"/>
        <v/>
      </c>
      <c r="AK50" s="48" t="str">
        <f t="shared" si="14"/>
        <v/>
      </c>
      <c r="AL50" s="48" t="str">
        <f>IF(W50=0,"",_xlfn.CONCAT(DADOS!$A$8,Y50:AK50,"
"))</f>
        <v/>
      </c>
    </row>
    <row r="51" spans="4:38" s="48" customFormat="1" ht="15" customHeight="1" x14ac:dyDescent="0.25">
      <c r="D51" s="49"/>
      <c r="E51" s="43"/>
      <c r="F51" s="20"/>
      <c r="G51" s="14"/>
      <c r="H51" s="20"/>
      <c r="I51" s="15"/>
      <c r="J51" s="16"/>
      <c r="K51" s="14"/>
      <c r="L51" s="17"/>
      <c r="M51" s="18"/>
      <c r="N51" s="17"/>
      <c r="O51" s="18"/>
      <c r="P51" s="19"/>
      <c r="Q51" s="17"/>
      <c r="R51" s="40"/>
      <c r="S51" s="42">
        <v>37</v>
      </c>
      <c r="T51" s="40"/>
      <c r="V51" s="48" t="str">
        <f t="shared" si="11"/>
        <v/>
      </c>
      <c r="W51" s="48">
        <f t="shared" si="0"/>
        <v>0</v>
      </c>
      <c r="Y51" s="48" t="str">
        <f t="shared" si="1"/>
        <v/>
      </c>
      <c r="Z51" s="48" t="str">
        <f t="shared" si="2"/>
        <v/>
      </c>
      <c r="AA51" s="48" t="str">
        <f t="shared" si="3"/>
        <v/>
      </c>
      <c r="AB51" s="48" t="str">
        <f t="shared" si="12"/>
        <v/>
      </c>
      <c r="AC51" s="48" t="str">
        <f t="shared" si="4"/>
        <v/>
      </c>
      <c r="AD51" s="48" t="str">
        <f t="shared" si="5"/>
        <v/>
      </c>
      <c r="AE51" s="48" t="str">
        <f t="shared" si="6"/>
        <v/>
      </c>
      <c r="AF51" s="48" t="str">
        <f t="shared" si="7"/>
        <v/>
      </c>
      <c r="AG51" s="48" t="str">
        <f t="shared" si="8"/>
        <v/>
      </c>
      <c r="AH51" s="48" t="str">
        <f t="shared" si="9"/>
        <v/>
      </c>
      <c r="AI51" s="48" t="str">
        <f t="shared" si="10"/>
        <v/>
      </c>
      <c r="AJ51" s="48" t="str">
        <f t="shared" si="13"/>
        <v/>
      </c>
      <c r="AK51" s="48" t="str">
        <f t="shared" si="14"/>
        <v/>
      </c>
      <c r="AL51" s="48" t="str">
        <f>IF(W51=0,"",_xlfn.CONCAT(DADOS!$A$8,Y51:AK51,"
"))</f>
        <v/>
      </c>
    </row>
    <row r="52" spans="4:38" s="48" customFormat="1" ht="15" customHeight="1" x14ac:dyDescent="0.25">
      <c r="D52" s="49"/>
      <c r="E52" s="43"/>
      <c r="F52" s="20"/>
      <c r="G52" s="14"/>
      <c r="H52" s="20"/>
      <c r="I52" s="15"/>
      <c r="J52" s="16"/>
      <c r="K52" s="14"/>
      <c r="L52" s="17"/>
      <c r="M52" s="18"/>
      <c r="N52" s="17"/>
      <c r="O52" s="18"/>
      <c r="P52" s="19"/>
      <c r="Q52" s="17"/>
      <c r="R52" s="40"/>
      <c r="S52" s="42">
        <v>38</v>
      </c>
      <c r="T52" s="40"/>
      <c r="V52" s="48" t="str">
        <f t="shared" si="11"/>
        <v/>
      </c>
      <c r="W52" s="48">
        <f t="shared" si="0"/>
        <v>0</v>
      </c>
      <c r="Y52" s="48" t="str">
        <f t="shared" si="1"/>
        <v/>
      </c>
      <c r="Z52" s="48" t="str">
        <f t="shared" si="2"/>
        <v/>
      </c>
      <c r="AA52" s="48" t="str">
        <f t="shared" si="3"/>
        <v/>
      </c>
      <c r="AB52" s="48" t="str">
        <f t="shared" si="12"/>
        <v/>
      </c>
      <c r="AC52" s="48" t="str">
        <f t="shared" si="4"/>
        <v/>
      </c>
      <c r="AD52" s="48" t="str">
        <f t="shared" si="5"/>
        <v/>
      </c>
      <c r="AE52" s="48" t="str">
        <f t="shared" si="6"/>
        <v/>
      </c>
      <c r="AF52" s="48" t="str">
        <f t="shared" si="7"/>
        <v/>
      </c>
      <c r="AG52" s="48" t="str">
        <f t="shared" si="8"/>
        <v/>
      </c>
      <c r="AH52" s="48" t="str">
        <f t="shared" si="9"/>
        <v/>
      </c>
      <c r="AI52" s="48" t="str">
        <f t="shared" si="10"/>
        <v/>
      </c>
      <c r="AJ52" s="48" t="str">
        <f t="shared" si="13"/>
        <v/>
      </c>
      <c r="AK52" s="48" t="str">
        <f t="shared" si="14"/>
        <v/>
      </c>
      <c r="AL52" s="48" t="str">
        <f>IF(W52=0,"",_xlfn.CONCAT(DADOS!$A$8,Y52:AK52,"
"))</f>
        <v/>
      </c>
    </row>
    <row r="53" spans="4:38" s="48" customFormat="1" ht="15" customHeight="1" x14ac:dyDescent="0.25">
      <c r="D53" s="49"/>
      <c r="E53" s="43"/>
      <c r="F53" s="20"/>
      <c r="G53" s="14"/>
      <c r="H53" s="20"/>
      <c r="I53" s="15"/>
      <c r="J53" s="16"/>
      <c r="K53" s="14"/>
      <c r="L53" s="17"/>
      <c r="M53" s="18"/>
      <c r="N53" s="17"/>
      <c r="O53" s="18"/>
      <c r="P53" s="19"/>
      <c r="Q53" s="17"/>
      <c r="R53" s="40"/>
      <c r="S53" s="42">
        <v>39</v>
      </c>
      <c r="T53" s="40"/>
      <c r="V53" s="48" t="str">
        <f t="shared" si="11"/>
        <v/>
      </c>
      <c r="W53" s="48">
        <f t="shared" si="0"/>
        <v>0</v>
      </c>
      <c r="Y53" s="48" t="str">
        <f t="shared" si="1"/>
        <v/>
      </c>
      <c r="Z53" s="48" t="str">
        <f t="shared" si="2"/>
        <v/>
      </c>
      <c r="AA53" s="48" t="str">
        <f t="shared" si="3"/>
        <v/>
      </c>
      <c r="AB53" s="48" t="str">
        <f t="shared" si="12"/>
        <v/>
      </c>
      <c r="AC53" s="48" t="str">
        <f t="shared" si="4"/>
        <v/>
      </c>
      <c r="AD53" s="48" t="str">
        <f t="shared" si="5"/>
        <v/>
      </c>
      <c r="AE53" s="48" t="str">
        <f t="shared" si="6"/>
        <v/>
      </c>
      <c r="AF53" s="48" t="str">
        <f t="shared" si="7"/>
        <v/>
      </c>
      <c r="AG53" s="48" t="str">
        <f t="shared" si="8"/>
        <v/>
      </c>
      <c r="AH53" s="48" t="str">
        <f t="shared" si="9"/>
        <v/>
      </c>
      <c r="AI53" s="48" t="str">
        <f t="shared" si="10"/>
        <v/>
      </c>
      <c r="AJ53" s="48" t="str">
        <f t="shared" si="13"/>
        <v/>
      </c>
      <c r="AK53" s="48" t="str">
        <f t="shared" si="14"/>
        <v/>
      </c>
      <c r="AL53" s="48" t="str">
        <f>IF(W53=0,"",_xlfn.CONCAT(DADOS!$A$8,Y53:AK53,"
"))</f>
        <v/>
      </c>
    </row>
    <row r="54" spans="4:38" s="48" customFormat="1" ht="15" customHeight="1" x14ac:dyDescent="0.25">
      <c r="D54" s="49"/>
      <c r="E54" s="43"/>
      <c r="F54" s="20"/>
      <c r="G54" s="14"/>
      <c r="H54" s="20"/>
      <c r="I54" s="15"/>
      <c r="J54" s="16"/>
      <c r="K54" s="14"/>
      <c r="L54" s="17"/>
      <c r="M54" s="18"/>
      <c r="N54" s="17"/>
      <c r="O54" s="18"/>
      <c r="P54" s="19"/>
      <c r="Q54" s="17"/>
      <c r="R54" s="40"/>
      <c r="S54" s="42">
        <v>40</v>
      </c>
      <c r="T54" s="40"/>
      <c r="V54" s="48" t="str">
        <f t="shared" si="11"/>
        <v/>
      </c>
      <c r="W54" s="48">
        <f t="shared" si="0"/>
        <v>0</v>
      </c>
      <c r="Y54" s="48" t="str">
        <f t="shared" si="1"/>
        <v/>
      </c>
      <c r="Z54" s="48" t="str">
        <f t="shared" si="2"/>
        <v/>
      </c>
      <c r="AA54" s="48" t="str">
        <f t="shared" si="3"/>
        <v/>
      </c>
      <c r="AB54" s="48" t="str">
        <f t="shared" si="12"/>
        <v/>
      </c>
      <c r="AC54" s="48" t="str">
        <f t="shared" si="4"/>
        <v/>
      </c>
      <c r="AD54" s="48" t="str">
        <f t="shared" si="5"/>
        <v/>
      </c>
      <c r="AE54" s="48" t="str">
        <f t="shared" si="6"/>
        <v/>
      </c>
      <c r="AF54" s="48" t="str">
        <f t="shared" si="7"/>
        <v/>
      </c>
      <c r="AG54" s="48" t="str">
        <f t="shared" si="8"/>
        <v/>
      </c>
      <c r="AH54" s="48" t="str">
        <f t="shared" si="9"/>
        <v/>
      </c>
      <c r="AI54" s="48" t="str">
        <f t="shared" si="10"/>
        <v/>
      </c>
      <c r="AJ54" s="48" t="str">
        <f t="shared" si="13"/>
        <v/>
      </c>
      <c r="AK54" s="48" t="str">
        <f t="shared" si="14"/>
        <v/>
      </c>
      <c r="AL54" s="48" t="str">
        <f>IF(W54=0,"",_xlfn.CONCAT(DADOS!$A$8,Y54:AK54,"
"))</f>
        <v/>
      </c>
    </row>
    <row r="55" spans="4:38" s="48" customFormat="1" ht="15" customHeight="1" x14ac:dyDescent="0.25">
      <c r="D55" s="49"/>
      <c r="E55" s="43"/>
      <c r="F55" s="20"/>
      <c r="G55" s="14"/>
      <c r="H55" s="20"/>
      <c r="I55" s="15"/>
      <c r="J55" s="16"/>
      <c r="K55" s="14"/>
      <c r="L55" s="17"/>
      <c r="M55" s="18"/>
      <c r="N55" s="17"/>
      <c r="O55" s="18"/>
      <c r="P55" s="19"/>
      <c r="Q55" s="17"/>
      <c r="R55" s="40"/>
      <c r="S55" s="42">
        <v>41</v>
      </c>
      <c r="T55" s="40"/>
      <c r="V55" s="48" t="str">
        <f t="shared" si="11"/>
        <v/>
      </c>
      <c r="W55" s="48">
        <f t="shared" si="0"/>
        <v>0</v>
      </c>
      <c r="Y55" s="48" t="str">
        <f t="shared" si="1"/>
        <v/>
      </c>
      <c r="Z55" s="48" t="str">
        <f t="shared" si="2"/>
        <v/>
      </c>
      <c r="AA55" s="48" t="str">
        <f t="shared" si="3"/>
        <v/>
      </c>
      <c r="AB55" s="48" t="str">
        <f t="shared" si="12"/>
        <v/>
      </c>
      <c r="AC55" s="48" t="str">
        <f t="shared" si="4"/>
        <v/>
      </c>
      <c r="AD55" s="48" t="str">
        <f t="shared" si="5"/>
        <v/>
      </c>
      <c r="AE55" s="48" t="str">
        <f t="shared" si="6"/>
        <v/>
      </c>
      <c r="AF55" s="48" t="str">
        <f t="shared" si="7"/>
        <v/>
      </c>
      <c r="AG55" s="48" t="str">
        <f t="shared" si="8"/>
        <v/>
      </c>
      <c r="AH55" s="48" t="str">
        <f t="shared" si="9"/>
        <v/>
      </c>
      <c r="AI55" s="48" t="str">
        <f t="shared" si="10"/>
        <v/>
      </c>
      <c r="AJ55" s="48" t="str">
        <f t="shared" si="13"/>
        <v/>
      </c>
      <c r="AK55" s="48" t="str">
        <f t="shared" si="14"/>
        <v/>
      </c>
      <c r="AL55" s="48" t="str">
        <f>IF(W55=0,"",_xlfn.CONCAT(DADOS!$A$8,Y55:AK55,"
"))</f>
        <v/>
      </c>
    </row>
    <row r="56" spans="4:38" s="48" customFormat="1" ht="15" customHeight="1" x14ac:dyDescent="0.25">
      <c r="D56" s="49"/>
      <c r="E56" s="43"/>
      <c r="F56" s="20"/>
      <c r="G56" s="14"/>
      <c r="H56" s="20"/>
      <c r="I56" s="15"/>
      <c r="J56" s="16"/>
      <c r="K56" s="14"/>
      <c r="L56" s="17"/>
      <c r="M56" s="18"/>
      <c r="N56" s="17"/>
      <c r="O56" s="18"/>
      <c r="P56" s="19"/>
      <c r="Q56" s="17"/>
      <c r="R56" s="40"/>
      <c r="S56" s="42">
        <v>42</v>
      </c>
      <c r="T56" s="40"/>
      <c r="V56" s="48" t="str">
        <f t="shared" si="11"/>
        <v/>
      </c>
      <c r="W56" s="48">
        <f t="shared" si="0"/>
        <v>0</v>
      </c>
      <c r="Y56" s="48" t="str">
        <f t="shared" si="1"/>
        <v/>
      </c>
      <c r="Z56" s="48" t="str">
        <f t="shared" si="2"/>
        <v/>
      </c>
      <c r="AA56" s="48" t="str">
        <f t="shared" si="3"/>
        <v/>
      </c>
      <c r="AB56" s="48" t="str">
        <f t="shared" si="12"/>
        <v/>
      </c>
      <c r="AC56" s="48" t="str">
        <f t="shared" si="4"/>
        <v/>
      </c>
      <c r="AD56" s="48" t="str">
        <f t="shared" si="5"/>
        <v/>
      </c>
      <c r="AE56" s="48" t="str">
        <f t="shared" si="6"/>
        <v/>
      </c>
      <c r="AF56" s="48" t="str">
        <f t="shared" si="7"/>
        <v/>
      </c>
      <c r="AG56" s="48" t="str">
        <f t="shared" si="8"/>
        <v/>
      </c>
      <c r="AH56" s="48" t="str">
        <f t="shared" si="9"/>
        <v/>
      </c>
      <c r="AI56" s="48" t="str">
        <f t="shared" si="10"/>
        <v/>
      </c>
      <c r="AJ56" s="48" t="str">
        <f t="shared" si="13"/>
        <v/>
      </c>
      <c r="AK56" s="48" t="str">
        <f t="shared" si="14"/>
        <v/>
      </c>
      <c r="AL56" s="48" t="str">
        <f>IF(W56=0,"",_xlfn.CONCAT(DADOS!$A$8,Y56:AK56,"
"))</f>
        <v/>
      </c>
    </row>
    <row r="57" spans="4:38" s="48" customFormat="1" ht="15" customHeight="1" x14ac:dyDescent="0.25">
      <c r="D57" s="49"/>
      <c r="E57" s="43"/>
      <c r="F57" s="20"/>
      <c r="G57" s="14"/>
      <c r="H57" s="20"/>
      <c r="I57" s="15"/>
      <c r="J57" s="16"/>
      <c r="K57" s="14"/>
      <c r="L57" s="17"/>
      <c r="M57" s="18"/>
      <c r="N57" s="17"/>
      <c r="O57" s="18"/>
      <c r="P57" s="19"/>
      <c r="Q57" s="17"/>
      <c r="R57" s="40"/>
      <c r="S57" s="42">
        <v>43</v>
      </c>
      <c r="T57" s="40"/>
      <c r="V57" s="48" t="str">
        <f t="shared" si="11"/>
        <v/>
      </c>
      <c r="W57" s="48">
        <f t="shared" si="0"/>
        <v>0</v>
      </c>
      <c r="Y57" s="48" t="str">
        <f t="shared" si="1"/>
        <v/>
      </c>
      <c r="Z57" s="48" t="str">
        <f t="shared" si="2"/>
        <v/>
      </c>
      <c r="AA57" s="48" t="str">
        <f t="shared" si="3"/>
        <v/>
      </c>
      <c r="AB57" s="48" t="str">
        <f t="shared" si="12"/>
        <v/>
      </c>
      <c r="AC57" s="48" t="str">
        <f t="shared" si="4"/>
        <v/>
      </c>
      <c r="AD57" s="48" t="str">
        <f t="shared" si="5"/>
        <v/>
      </c>
      <c r="AE57" s="48" t="str">
        <f t="shared" si="6"/>
        <v/>
      </c>
      <c r="AF57" s="48" t="str">
        <f t="shared" si="7"/>
        <v/>
      </c>
      <c r="AG57" s="48" t="str">
        <f t="shared" si="8"/>
        <v/>
      </c>
      <c r="AH57" s="48" t="str">
        <f t="shared" si="9"/>
        <v/>
      </c>
      <c r="AI57" s="48" t="str">
        <f t="shared" si="10"/>
        <v/>
      </c>
      <c r="AJ57" s="48" t="str">
        <f t="shared" si="13"/>
        <v/>
      </c>
      <c r="AK57" s="48" t="str">
        <f t="shared" si="14"/>
        <v/>
      </c>
      <c r="AL57" s="48" t="str">
        <f>IF(W57=0,"",_xlfn.CONCAT(DADOS!$A$8,Y57:AK57,"
"))</f>
        <v/>
      </c>
    </row>
    <row r="58" spans="4:38" s="48" customFormat="1" ht="15" customHeight="1" x14ac:dyDescent="0.25">
      <c r="D58" s="49"/>
      <c r="E58" s="43"/>
      <c r="F58" s="20"/>
      <c r="G58" s="14"/>
      <c r="H58" s="20"/>
      <c r="I58" s="15"/>
      <c r="J58" s="16"/>
      <c r="K58" s="14"/>
      <c r="L58" s="17"/>
      <c r="M58" s="18"/>
      <c r="N58" s="17"/>
      <c r="O58" s="18"/>
      <c r="P58" s="19"/>
      <c r="Q58" s="17"/>
      <c r="R58" s="40"/>
      <c r="S58" s="42">
        <v>44</v>
      </c>
      <c r="T58" s="40"/>
      <c r="V58" s="48" t="str">
        <f t="shared" si="11"/>
        <v/>
      </c>
      <c r="W58" s="48">
        <f t="shared" si="0"/>
        <v>0</v>
      </c>
      <c r="Y58" s="48" t="str">
        <f t="shared" si="1"/>
        <v/>
      </c>
      <c r="Z58" s="48" t="str">
        <f t="shared" si="2"/>
        <v/>
      </c>
      <c r="AA58" s="48" t="str">
        <f t="shared" si="3"/>
        <v/>
      </c>
      <c r="AB58" s="48" t="str">
        <f t="shared" si="12"/>
        <v/>
      </c>
      <c r="AC58" s="48" t="str">
        <f t="shared" si="4"/>
        <v/>
      </c>
      <c r="AD58" s="48" t="str">
        <f t="shared" si="5"/>
        <v/>
      </c>
      <c r="AE58" s="48" t="str">
        <f t="shared" si="6"/>
        <v/>
      </c>
      <c r="AF58" s="48" t="str">
        <f t="shared" si="7"/>
        <v/>
      </c>
      <c r="AG58" s="48" t="str">
        <f t="shared" si="8"/>
        <v/>
      </c>
      <c r="AH58" s="48" t="str">
        <f t="shared" si="9"/>
        <v/>
      </c>
      <c r="AI58" s="48" t="str">
        <f t="shared" si="10"/>
        <v/>
      </c>
      <c r="AJ58" s="48" t="str">
        <f t="shared" si="13"/>
        <v/>
      </c>
      <c r="AK58" s="48" t="str">
        <f t="shared" si="14"/>
        <v/>
      </c>
      <c r="AL58" s="48" t="str">
        <f>IF(W58=0,"",_xlfn.CONCAT(DADOS!$A$8,Y58:AK58,"
"))</f>
        <v/>
      </c>
    </row>
    <row r="59" spans="4:38" s="48" customFormat="1" ht="15" customHeight="1" x14ac:dyDescent="0.25">
      <c r="D59" s="49"/>
      <c r="E59" s="43"/>
      <c r="F59" s="20"/>
      <c r="G59" s="14"/>
      <c r="H59" s="20"/>
      <c r="I59" s="15"/>
      <c r="J59" s="16"/>
      <c r="K59" s="14"/>
      <c r="L59" s="17"/>
      <c r="M59" s="18"/>
      <c r="N59" s="17"/>
      <c r="O59" s="18"/>
      <c r="P59" s="19"/>
      <c r="Q59" s="17"/>
      <c r="R59" s="40"/>
      <c r="S59" s="42">
        <v>45</v>
      </c>
      <c r="T59" s="40"/>
      <c r="V59" s="48" t="str">
        <f t="shared" si="11"/>
        <v/>
      </c>
      <c r="W59" s="48">
        <f t="shared" si="0"/>
        <v>0</v>
      </c>
      <c r="Y59" s="48" t="str">
        <f t="shared" si="1"/>
        <v/>
      </c>
      <c r="Z59" s="48" t="str">
        <f t="shared" si="2"/>
        <v/>
      </c>
      <c r="AA59" s="48" t="str">
        <f t="shared" si="3"/>
        <v/>
      </c>
      <c r="AB59" s="48" t="str">
        <f t="shared" si="12"/>
        <v/>
      </c>
      <c r="AC59" s="48" t="str">
        <f t="shared" si="4"/>
        <v/>
      </c>
      <c r="AD59" s="48" t="str">
        <f t="shared" si="5"/>
        <v/>
      </c>
      <c r="AE59" s="48" t="str">
        <f t="shared" si="6"/>
        <v/>
      </c>
      <c r="AF59" s="48" t="str">
        <f t="shared" si="7"/>
        <v/>
      </c>
      <c r="AG59" s="48" t="str">
        <f t="shared" si="8"/>
        <v/>
      </c>
      <c r="AH59" s="48" t="str">
        <f t="shared" si="9"/>
        <v/>
      </c>
      <c r="AI59" s="48" t="str">
        <f t="shared" si="10"/>
        <v/>
      </c>
      <c r="AJ59" s="48" t="str">
        <f t="shared" si="13"/>
        <v/>
      </c>
      <c r="AK59" s="48" t="str">
        <f t="shared" si="14"/>
        <v/>
      </c>
      <c r="AL59" s="48" t="str">
        <f>IF(W59=0,"",_xlfn.CONCAT(DADOS!$A$8,Y59:AK59,"
"))</f>
        <v/>
      </c>
    </row>
    <row r="60" spans="4:38" s="48" customFormat="1" ht="15" customHeight="1" x14ac:dyDescent="0.25">
      <c r="D60" s="49"/>
      <c r="E60" s="43"/>
      <c r="F60" s="20"/>
      <c r="G60" s="14"/>
      <c r="H60" s="20"/>
      <c r="I60" s="15"/>
      <c r="J60" s="16"/>
      <c r="K60" s="14"/>
      <c r="L60" s="17"/>
      <c r="M60" s="18"/>
      <c r="N60" s="17"/>
      <c r="O60" s="18"/>
      <c r="P60" s="19"/>
      <c r="Q60" s="17"/>
      <c r="R60" s="40"/>
      <c r="S60" s="42">
        <v>46</v>
      </c>
      <c r="T60" s="40"/>
      <c r="V60" s="48" t="str">
        <f t="shared" si="11"/>
        <v/>
      </c>
      <c r="W60" s="48">
        <f t="shared" si="0"/>
        <v>0</v>
      </c>
      <c r="Y60" s="48" t="str">
        <f t="shared" si="1"/>
        <v/>
      </c>
      <c r="Z60" s="48" t="str">
        <f t="shared" si="2"/>
        <v/>
      </c>
      <c r="AA60" s="48" t="str">
        <f t="shared" si="3"/>
        <v/>
      </c>
      <c r="AB60" s="48" t="str">
        <f t="shared" si="12"/>
        <v/>
      </c>
      <c r="AC60" s="48" t="str">
        <f t="shared" si="4"/>
        <v/>
      </c>
      <c r="AD60" s="48" t="str">
        <f t="shared" si="5"/>
        <v/>
      </c>
      <c r="AE60" s="48" t="str">
        <f t="shared" si="6"/>
        <v/>
      </c>
      <c r="AF60" s="48" t="str">
        <f t="shared" si="7"/>
        <v/>
      </c>
      <c r="AG60" s="48" t="str">
        <f t="shared" si="8"/>
        <v/>
      </c>
      <c r="AH60" s="48" t="str">
        <f t="shared" si="9"/>
        <v/>
      </c>
      <c r="AI60" s="48" t="str">
        <f t="shared" si="10"/>
        <v/>
      </c>
      <c r="AJ60" s="48" t="str">
        <f t="shared" si="13"/>
        <v/>
      </c>
      <c r="AK60" s="48" t="str">
        <f t="shared" si="14"/>
        <v/>
      </c>
      <c r="AL60" s="48" t="str">
        <f>IF(W60=0,"",_xlfn.CONCAT(DADOS!$A$8,Y60:AK60,"
"))</f>
        <v/>
      </c>
    </row>
    <row r="61" spans="4:38" s="48" customFormat="1" ht="15" customHeight="1" x14ac:dyDescent="0.25">
      <c r="D61" s="49"/>
      <c r="E61" s="43"/>
      <c r="F61" s="20"/>
      <c r="G61" s="14"/>
      <c r="H61" s="20"/>
      <c r="I61" s="15"/>
      <c r="J61" s="16"/>
      <c r="K61" s="14"/>
      <c r="L61" s="17"/>
      <c r="M61" s="18"/>
      <c r="N61" s="17"/>
      <c r="O61" s="18"/>
      <c r="P61" s="19"/>
      <c r="Q61" s="17"/>
      <c r="R61" s="40"/>
      <c r="S61" s="42">
        <v>47</v>
      </c>
      <c r="T61" s="40"/>
      <c r="V61" s="48" t="str">
        <f t="shared" si="11"/>
        <v/>
      </c>
      <c r="W61" s="48">
        <f t="shared" si="0"/>
        <v>0</v>
      </c>
      <c r="Y61" s="48" t="str">
        <f t="shared" si="1"/>
        <v/>
      </c>
      <c r="Z61" s="48" t="str">
        <f t="shared" si="2"/>
        <v/>
      </c>
      <c r="AA61" s="48" t="str">
        <f t="shared" si="3"/>
        <v/>
      </c>
      <c r="AB61" s="48" t="str">
        <f t="shared" si="12"/>
        <v/>
      </c>
      <c r="AC61" s="48" t="str">
        <f t="shared" si="4"/>
        <v/>
      </c>
      <c r="AD61" s="48" t="str">
        <f t="shared" si="5"/>
        <v/>
      </c>
      <c r="AE61" s="48" t="str">
        <f t="shared" si="6"/>
        <v/>
      </c>
      <c r="AF61" s="48" t="str">
        <f t="shared" si="7"/>
        <v/>
      </c>
      <c r="AG61" s="48" t="str">
        <f t="shared" si="8"/>
        <v/>
      </c>
      <c r="AH61" s="48" t="str">
        <f t="shared" si="9"/>
        <v/>
      </c>
      <c r="AI61" s="48" t="str">
        <f t="shared" si="10"/>
        <v/>
      </c>
      <c r="AJ61" s="48" t="str">
        <f t="shared" si="13"/>
        <v/>
      </c>
      <c r="AK61" s="48" t="str">
        <f t="shared" si="14"/>
        <v/>
      </c>
      <c r="AL61" s="48" t="str">
        <f>IF(W61=0,"",_xlfn.CONCAT(DADOS!$A$8,Y61:AK61,"
"))</f>
        <v/>
      </c>
    </row>
    <row r="62" spans="4:38" s="48" customFormat="1" ht="15" customHeight="1" x14ac:dyDescent="0.25">
      <c r="D62" s="49"/>
      <c r="E62" s="43"/>
      <c r="F62" s="20"/>
      <c r="G62" s="14"/>
      <c r="H62" s="20"/>
      <c r="I62" s="15"/>
      <c r="J62" s="16"/>
      <c r="K62" s="14"/>
      <c r="L62" s="17"/>
      <c r="M62" s="18"/>
      <c r="N62" s="17"/>
      <c r="O62" s="18"/>
      <c r="P62" s="19"/>
      <c r="Q62" s="17"/>
      <c r="R62" s="40"/>
      <c r="S62" s="42">
        <v>48</v>
      </c>
      <c r="T62" s="40"/>
      <c r="V62" s="48" t="str">
        <f t="shared" si="11"/>
        <v/>
      </c>
      <c r="W62" s="48">
        <f t="shared" si="0"/>
        <v>0</v>
      </c>
      <c r="Y62" s="48" t="str">
        <f t="shared" si="1"/>
        <v/>
      </c>
      <c r="Z62" s="48" t="str">
        <f t="shared" si="2"/>
        <v/>
      </c>
      <c r="AA62" s="48" t="str">
        <f t="shared" si="3"/>
        <v/>
      </c>
      <c r="AB62" s="48" t="str">
        <f t="shared" si="12"/>
        <v/>
      </c>
      <c r="AC62" s="48" t="str">
        <f t="shared" si="4"/>
        <v/>
      </c>
      <c r="AD62" s="48" t="str">
        <f t="shared" si="5"/>
        <v/>
      </c>
      <c r="AE62" s="48" t="str">
        <f t="shared" si="6"/>
        <v/>
      </c>
      <c r="AF62" s="48" t="str">
        <f t="shared" si="7"/>
        <v/>
      </c>
      <c r="AG62" s="48" t="str">
        <f t="shared" si="8"/>
        <v/>
      </c>
      <c r="AH62" s="48" t="str">
        <f t="shared" si="9"/>
        <v/>
      </c>
      <c r="AI62" s="48" t="str">
        <f t="shared" si="10"/>
        <v/>
      </c>
      <c r="AJ62" s="48" t="str">
        <f t="shared" si="13"/>
        <v/>
      </c>
      <c r="AK62" s="48" t="str">
        <f t="shared" si="14"/>
        <v/>
      </c>
      <c r="AL62" s="48" t="str">
        <f>IF(W62=0,"",_xlfn.CONCAT(DADOS!$A$8,Y62:AK62,"
"))</f>
        <v/>
      </c>
    </row>
    <row r="63" spans="4:38" s="48" customFormat="1" ht="15" customHeight="1" x14ac:dyDescent="0.25">
      <c r="D63" s="49"/>
      <c r="E63" s="43"/>
      <c r="F63" s="20"/>
      <c r="G63" s="14"/>
      <c r="H63" s="20"/>
      <c r="I63" s="15"/>
      <c r="J63" s="16"/>
      <c r="K63" s="14"/>
      <c r="L63" s="17"/>
      <c r="M63" s="18"/>
      <c r="N63" s="17"/>
      <c r="O63" s="18"/>
      <c r="P63" s="19"/>
      <c r="Q63" s="17"/>
      <c r="R63" s="40"/>
      <c r="S63" s="42">
        <v>49</v>
      </c>
      <c r="T63" s="40"/>
      <c r="V63" s="48" t="str">
        <f t="shared" si="11"/>
        <v/>
      </c>
      <c r="W63" s="48">
        <f t="shared" si="0"/>
        <v>0</v>
      </c>
      <c r="Y63" s="48" t="str">
        <f t="shared" si="1"/>
        <v/>
      </c>
      <c r="Z63" s="48" t="str">
        <f t="shared" si="2"/>
        <v/>
      </c>
      <c r="AA63" s="48" t="str">
        <f t="shared" si="3"/>
        <v/>
      </c>
      <c r="AB63" s="48" t="str">
        <f t="shared" si="12"/>
        <v/>
      </c>
      <c r="AC63" s="48" t="str">
        <f t="shared" si="4"/>
        <v/>
      </c>
      <c r="AD63" s="48" t="str">
        <f t="shared" si="5"/>
        <v/>
      </c>
      <c r="AE63" s="48" t="str">
        <f t="shared" si="6"/>
        <v/>
      </c>
      <c r="AF63" s="48" t="str">
        <f t="shared" si="7"/>
        <v/>
      </c>
      <c r="AG63" s="48" t="str">
        <f t="shared" si="8"/>
        <v/>
      </c>
      <c r="AH63" s="48" t="str">
        <f t="shared" si="9"/>
        <v/>
      </c>
      <c r="AI63" s="48" t="str">
        <f t="shared" si="10"/>
        <v/>
      </c>
      <c r="AJ63" s="48" t="str">
        <f t="shared" si="13"/>
        <v/>
      </c>
      <c r="AK63" s="48" t="str">
        <f t="shared" si="14"/>
        <v/>
      </c>
      <c r="AL63" s="48" t="str">
        <f>IF(W63=0,"",_xlfn.CONCAT(DADOS!$A$8,Y63:AK63,"
"))</f>
        <v/>
      </c>
    </row>
    <row r="64" spans="4:38" s="48" customFormat="1" ht="15" customHeight="1" x14ac:dyDescent="0.25">
      <c r="D64" s="49"/>
      <c r="E64" s="43"/>
      <c r="F64" s="20"/>
      <c r="G64" s="14"/>
      <c r="H64" s="20"/>
      <c r="I64" s="15"/>
      <c r="J64" s="16"/>
      <c r="K64" s="14"/>
      <c r="L64" s="17"/>
      <c r="M64" s="18"/>
      <c r="N64" s="17"/>
      <c r="O64" s="18"/>
      <c r="P64" s="19"/>
      <c r="Q64" s="17"/>
      <c r="R64" s="40"/>
      <c r="S64" s="42">
        <v>50</v>
      </c>
      <c r="T64" s="40"/>
      <c r="V64" s="48" t="str">
        <f t="shared" si="11"/>
        <v/>
      </c>
      <c r="W64" s="48">
        <f t="shared" si="0"/>
        <v>0</v>
      </c>
      <c r="Y64" s="48" t="str">
        <f t="shared" si="1"/>
        <v/>
      </c>
      <c r="Z64" s="48" t="str">
        <f t="shared" si="2"/>
        <v/>
      </c>
      <c r="AA64" s="48" t="str">
        <f t="shared" si="3"/>
        <v/>
      </c>
      <c r="AB64" s="48" t="str">
        <f t="shared" si="12"/>
        <v/>
      </c>
      <c r="AC64" s="48" t="str">
        <f t="shared" si="4"/>
        <v/>
      </c>
      <c r="AD64" s="48" t="str">
        <f t="shared" si="5"/>
        <v/>
      </c>
      <c r="AE64" s="48" t="str">
        <f t="shared" si="6"/>
        <v/>
      </c>
      <c r="AF64" s="48" t="str">
        <f t="shared" si="7"/>
        <v/>
      </c>
      <c r="AG64" s="48" t="str">
        <f t="shared" si="8"/>
        <v/>
      </c>
      <c r="AH64" s="48" t="str">
        <f t="shared" si="9"/>
        <v/>
      </c>
      <c r="AI64" s="48" t="str">
        <f t="shared" si="10"/>
        <v/>
      </c>
      <c r="AJ64" s="48" t="str">
        <f t="shared" si="13"/>
        <v/>
      </c>
      <c r="AK64" s="48" t="str">
        <f t="shared" si="14"/>
        <v/>
      </c>
      <c r="AL64" s="48" t="str">
        <f>IF(W64=0,"",_xlfn.CONCAT(DADOS!$A$8,Y64:AK64,"
"))</f>
        <v/>
      </c>
    </row>
    <row r="65" spans="4:38" s="48" customFormat="1" ht="15" customHeight="1" x14ac:dyDescent="0.25">
      <c r="D65" s="49"/>
      <c r="E65" s="43"/>
      <c r="F65" s="20"/>
      <c r="G65" s="14"/>
      <c r="H65" s="20"/>
      <c r="I65" s="15"/>
      <c r="J65" s="16"/>
      <c r="K65" s="14"/>
      <c r="L65" s="17"/>
      <c r="M65" s="18"/>
      <c r="N65" s="17"/>
      <c r="O65" s="18"/>
      <c r="P65" s="19"/>
      <c r="Q65" s="17"/>
      <c r="R65" s="40"/>
      <c r="S65" s="42">
        <v>51</v>
      </c>
      <c r="T65" s="40"/>
      <c r="V65" s="48" t="str">
        <f t="shared" si="11"/>
        <v/>
      </c>
      <c r="W65" s="48">
        <f t="shared" si="0"/>
        <v>0</v>
      </c>
      <c r="Y65" s="48" t="str">
        <f t="shared" si="1"/>
        <v/>
      </c>
      <c r="Z65" s="48" t="str">
        <f t="shared" si="2"/>
        <v/>
      </c>
      <c r="AA65" s="48" t="str">
        <f t="shared" si="3"/>
        <v/>
      </c>
      <c r="AB65" s="48" t="str">
        <f t="shared" si="12"/>
        <v/>
      </c>
      <c r="AC65" s="48" t="str">
        <f t="shared" si="4"/>
        <v/>
      </c>
      <c r="AD65" s="48" t="str">
        <f t="shared" si="5"/>
        <v/>
      </c>
      <c r="AE65" s="48" t="str">
        <f t="shared" si="6"/>
        <v/>
      </c>
      <c r="AF65" s="48" t="str">
        <f t="shared" si="7"/>
        <v/>
      </c>
      <c r="AG65" s="48" t="str">
        <f t="shared" si="8"/>
        <v/>
      </c>
      <c r="AH65" s="48" t="str">
        <f t="shared" si="9"/>
        <v/>
      </c>
      <c r="AI65" s="48" t="str">
        <f t="shared" si="10"/>
        <v/>
      </c>
      <c r="AJ65" s="48" t="str">
        <f t="shared" si="13"/>
        <v/>
      </c>
      <c r="AK65" s="48" t="str">
        <f t="shared" si="14"/>
        <v/>
      </c>
      <c r="AL65" s="48" t="str">
        <f>IF(W65=0,"",_xlfn.CONCAT(DADOS!$A$8,Y65:AK65,"
"))</f>
        <v/>
      </c>
    </row>
    <row r="66" spans="4:38" s="48" customFormat="1" ht="15" customHeight="1" x14ac:dyDescent="0.25">
      <c r="D66" s="49"/>
      <c r="E66" s="43"/>
      <c r="F66" s="20"/>
      <c r="G66" s="14"/>
      <c r="H66" s="20"/>
      <c r="I66" s="15"/>
      <c r="J66" s="16"/>
      <c r="K66" s="14"/>
      <c r="L66" s="17"/>
      <c r="M66" s="18"/>
      <c r="N66" s="17"/>
      <c r="O66" s="18"/>
      <c r="P66" s="19"/>
      <c r="Q66" s="17"/>
      <c r="R66" s="40"/>
      <c r="S66" s="42">
        <v>52</v>
      </c>
      <c r="T66" s="40"/>
      <c r="V66" s="48" t="str">
        <f t="shared" si="11"/>
        <v/>
      </c>
      <c r="W66" s="48">
        <f t="shared" si="0"/>
        <v>0</v>
      </c>
      <c r="Y66" s="48" t="str">
        <f t="shared" si="1"/>
        <v/>
      </c>
      <c r="Z66" s="48" t="str">
        <f t="shared" si="2"/>
        <v/>
      </c>
      <c r="AA66" s="48" t="str">
        <f t="shared" si="3"/>
        <v/>
      </c>
      <c r="AB66" s="48" t="str">
        <f t="shared" si="12"/>
        <v/>
      </c>
      <c r="AC66" s="48" t="str">
        <f t="shared" si="4"/>
        <v/>
      </c>
      <c r="AD66" s="48" t="str">
        <f t="shared" si="5"/>
        <v/>
      </c>
      <c r="AE66" s="48" t="str">
        <f t="shared" si="6"/>
        <v/>
      </c>
      <c r="AF66" s="48" t="str">
        <f t="shared" si="7"/>
        <v/>
      </c>
      <c r="AG66" s="48" t="str">
        <f t="shared" si="8"/>
        <v/>
      </c>
      <c r="AH66" s="48" t="str">
        <f t="shared" si="9"/>
        <v/>
      </c>
      <c r="AI66" s="48" t="str">
        <f t="shared" si="10"/>
        <v/>
      </c>
      <c r="AJ66" s="48" t="str">
        <f t="shared" si="13"/>
        <v/>
      </c>
      <c r="AK66" s="48" t="str">
        <f t="shared" si="14"/>
        <v/>
      </c>
      <c r="AL66" s="48" t="str">
        <f>IF(W66=0,"",_xlfn.CONCAT(DADOS!$A$8,Y66:AK66,"
"))</f>
        <v/>
      </c>
    </row>
    <row r="67" spans="4:38" s="48" customFormat="1" ht="15" customHeight="1" x14ac:dyDescent="0.25">
      <c r="D67" s="49"/>
      <c r="E67" s="43"/>
      <c r="F67" s="20"/>
      <c r="G67" s="14"/>
      <c r="H67" s="20"/>
      <c r="I67" s="15"/>
      <c r="J67" s="16"/>
      <c r="K67" s="14"/>
      <c r="L67" s="17"/>
      <c r="M67" s="18"/>
      <c r="N67" s="17"/>
      <c r="O67" s="18"/>
      <c r="P67" s="19"/>
      <c r="Q67" s="17"/>
      <c r="R67" s="40"/>
      <c r="S67" s="42">
        <v>53</v>
      </c>
      <c r="T67" s="40"/>
      <c r="V67" s="48" t="str">
        <f t="shared" si="11"/>
        <v/>
      </c>
      <c r="W67" s="48">
        <f t="shared" si="0"/>
        <v>0</v>
      </c>
      <c r="Y67" s="48" t="str">
        <f t="shared" si="1"/>
        <v/>
      </c>
      <c r="Z67" s="48" t="str">
        <f t="shared" si="2"/>
        <v/>
      </c>
      <c r="AA67" s="48" t="str">
        <f t="shared" si="3"/>
        <v/>
      </c>
      <c r="AB67" s="48" t="str">
        <f t="shared" si="12"/>
        <v/>
      </c>
      <c r="AC67" s="48" t="str">
        <f t="shared" si="4"/>
        <v/>
      </c>
      <c r="AD67" s="48" t="str">
        <f t="shared" si="5"/>
        <v/>
      </c>
      <c r="AE67" s="48" t="str">
        <f t="shared" si="6"/>
        <v/>
      </c>
      <c r="AF67" s="48" t="str">
        <f t="shared" si="7"/>
        <v/>
      </c>
      <c r="AG67" s="48" t="str">
        <f t="shared" si="8"/>
        <v/>
      </c>
      <c r="AH67" s="48" t="str">
        <f t="shared" si="9"/>
        <v/>
      </c>
      <c r="AI67" s="48" t="str">
        <f t="shared" si="10"/>
        <v/>
      </c>
      <c r="AJ67" s="48" t="str">
        <f t="shared" si="13"/>
        <v/>
      </c>
      <c r="AK67" s="48" t="str">
        <f t="shared" si="14"/>
        <v/>
      </c>
      <c r="AL67" s="48" t="str">
        <f>IF(W67=0,"",_xlfn.CONCAT(DADOS!$A$8,Y67:AK67,"
"))</f>
        <v/>
      </c>
    </row>
    <row r="68" spans="4:38" s="48" customFormat="1" ht="15" customHeight="1" x14ac:dyDescent="0.25">
      <c r="D68" s="49"/>
      <c r="E68" s="43"/>
      <c r="F68" s="20"/>
      <c r="G68" s="14"/>
      <c r="H68" s="20"/>
      <c r="I68" s="15"/>
      <c r="J68" s="16"/>
      <c r="K68" s="14"/>
      <c r="L68" s="17"/>
      <c r="M68" s="18"/>
      <c r="N68" s="17"/>
      <c r="O68" s="18"/>
      <c r="P68" s="19"/>
      <c r="Q68" s="17"/>
      <c r="R68" s="40"/>
      <c r="S68" s="42">
        <v>54</v>
      </c>
      <c r="T68" s="40"/>
      <c r="V68" s="48" t="str">
        <f t="shared" si="11"/>
        <v/>
      </c>
      <c r="W68" s="48">
        <f t="shared" si="0"/>
        <v>0</v>
      </c>
      <c r="Y68" s="48" t="str">
        <f t="shared" si="1"/>
        <v/>
      </c>
      <c r="Z68" s="48" t="str">
        <f t="shared" si="2"/>
        <v/>
      </c>
      <c r="AA68" s="48" t="str">
        <f t="shared" si="3"/>
        <v/>
      </c>
      <c r="AB68" s="48" t="str">
        <f t="shared" si="12"/>
        <v/>
      </c>
      <c r="AC68" s="48" t="str">
        <f t="shared" si="4"/>
        <v/>
      </c>
      <c r="AD68" s="48" t="str">
        <f t="shared" si="5"/>
        <v/>
      </c>
      <c r="AE68" s="48" t="str">
        <f t="shared" si="6"/>
        <v/>
      </c>
      <c r="AF68" s="48" t="str">
        <f t="shared" si="7"/>
        <v/>
      </c>
      <c r="AG68" s="48" t="str">
        <f t="shared" si="8"/>
        <v/>
      </c>
      <c r="AH68" s="48" t="str">
        <f t="shared" si="9"/>
        <v/>
      </c>
      <c r="AI68" s="48" t="str">
        <f t="shared" si="10"/>
        <v/>
      </c>
      <c r="AJ68" s="48" t="str">
        <f t="shared" si="13"/>
        <v/>
      </c>
      <c r="AK68" s="48" t="str">
        <f t="shared" si="14"/>
        <v/>
      </c>
      <c r="AL68" s="48" t="str">
        <f>IF(W68=0,"",_xlfn.CONCAT(DADOS!$A$8,Y68:AK68,"
"))</f>
        <v/>
      </c>
    </row>
    <row r="69" spans="4:38" s="48" customFormat="1" ht="15" customHeight="1" x14ac:dyDescent="0.25">
      <c r="D69" s="49"/>
      <c r="E69" s="43"/>
      <c r="F69" s="20"/>
      <c r="G69" s="14"/>
      <c r="H69" s="20"/>
      <c r="I69" s="15"/>
      <c r="J69" s="16"/>
      <c r="K69" s="14"/>
      <c r="L69" s="17"/>
      <c r="M69" s="18"/>
      <c r="N69" s="17"/>
      <c r="O69" s="18"/>
      <c r="P69" s="19"/>
      <c r="Q69" s="17"/>
      <c r="R69" s="40"/>
      <c r="S69" s="42">
        <v>55</v>
      </c>
      <c r="T69" s="40"/>
      <c r="V69" s="48" t="str">
        <f t="shared" si="11"/>
        <v/>
      </c>
      <c r="W69" s="48">
        <f t="shared" si="0"/>
        <v>0</v>
      </c>
      <c r="Y69" s="48" t="str">
        <f t="shared" si="1"/>
        <v/>
      </c>
      <c r="Z69" s="48" t="str">
        <f t="shared" si="2"/>
        <v/>
      </c>
      <c r="AA69" s="48" t="str">
        <f t="shared" si="3"/>
        <v/>
      </c>
      <c r="AB69" s="48" t="str">
        <f t="shared" si="12"/>
        <v/>
      </c>
      <c r="AC69" s="48" t="str">
        <f t="shared" si="4"/>
        <v/>
      </c>
      <c r="AD69" s="48" t="str">
        <f t="shared" si="5"/>
        <v/>
      </c>
      <c r="AE69" s="48" t="str">
        <f t="shared" si="6"/>
        <v/>
      </c>
      <c r="AF69" s="48" t="str">
        <f t="shared" si="7"/>
        <v/>
      </c>
      <c r="AG69" s="48" t="str">
        <f t="shared" si="8"/>
        <v/>
      </c>
      <c r="AH69" s="48" t="str">
        <f t="shared" si="9"/>
        <v/>
      </c>
      <c r="AI69" s="48" t="str">
        <f t="shared" si="10"/>
        <v/>
      </c>
      <c r="AJ69" s="48" t="str">
        <f t="shared" si="13"/>
        <v/>
      </c>
      <c r="AK69" s="48" t="str">
        <f t="shared" si="14"/>
        <v/>
      </c>
      <c r="AL69" s="48" t="str">
        <f>IF(W69=0,"",_xlfn.CONCAT(DADOS!$A$8,Y69:AK69,"
"))</f>
        <v/>
      </c>
    </row>
    <row r="70" spans="4:38" s="48" customFormat="1" ht="15" customHeight="1" x14ac:dyDescent="0.25">
      <c r="D70" s="49"/>
      <c r="E70" s="43"/>
      <c r="F70" s="20"/>
      <c r="G70" s="14"/>
      <c r="H70" s="20"/>
      <c r="I70" s="15"/>
      <c r="J70" s="16"/>
      <c r="K70" s="14"/>
      <c r="L70" s="17"/>
      <c r="M70" s="18"/>
      <c r="N70" s="17"/>
      <c r="O70" s="18"/>
      <c r="P70" s="19"/>
      <c r="Q70" s="17"/>
      <c r="R70" s="40"/>
      <c r="S70" s="42">
        <v>56</v>
      </c>
      <c r="T70" s="40"/>
      <c r="V70" s="48" t="str">
        <f t="shared" si="11"/>
        <v/>
      </c>
      <c r="W70" s="48">
        <f t="shared" si="0"/>
        <v>0</v>
      </c>
      <c r="Y70" s="48" t="str">
        <f t="shared" si="1"/>
        <v/>
      </c>
      <c r="Z70" s="48" t="str">
        <f t="shared" si="2"/>
        <v/>
      </c>
      <c r="AA70" s="48" t="str">
        <f t="shared" si="3"/>
        <v/>
      </c>
      <c r="AB70" s="48" t="str">
        <f t="shared" si="12"/>
        <v/>
      </c>
      <c r="AC70" s="48" t="str">
        <f t="shared" si="4"/>
        <v/>
      </c>
      <c r="AD70" s="48" t="str">
        <f t="shared" si="5"/>
        <v/>
      </c>
      <c r="AE70" s="48" t="str">
        <f t="shared" si="6"/>
        <v/>
      </c>
      <c r="AF70" s="48" t="str">
        <f t="shared" si="7"/>
        <v/>
      </c>
      <c r="AG70" s="48" t="str">
        <f t="shared" si="8"/>
        <v/>
      </c>
      <c r="AH70" s="48" t="str">
        <f t="shared" si="9"/>
        <v/>
      </c>
      <c r="AI70" s="48" t="str">
        <f t="shared" si="10"/>
        <v/>
      </c>
      <c r="AJ70" s="48" t="str">
        <f t="shared" si="13"/>
        <v/>
      </c>
      <c r="AK70" s="48" t="str">
        <f t="shared" si="14"/>
        <v/>
      </c>
      <c r="AL70" s="48" t="str">
        <f>IF(W70=0,"",_xlfn.CONCAT(DADOS!$A$8,Y70:AK70,"
"))</f>
        <v/>
      </c>
    </row>
    <row r="71" spans="4:38" s="48" customFormat="1" ht="15" customHeight="1" x14ac:dyDescent="0.25">
      <c r="D71" s="49"/>
      <c r="E71" s="43"/>
      <c r="F71" s="20"/>
      <c r="G71" s="14"/>
      <c r="H71" s="20"/>
      <c r="I71" s="15"/>
      <c r="J71" s="16"/>
      <c r="K71" s="14"/>
      <c r="L71" s="17"/>
      <c r="M71" s="18"/>
      <c r="N71" s="17"/>
      <c r="O71" s="18"/>
      <c r="P71" s="19"/>
      <c r="Q71" s="17"/>
      <c r="R71" s="40"/>
      <c r="S71" s="42">
        <v>57</v>
      </c>
      <c r="T71" s="40"/>
      <c r="V71" s="48" t="str">
        <f t="shared" si="11"/>
        <v/>
      </c>
      <c r="W71" s="48">
        <f t="shared" si="0"/>
        <v>0</v>
      </c>
      <c r="Y71" s="48" t="str">
        <f t="shared" si="1"/>
        <v/>
      </c>
      <c r="Z71" s="48" t="str">
        <f t="shared" si="2"/>
        <v/>
      </c>
      <c r="AA71" s="48" t="str">
        <f t="shared" si="3"/>
        <v/>
      </c>
      <c r="AB71" s="48" t="str">
        <f t="shared" si="12"/>
        <v/>
      </c>
      <c r="AC71" s="48" t="str">
        <f t="shared" si="4"/>
        <v/>
      </c>
      <c r="AD71" s="48" t="str">
        <f t="shared" si="5"/>
        <v/>
      </c>
      <c r="AE71" s="48" t="str">
        <f t="shared" si="6"/>
        <v/>
      </c>
      <c r="AF71" s="48" t="str">
        <f t="shared" si="7"/>
        <v/>
      </c>
      <c r="AG71" s="48" t="str">
        <f t="shared" si="8"/>
        <v/>
      </c>
      <c r="AH71" s="48" t="str">
        <f t="shared" si="9"/>
        <v/>
      </c>
      <c r="AI71" s="48" t="str">
        <f t="shared" si="10"/>
        <v/>
      </c>
      <c r="AJ71" s="48" t="str">
        <f t="shared" si="13"/>
        <v/>
      </c>
      <c r="AK71" s="48" t="str">
        <f t="shared" si="14"/>
        <v/>
      </c>
      <c r="AL71" s="48" t="str">
        <f>IF(W71=0,"",_xlfn.CONCAT(DADOS!$A$8,Y71:AK71,"
"))</f>
        <v/>
      </c>
    </row>
    <row r="72" spans="4:38" s="48" customFormat="1" ht="15" customHeight="1" x14ac:dyDescent="0.25">
      <c r="D72" s="49"/>
      <c r="E72" s="43"/>
      <c r="F72" s="20"/>
      <c r="G72" s="14"/>
      <c r="H72" s="20"/>
      <c r="I72" s="15"/>
      <c r="J72" s="16"/>
      <c r="K72" s="14"/>
      <c r="L72" s="17"/>
      <c r="M72" s="18"/>
      <c r="N72" s="17"/>
      <c r="O72" s="18"/>
      <c r="P72" s="19"/>
      <c r="Q72" s="17"/>
      <c r="R72" s="40"/>
      <c r="S72" s="42">
        <v>58</v>
      </c>
      <c r="T72" s="40"/>
      <c r="V72" s="48" t="str">
        <f t="shared" si="11"/>
        <v/>
      </c>
      <c r="W72" s="48">
        <f t="shared" si="0"/>
        <v>0</v>
      </c>
      <c r="Y72" s="48" t="str">
        <f t="shared" si="1"/>
        <v/>
      </c>
      <c r="Z72" s="48" t="str">
        <f t="shared" si="2"/>
        <v/>
      </c>
      <c r="AA72" s="48" t="str">
        <f t="shared" si="3"/>
        <v/>
      </c>
      <c r="AB72" s="48" t="str">
        <f t="shared" si="12"/>
        <v/>
      </c>
      <c r="AC72" s="48" t="str">
        <f t="shared" si="4"/>
        <v/>
      </c>
      <c r="AD72" s="48" t="str">
        <f t="shared" si="5"/>
        <v/>
      </c>
      <c r="AE72" s="48" t="str">
        <f t="shared" si="6"/>
        <v/>
      </c>
      <c r="AF72" s="48" t="str">
        <f t="shared" si="7"/>
        <v/>
      </c>
      <c r="AG72" s="48" t="str">
        <f t="shared" si="8"/>
        <v/>
      </c>
      <c r="AH72" s="48" t="str">
        <f t="shared" si="9"/>
        <v/>
      </c>
      <c r="AI72" s="48" t="str">
        <f t="shared" si="10"/>
        <v/>
      </c>
      <c r="AJ72" s="48" t="str">
        <f t="shared" si="13"/>
        <v/>
      </c>
      <c r="AK72" s="48" t="str">
        <f t="shared" si="14"/>
        <v/>
      </c>
      <c r="AL72" s="48" t="str">
        <f>IF(W72=0,"",_xlfn.CONCAT(DADOS!$A$8,Y72:AK72,"
"))</f>
        <v/>
      </c>
    </row>
    <row r="73" spans="4:38" s="48" customFormat="1" ht="15" customHeight="1" x14ac:dyDescent="0.25">
      <c r="D73" s="49"/>
      <c r="E73" s="43"/>
      <c r="F73" s="20"/>
      <c r="G73" s="14"/>
      <c r="H73" s="20"/>
      <c r="I73" s="15"/>
      <c r="J73" s="16"/>
      <c r="K73" s="14"/>
      <c r="L73" s="17"/>
      <c r="M73" s="18"/>
      <c r="N73" s="17"/>
      <c r="O73" s="18"/>
      <c r="P73" s="19"/>
      <c r="Q73" s="17"/>
      <c r="R73" s="40"/>
      <c r="S73" s="42">
        <v>59</v>
      </c>
      <c r="T73" s="40"/>
      <c r="V73" s="48" t="str">
        <f t="shared" si="11"/>
        <v/>
      </c>
      <c r="W73" s="48">
        <f t="shared" si="0"/>
        <v>0</v>
      </c>
      <c r="Y73" s="48" t="str">
        <f t="shared" si="1"/>
        <v/>
      </c>
      <c r="Z73" s="48" t="str">
        <f t="shared" si="2"/>
        <v/>
      </c>
      <c r="AA73" s="48" t="str">
        <f t="shared" si="3"/>
        <v/>
      </c>
      <c r="AB73" s="48" t="str">
        <f t="shared" si="12"/>
        <v/>
      </c>
      <c r="AC73" s="48" t="str">
        <f t="shared" si="4"/>
        <v/>
      </c>
      <c r="AD73" s="48" t="str">
        <f t="shared" si="5"/>
        <v/>
      </c>
      <c r="AE73" s="48" t="str">
        <f t="shared" si="6"/>
        <v/>
      </c>
      <c r="AF73" s="48" t="str">
        <f t="shared" si="7"/>
        <v/>
      </c>
      <c r="AG73" s="48" t="str">
        <f t="shared" si="8"/>
        <v/>
      </c>
      <c r="AH73" s="48" t="str">
        <f t="shared" si="9"/>
        <v/>
      </c>
      <c r="AI73" s="48" t="str">
        <f t="shared" si="10"/>
        <v/>
      </c>
      <c r="AJ73" s="48" t="str">
        <f t="shared" si="13"/>
        <v/>
      </c>
      <c r="AK73" s="48" t="str">
        <f t="shared" si="14"/>
        <v/>
      </c>
      <c r="AL73" s="48" t="str">
        <f>IF(W73=0,"",_xlfn.CONCAT(DADOS!$A$8,Y73:AK73,"
"))</f>
        <v/>
      </c>
    </row>
    <row r="74" spans="4:38" s="48" customFormat="1" ht="15" customHeight="1" x14ac:dyDescent="0.25">
      <c r="D74" s="49"/>
      <c r="E74" s="43"/>
      <c r="F74" s="20"/>
      <c r="G74" s="14"/>
      <c r="H74" s="20"/>
      <c r="I74" s="15"/>
      <c r="J74" s="16"/>
      <c r="K74" s="14"/>
      <c r="L74" s="17"/>
      <c r="M74" s="18"/>
      <c r="N74" s="17"/>
      <c r="O74" s="18"/>
      <c r="P74" s="19"/>
      <c r="Q74" s="17"/>
      <c r="R74" s="40"/>
      <c r="S74" s="42">
        <v>60</v>
      </c>
      <c r="T74" s="40"/>
      <c r="V74" s="48" t="str">
        <f t="shared" si="11"/>
        <v/>
      </c>
      <c r="W74" s="48">
        <f t="shared" si="0"/>
        <v>0</v>
      </c>
      <c r="Y74" s="48" t="str">
        <f t="shared" si="1"/>
        <v/>
      </c>
      <c r="Z74" s="48" t="str">
        <f t="shared" si="2"/>
        <v/>
      </c>
      <c r="AA74" s="48" t="str">
        <f t="shared" si="3"/>
        <v/>
      </c>
      <c r="AB74" s="48" t="str">
        <f t="shared" si="12"/>
        <v/>
      </c>
      <c r="AC74" s="48" t="str">
        <f t="shared" si="4"/>
        <v/>
      </c>
      <c r="AD74" s="48" t="str">
        <f t="shared" si="5"/>
        <v/>
      </c>
      <c r="AE74" s="48" t="str">
        <f t="shared" si="6"/>
        <v/>
      </c>
      <c r="AF74" s="48" t="str">
        <f t="shared" si="7"/>
        <v/>
      </c>
      <c r="AG74" s="48" t="str">
        <f t="shared" si="8"/>
        <v/>
      </c>
      <c r="AH74" s="48" t="str">
        <f t="shared" si="9"/>
        <v/>
      </c>
      <c r="AI74" s="48" t="str">
        <f t="shared" si="10"/>
        <v/>
      </c>
      <c r="AJ74" s="48" t="str">
        <f t="shared" si="13"/>
        <v/>
      </c>
      <c r="AK74" s="48" t="str">
        <f t="shared" si="14"/>
        <v/>
      </c>
      <c r="AL74" s="48" t="str">
        <f>IF(W74=0,"",_xlfn.CONCAT(DADOS!$A$8,Y74:AK74,"
"))</f>
        <v/>
      </c>
    </row>
    <row r="75" spans="4:38" s="48" customFormat="1" ht="15" customHeight="1" x14ac:dyDescent="0.25">
      <c r="D75" s="49"/>
      <c r="E75" s="43"/>
      <c r="F75" s="20"/>
      <c r="G75" s="14"/>
      <c r="H75" s="20"/>
      <c r="I75" s="15"/>
      <c r="J75" s="16"/>
      <c r="K75" s="14"/>
      <c r="L75" s="17"/>
      <c r="M75" s="18"/>
      <c r="N75" s="17"/>
      <c r="O75" s="18"/>
      <c r="P75" s="19"/>
      <c r="Q75" s="17"/>
      <c r="R75" s="40"/>
      <c r="S75" s="42">
        <v>61</v>
      </c>
      <c r="T75" s="40"/>
      <c r="V75" s="48" t="str">
        <f t="shared" si="11"/>
        <v/>
      </c>
      <c r="W75" s="48">
        <f t="shared" si="0"/>
        <v>0</v>
      </c>
      <c r="Y75" s="48" t="str">
        <f t="shared" si="1"/>
        <v/>
      </c>
      <c r="Z75" s="48" t="str">
        <f t="shared" si="2"/>
        <v/>
      </c>
      <c r="AA75" s="48" t="str">
        <f t="shared" si="3"/>
        <v/>
      </c>
      <c r="AB75" s="48" t="str">
        <f t="shared" si="12"/>
        <v/>
      </c>
      <c r="AC75" s="48" t="str">
        <f t="shared" si="4"/>
        <v/>
      </c>
      <c r="AD75" s="48" t="str">
        <f t="shared" si="5"/>
        <v/>
      </c>
      <c r="AE75" s="48" t="str">
        <f t="shared" si="6"/>
        <v/>
      </c>
      <c r="AF75" s="48" t="str">
        <f t="shared" si="7"/>
        <v/>
      </c>
      <c r="AG75" s="48" t="str">
        <f t="shared" si="8"/>
        <v/>
      </c>
      <c r="AH75" s="48" t="str">
        <f t="shared" si="9"/>
        <v/>
      </c>
      <c r="AI75" s="48" t="str">
        <f t="shared" si="10"/>
        <v/>
      </c>
      <c r="AJ75" s="48" t="str">
        <f t="shared" si="13"/>
        <v/>
      </c>
      <c r="AK75" s="48" t="str">
        <f t="shared" si="14"/>
        <v/>
      </c>
      <c r="AL75" s="48" t="str">
        <f>IF(W75=0,"",_xlfn.CONCAT(DADOS!$A$8,Y75:AK75,"
"))</f>
        <v/>
      </c>
    </row>
    <row r="76" spans="4:38" s="48" customFormat="1" ht="15" customHeight="1" x14ac:dyDescent="0.25">
      <c r="D76" s="49"/>
      <c r="E76" s="43"/>
      <c r="F76" s="20"/>
      <c r="G76" s="14"/>
      <c r="H76" s="20"/>
      <c r="I76" s="15"/>
      <c r="J76" s="16"/>
      <c r="K76" s="14"/>
      <c r="L76" s="17"/>
      <c r="M76" s="18"/>
      <c r="N76" s="17"/>
      <c r="O76" s="18"/>
      <c r="P76" s="19"/>
      <c r="Q76" s="17"/>
      <c r="R76" s="40"/>
      <c r="S76" s="42">
        <v>62</v>
      </c>
      <c r="T76" s="40"/>
      <c r="V76" s="48" t="str">
        <f t="shared" si="11"/>
        <v/>
      </c>
      <c r="W76" s="48">
        <f t="shared" si="0"/>
        <v>0</v>
      </c>
      <c r="Y76" s="48" t="str">
        <f t="shared" si="1"/>
        <v/>
      </c>
      <c r="Z76" s="48" t="str">
        <f t="shared" si="2"/>
        <v/>
      </c>
      <c r="AA76" s="48" t="str">
        <f t="shared" si="3"/>
        <v/>
      </c>
      <c r="AB76" s="48" t="str">
        <f t="shared" si="12"/>
        <v/>
      </c>
      <c r="AC76" s="48" t="str">
        <f t="shared" si="4"/>
        <v/>
      </c>
      <c r="AD76" s="48" t="str">
        <f t="shared" si="5"/>
        <v/>
      </c>
      <c r="AE76" s="48" t="str">
        <f t="shared" si="6"/>
        <v/>
      </c>
      <c r="AF76" s="48" t="str">
        <f t="shared" si="7"/>
        <v/>
      </c>
      <c r="AG76" s="48" t="str">
        <f t="shared" si="8"/>
        <v/>
      </c>
      <c r="AH76" s="48" t="str">
        <f t="shared" si="9"/>
        <v/>
      </c>
      <c r="AI76" s="48" t="str">
        <f t="shared" si="10"/>
        <v/>
      </c>
      <c r="AJ76" s="48" t="str">
        <f t="shared" si="13"/>
        <v/>
      </c>
      <c r="AK76" s="48" t="str">
        <f t="shared" si="14"/>
        <v/>
      </c>
      <c r="AL76" s="48" t="str">
        <f>IF(W76=0,"",_xlfn.CONCAT(DADOS!$A$8,Y76:AK76,"
"))</f>
        <v/>
      </c>
    </row>
    <row r="77" spans="4:38" s="48" customFormat="1" ht="15" customHeight="1" x14ac:dyDescent="0.25">
      <c r="D77" s="49"/>
      <c r="E77" s="43"/>
      <c r="F77" s="20"/>
      <c r="G77" s="14"/>
      <c r="H77" s="20"/>
      <c r="I77" s="15"/>
      <c r="J77" s="16"/>
      <c r="K77" s="14"/>
      <c r="L77" s="17"/>
      <c r="M77" s="18"/>
      <c r="N77" s="17"/>
      <c r="O77" s="18"/>
      <c r="P77" s="19"/>
      <c r="Q77" s="17"/>
      <c r="R77" s="40"/>
      <c r="S77" s="42">
        <v>63</v>
      </c>
      <c r="T77" s="40"/>
      <c r="V77" s="48" t="str">
        <f t="shared" si="11"/>
        <v/>
      </c>
      <c r="W77" s="48">
        <f t="shared" si="0"/>
        <v>0</v>
      </c>
      <c r="Y77" s="48" t="str">
        <f t="shared" si="1"/>
        <v/>
      </c>
      <c r="Z77" s="48" t="str">
        <f t="shared" si="2"/>
        <v/>
      </c>
      <c r="AA77" s="48" t="str">
        <f t="shared" si="3"/>
        <v/>
      </c>
      <c r="AB77" s="48" t="str">
        <f t="shared" si="12"/>
        <v/>
      </c>
      <c r="AC77" s="48" t="str">
        <f t="shared" si="4"/>
        <v/>
      </c>
      <c r="AD77" s="48" t="str">
        <f t="shared" si="5"/>
        <v/>
      </c>
      <c r="AE77" s="48" t="str">
        <f t="shared" si="6"/>
        <v/>
      </c>
      <c r="AF77" s="48" t="str">
        <f t="shared" si="7"/>
        <v/>
      </c>
      <c r="AG77" s="48" t="str">
        <f t="shared" si="8"/>
        <v/>
      </c>
      <c r="AH77" s="48" t="str">
        <f t="shared" si="9"/>
        <v/>
      </c>
      <c r="AI77" s="48" t="str">
        <f t="shared" si="10"/>
        <v/>
      </c>
      <c r="AJ77" s="48" t="str">
        <f t="shared" si="13"/>
        <v/>
      </c>
      <c r="AK77" s="48" t="str">
        <f t="shared" si="14"/>
        <v/>
      </c>
      <c r="AL77" s="48" t="str">
        <f>IF(W77=0,"",_xlfn.CONCAT(DADOS!$A$8,Y77:AK77,"
"))</f>
        <v/>
      </c>
    </row>
    <row r="78" spans="4:38" s="48" customFormat="1" ht="15" customHeight="1" x14ac:dyDescent="0.25">
      <c r="D78" s="49"/>
      <c r="E78" s="43"/>
      <c r="F78" s="20"/>
      <c r="G78" s="14"/>
      <c r="H78" s="20"/>
      <c r="I78" s="15"/>
      <c r="J78" s="16"/>
      <c r="K78" s="14"/>
      <c r="L78" s="17"/>
      <c r="M78" s="18"/>
      <c r="N78" s="17"/>
      <c r="O78" s="18"/>
      <c r="P78" s="19"/>
      <c r="Q78" s="17"/>
      <c r="R78" s="40"/>
      <c r="S78" s="42">
        <v>64</v>
      </c>
      <c r="T78" s="40"/>
      <c r="V78" s="48" t="str">
        <f t="shared" si="11"/>
        <v/>
      </c>
      <c r="W78" s="48">
        <f t="shared" si="0"/>
        <v>0</v>
      </c>
      <c r="Y78" s="48" t="str">
        <f t="shared" si="1"/>
        <v/>
      </c>
      <c r="Z78" s="48" t="str">
        <f t="shared" si="2"/>
        <v/>
      </c>
      <c r="AA78" s="48" t="str">
        <f t="shared" si="3"/>
        <v/>
      </c>
      <c r="AB78" s="48" t="str">
        <f t="shared" si="12"/>
        <v/>
      </c>
      <c r="AC78" s="48" t="str">
        <f t="shared" si="4"/>
        <v/>
      </c>
      <c r="AD78" s="48" t="str">
        <f t="shared" si="5"/>
        <v/>
      </c>
      <c r="AE78" s="48" t="str">
        <f t="shared" si="6"/>
        <v/>
      </c>
      <c r="AF78" s="48" t="str">
        <f t="shared" si="7"/>
        <v/>
      </c>
      <c r="AG78" s="48" t="str">
        <f t="shared" si="8"/>
        <v/>
      </c>
      <c r="AH78" s="48" t="str">
        <f t="shared" si="9"/>
        <v/>
      </c>
      <c r="AI78" s="48" t="str">
        <f t="shared" si="10"/>
        <v/>
      </c>
      <c r="AJ78" s="48" t="str">
        <f t="shared" si="13"/>
        <v/>
      </c>
      <c r="AK78" s="48" t="str">
        <f t="shared" si="14"/>
        <v/>
      </c>
      <c r="AL78" s="48" t="str">
        <f>IF(W78=0,"",_xlfn.CONCAT(DADOS!$A$8,Y78:AK78,"
"))</f>
        <v/>
      </c>
    </row>
    <row r="79" spans="4:38" s="48" customFormat="1" ht="15" customHeight="1" x14ac:dyDescent="0.25">
      <c r="D79" s="49"/>
      <c r="E79" s="43"/>
      <c r="F79" s="20"/>
      <c r="G79" s="14"/>
      <c r="H79" s="20"/>
      <c r="I79" s="15"/>
      <c r="J79" s="16"/>
      <c r="K79" s="14"/>
      <c r="L79" s="17"/>
      <c r="M79" s="18"/>
      <c r="N79" s="17"/>
      <c r="O79" s="18"/>
      <c r="P79" s="19"/>
      <c r="Q79" s="17"/>
      <c r="R79" s="40"/>
      <c r="S79" s="42">
        <v>65</v>
      </c>
      <c r="T79" s="40"/>
      <c r="V79" s="48" t="str">
        <f t="shared" si="11"/>
        <v/>
      </c>
      <c r="W79" s="48">
        <f t="shared" ref="W79:W142" si="15">IF(E79="",0,1)</f>
        <v>0</v>
      </c>
      <c r="Y79" s="48" t="str">
        <f t="shared" ref="Y79:Y142" si="16">_xlfn.CONCAT(E79,IF(LEN(E79)=1,"  ",IF(LEN(E79)=2," ","")))</f>
        <v/>
      </c>
      <c r="Z79" s="48" t="str">
        <f t="shared" ref="Z79:Z142" si="17">_xlfn.CONCAT(F79,IF(LEN(F79)=1,"  ",IF(LEN(F79)=2," ","")))</f>
        <v/>
      </c>
      <c r="AA79" s="48" t="str">
        <f t="shared" ref="AA79:AA142" si="18">IF(W79=0,"",G79)</f>
        <v/>
      </c>
      <c r="AB79" s="48" t="str">
        <f t="shared" si="12"/>
        <v/>
      </c>
      <c r="AC79" s="48" t="str">
        <f t="shared" ref="AC79:AC142" si="19">IF(W79=0,"",IF(LEN(I79)=1,_xlfn.CONCAT(0,I79),I79))</f>
        <v/>
      </c>
      <c r="AD79" s="48" t="str">
        <f t="shared" ref="AD79:AD142" si="20">IF(I79=20,"",(IF(I79=8,IF(LEN(J79)=1,_xlfn.CONCAT("00",J79),IF(LEN(J79)=2,_xlfn.CONCAT("0",J79),J79)),"")))</f>
        <v/>
      </c>
      <c r="AE79" s="48" t="str">
        <f t="shared" ref="AE79:AE142" si="21">IF(I79=20,"",IF(I79=8,IF(LEN(K79)=1,_xlfn.CONCAT(0,K79),K79),""))</f>
        <v/>
      </c>
      <c r="AF79" s="48" t="str">
        <f t="shared" ref="AF79:AF142" si="22">IF(I79=8,L79,"")</f>
        <v/>
      </c>
      <c r="AG79" s="48" t="str">
        <f t="shared" ref="AG79:AG142" si="23">IF(W79=0,"",IF($I79=20,"",IF(LEN(M79)=1,_xlfn.CONCAT("00",M79),IF(LEN(M79)=2,_xlfn.CONCAT("0",M79),M79))))</f>
        <v/>
      </c>
      <c r="AH79" s="48" t="str">
        <f t="shared" ref="AH79:AH142" si="24">IF(W79=0,"",IF($I79=20,"",IF(LEN(N79)=1,_xlfn.CONCAT(0,N79),N79)))</f>
        <v/>
      </c>
      <c r="AI79" s="48" t="str">
        <f t="shared" ref="AI79:AI142" si="25">IF(W79=0,"",IF($I79=20,"",IF(LEN(P79)=3,_xlfn.CONCAT("00",P79),_xlfn.CONCAT("0",P79))))</f>
        <v/>
      </c>
      <c r="AJ79" s="48" t="str">
        <f t="shared" si="13"/>
        <v/>
      </c>
      <c r="AK79" s="48" t="str">
        <f t="shared" si="14"/>
        <v/>
      </c>
      <c r="AL79" s="48" t="str">
        <f>IF(W79=0,"",_xlfn.CONCAT(DADOS!$A$8,Y79:AK79,"
"))</f>
        <v/>
      </c>
    </row>
    <row r="80" spans="4:38" s="48" customFormat="1" ht="15" customHeight="1" x14ac:dyDescent="0.25">
      <c r="D80" s="49"/>
      <c r="E80" s="43"/>
      <c r="F80" s="20"/>
      <c r="G80" s="14"/>
      <c r="H80" s="20"/>
      <c r="I80" s="15"/>
      <c r="J80" s="16"/>
      <c r="K80" s="14"/>
      <c r="L80" s="17"/>
      <c r="M80" s="18"/>
      <c r="N80" s="17"/>
      <c r="O80" s="18"/>
      <c r="P80" s="19"/>
      <c r="Q80" s="17"/>
      <c r="R80" s="40"/>
      <c r="S80" s="42">
        <v>66</v>
      </c>
      <c r="T80" s="40"/>
      <c r="V80" s="48" t="str">
        <f t="shared" ref="V80:V143" si="26">IF(E80="","",IF(R81="",IF(R80&lt;21,1,0),0))</f>
        <v/>
      </c>
      <c r="W80" s="48">
        <f t="shared" si="15"/>
        <v>0</v>
      </c>
      <c r="Y80" s="48" t="str">
        <f t="shared" si="16"/>
        <v/>
      </c>
      <c r="Z80" s="48" t="str">
        <f t="shared" si="17"/>
        <v/>
      </c>
      <c r="AA80" s="48" t="str">
        <f t="shared" si="18"/>
        <v/>
      </c>
      <c r="AB80" s="48" t="str">
        <f t="shared" ref="AB80:AB143" si="27">IF(OR(G80=0,G80=4),"",H80)</f>
        <v/>
      </c>
      <c r="AC80" s="48" t="str">
        <f t="shared" si="19"/>
        <v/>
      </c>
      <c r="AD80" s="48" t="str">
        <f t="shared" si="20"/>
        <v/>
      </c>
      <c r="AE80" s="48" t="str">
        <f t="shared" si="21"/>
        <v/>
      </c>
      <c r="AF80" s="48" t="str">
        <f t="shared" si="22"/>
        <v/>
      </c>
      <c r="AG80" s="48" t="str">
        <f t="shared" si="23"/>
        <v/>
      </c>
      <c r="AH80" s="48" t="str">
        <f t="shared" si="24"/>
        <v/>
      </c>
      <c r="AI80" s="48" t="str">
        <f t="shared" si="25"/>
        <v/>
      </c>
      <c r="AJ80" s="48" t="str">
        <f t="shared" ref="AJ80:AJ143" si="28">IF(W80=0,"",IF(I80=20,"",_xlfn.CONCAT(ROUNDUP(R80*10,0),$AK$14)))</f>
        <v/>
      </c>
      <c r="AK80" s="48" t="str">
        <f t="shared" ref="AK80:AK143" si="29">IF(W80=0,"",IF(R80&lt;999,$AK$14,""))</f>
        <v/>
      </c>
      <c r="AL80" s="48" t="str">
        <f>IF(W80=0,"",_xlfn.CONCAT(DADOS!$A$8,Y80:AK80,"
"))</f>
        <v/>
      </c>
    </row>
    <row r="81" spans="4:38" s="48" customFormat="1" ht="15" customHeight="1" x14ac:dyDescent="0.25">
      <c r="D81" s="49"/>
      <c r="E81" s="43"/>
      <c r="F81" s="20"/>
      <c r="G81" s="14"/>
      <c r="H81" s="20"/>
      <c r="I81" s="15"/>
      <c r="J81" s="16"/>
      <c r="K81" s="14"/>
      <c r="L81" s="17"/>
      <c r="M81" s="18"/>
      <c r="N81" s="17"/>
      <c r="O81" s="18"/>
      <c r="P81" s="19"/>
      <c r="Q81" s="17"/>
      <c r="R81" s="40"/>
      <c r="S81" s="42">
        <v>67</v>
      </c>
      <c r="T81" s="40"/>
      <c r="V81" s="48" t="str">
        <f t="shared" si="26"/>
        <v/>
      </c>
      <c r="W81" s="48">
        <f t="shared" si="15"/>
        <v>0</v>
      </c>
      <c r="Y81" s="48" t="str">
        <f t="shared" si="16"/>
        <v/>
      </c>
      <c r="Z81" s="48" t="str">
        <f t="shared" si="17"/>
        <v/>
      </c>
      <c r="AA81" s="48" t="str">
        <f t="shared" si="18"/>
        <v/>
      </c>
      <c r="AB81" s="48" t="str">
        <f t="shared" si="27"/>
        <v/>
      </c>
      <c r="AC81" s="48" t="str">
        <f t="shared" si="19"/>
        <v/>
      </c>
      <c r="AD81" s="48" t="str">
        <f t="shared" si="20"/>
        <v/>
      </c>
      <c r="AE81" s="48" t="str">
        <f t="shared" si="21"/>
        <v/>
      </c>
      <c r="AF81" s="48" t="str">
        <f t="shared" si="22"/>
        <v/>
      </c>
      <c r="AG81" s="48" t="str">
        <f t="shared" si="23"/>
        <v/>
      </c>
      <c r="AH81" s="48" t="str">
        <f t="shared" si="24"/>
        <v/>
      </c>
      <c r="AI81" s="48" t="str">
        <f t="shared" si="25"/>
        <v/>
      </c>
      <c r="AJ81" s="48" t="str">
        <f t="shared" si="28"/>
        <v/>
      </c>
      <c r="AK81" s="48" t="str">
        <f t="shared" si="29"/>
        <v/>
      </c>
      <c r="AL81" s="48" t="str">
        <f>IF(W81=0,"",_xlfn.CONCAT(DADOS!$A$8,Y81:AK81,"
"))</f>
        <v/>
      </c>
    </row>
    <row r="82" spans="4:38" s="48" customFormat="1" ht="15" customHeight="1" x14ac:dyDescent="0.25">
      <c r="D82" s="49"/>
      <c r="E82" s="43"/>
      <c r="F82" s="20"/>
      <c r="G82" s="14"/>
      <c r="H82" s="20"/>
      <c r="I82" s="15"/>
      <c r="J82" s="16"/>
      <c r="K82" s="14"/>
      <c r="L82" s="17"/>
      <c r="M82" s="18"/>
      <c r="N82" s="17"/>
      <c r="O82" s="18"/>
      <c r="P82" s="19"/>
      <c r="Q82" s="17"/>
      <c r="R82" s="40"/>
      <c r="S82" s="42">
        <v>68</v>
      </c>
      <c r="T82" s="40"/>
      <c r="V82" s="48" t="str">
        <f t="shared" si="26"/>
        <v/>
      </c>
      <c r="W82" s="48">
        <f t="shared" si="15"/>
        <v>0</v>
      </c>
      <c r="Y82" s="48" t="str">
        <f t="shared" si="16"/>
        <v/>
      </c>
      <c r="Z82" s="48" t="str">
        <f t="shared" si="17"/>
        <v/>
      </c>
      <c r="AA82" s="48" t="str">
        <f t="shared" si="18"/>
        <v/>
      </c>
      <c r="AB82" s="48" t="str">
        <f t="shared" si="27"/>
        <v/>
      </c>
      <c r="AC82" s="48" t="str">
        <f t="shared" si="19"/>
        <v/>
      </c>
      <c r="AD82" s="48" t="str">
        <f t="shared" si="20"/>
        <v/>
      </c>
      <c r="AE82" s="48" t="str">
        <f t="shared" si="21"/>
        <v/>
      </c>
      <c r="AF82" s="48" t="str">
        <f t="shared" si="22"/>
        <v/>
      </c>
      <c r="AG82" s="48" t="str">
        <f t="shared" si="23"/>
        <v/>
      </c>
      <c r="AH82" s="48" t="str">
        <f t="shared" si="24"/>
        <v/>
      </c>
      <c r="AI82" s="48" t="str">
        <f t="shared" si="25"/>
        <v/>
      </c>
      <c r="AJ82" s="48" t="str">
        <f t="shared" si="28"/>
        <v/>
      </c>
      <c r="AK82" s="48" t="str">
        <f t="shared" si="29"/>
        <v/>
      </c>
      <c r="AL82" s="48" t="str">
        <f>IF(W82=0,"",_xlfn.CONCAT(DADOS!$A$8,Y82:AK82,"
"))</f>
        <v/>
      </c>
    </row>
    <row r="83" spans="4:38" s="48" customFormat="1" ht="15" customHeight="1" x14ac:dyDescent="0.25">
      <c r="D83" s="49"/>
      <c r="E83" s="43"/>
      <c r="F83" s="20"/>
      <c r="G83" s="14"/>
      <c r="H83" s="20"/>
      <c r="I83" s="15"/>
      <c r="J83" s="16"/>
      <c r="K83" s="14"/>
      <c r="L83" s="17"/>
      <c r="M83" s="18"/>
      <c r="N83" s="17"/>
      <c r="O83" s="18"/>
      <c r="P83" s="19"/>
      <c r="Q83" s="17"/>
      <c r="R83" s="40"/>
      <c r="S83" s="42">
        <v>69</v>
      </c>
      <c r="T83" s="40"/>
      <c r="V83" s="48" t="str">
        <f t="shared" si="26"/>
        <v/>
      </c>
      <c r="W83" s="48">
        <f t="shared" si="15"/>
        <v>0</v>
      </c>
      <c r="Y83" s="48" t="str">
        <f t="shared" si="16"/>
        <v/>
      </c>
      <c r="Z83" s="48" t="str">
        <f t="shared" si="17"/>
        <v/>
      </c>
      <c r="AA83" s="48" t="str">
        <f t="shared" si="18"/>
        <v/>
      </c>
      <c r="AB83" s="48" t="str">
        <f t="shared" si="27"/>
        <v/>
      </c>
      <c r="AC83" s="48" t="str">
        <f t="shared" si="19"/>
        <v/>
      </c>
      <c r="AD83" s="48" t="str">
        <f t="shared" si="20"/>
        <v/>
      </c>
      <c r="AE83" s="48" t="str">
        <f t="shared" si="21"/>
        <v/>
      </c>
      <c r="AF83" s="48" t="str">
        <f t="shared" si="22"/>
        <v/>
      </c>
      <c r="AG83" s="48" t="str">
        <f t="shared" si="23"/>
        <v/>
      </c>
      <c r="AH83" s="48" t="str">
        <f t="shared" si="24"/>
        <v/>
      </c>
      <c r="AI83" s="48" t="str">
        <f t="shared" si="25"/>
        <v/>
      </c>
      <c r="AJ83" s="48" t="str">
        <f t="shared" si="28"/>
        <v/>
      </c>
      <c r="AK83" s="48" t="str">
        <f t="shared" si="29"/>
        <v/>
      </c>
      <c r="AL83" s="48" t="str">
        <f>IF(W83=0,"",_xlfn.CONCAT(DADOS!$A$8,Y83:AK83,"
"))</f>
        <v/>
      </c>
    </row>
    <row r="84" spans="4:38" s="48" customFormat="1" ht="15" customHeight="1" x14ac:dyDescent="0.25">
      <c r="D84" s="49"/>
      <c r="E84" s="43"/>
      <c r="F84" s="20"/>
      <c r="G84" s="14"/>
      <c r="H84" s="20"/>
      <c r="I84" s="15"/>
      <c r="J84" s="16"/>
      <c r="K84" s="14"/>
      <c r="L84" s="17"/>
      <c r="M84" s="18"/>
      <c r="N84" s="17"/>
      <c r="O84" s="18"/>
      <c r="P84" s="19"/>
      <c r="Q84" s="17"/>
      <c r="R84" s="40"/>
      <c r="S84" s="42">
        <v>70</v>
      </c>
      <c r="T84" s="40"/>
      <c r="V84" s="48" t="str">
        <f t="shared" si="26"/>
        <v/>
      </c>
      <c r="W84" s="48">
        <f t="shared" si="15"/>
        <v>0</v>
      </c>
      <c r="Y84" s="48" t="str">
        <f t="shared" si="16"/>
        <v/>
      </c>
      <c r="Z84" s="48" t="str">
        <f t="shared" si="17"/>
        <v/>
      </c>
      <c r="AA84" s="48" t="str">
        <f t="shared" si="18"/>
        <v/>
      </c>
      <c r="AB84" s="48" t="str">
        <f t="shared" si="27"/>
        <v/>
      </c>
      <c r="AC84" s="48" t="str">
        <f t="shared" si="19"/>
        <v/>
      </c>
      <c r="AD84" s="48" t="str">
        <f t="shared" si="20"/>
        <v/>
      </c>
      <c r="AE84" s="48" t="str">
        <f t="shared" si="21"/>
        <v/>
      </c>
      <c r="AF84" s="48" t="str">
        <f t="shared" si="22"/>
        <v/>
      </c>
      <c r="AG84" s="48" t="str">
        <f t="shared" si="23"/>
        <v/>
      </c>
      <c r="AH84" s="48" t="str">
        <f t="shared" si="24"/>
        <v/>
      </c>
      <c r="AI84" s="48" t="str">
        <f t="shared" si="25"/>
        <v/>
      </c>
      <c r="AJ84" s="48" t="str">
        <f t="shared" si="28"/>
        <v/>
      </c>
      <c r="AK84" s="48" t="str">
        <f t="shared" si="29"/>
        <v/>
      </c>
      <c r="AL84" s="48" t="str">
        <f>IF(W84=0,"",_xlfn.CONCAT(DADOS!$A$8,Y84:AK84,"
"))</f>
        <v/>
      </c>
    </row>
    <row r="85" spans="4:38" s="48" customFormat="1" ht="15" customHeight="1" x14ac:dyDescent="0.25">
      <c r="D85" s="49"/>
      <c r="E85" s="43"/>
      <c r="F85" s="20"/>
      <c r="G85" s="14"/>
      <c r="H85" s="20"/>
      <c r="I85" s="15"/>
      <c r="J85" s="16"/>
      <c r="K85" s="14"/>
      <c r="L85" s="17"/>
      <c r="M85" s="18"/>
      <c r="N85" s="17"/>
      <c r="O85" s="18"/>
      <c r="P85" s="19"/>
      <c r="Q85" s="17"/>
      <c r="R85" s="40"/>
      <c r="S85" s="42">
        <v>71</v>
      </c>
      <c r="T85" s="40"/>
      <c r="V85" s="48" t="str">
        <f t="shared" si="26"/>
        <v/>
      </c>
      <c r="W85" s="48">
        <f t="shared" si="15"/>
        <v>0</v>
      </c>
      <c r="Y85" s="48" t="str">
        <f t="shared" si="16"/>
        <v/>
      </c>
      <c r="Z85" s="48" t="str">
        <f t="shared" si="17"/>
        <v/>
      </c>
      <c r="AA85" s="48" t="str">
        <f t="shared" si="18"/>
        <v/>
      </c>
      <c r="AB85" s="48" t="str">
        <f t="shared" si="27"/>
        <v/>
      </c>
      <c r="AC85" s="48" t="str">
        <f t="shared" si="19"/>
        <v/>
      </c>
      <c r="AD85" s="48" t="str">
        <f t="shared" si="20"/>
        <v/>
      </c>
      <c r="AE85" s="48" t="str">
        <f t="shared" si="21"/>
        <v/>
      </c>
      <c r="AF85" s="48" t="str">
        <f t="shared" si="22"/>
        <v/>
      </c>
      <c r="AG85" s="48" t="str">
        <f t="shared" si="23"/>
        <v/>
      </c>
      <c r="AH85" s="48" t="str">
        <f t="shared" si="24"/>
        <v/>
      </c>
      <c r="AI85" s="48" t="str">
        <f t="shared" si="25"/>
        <v/>
      </c>
      <c r="AJ85" s="48" t="str">
        <f t="shared" si="28"/>
        <v/>
      </c>
      <c r="AK85" s="48" t="str">
        <f t="shared" si="29"/>
        <v/>
      </c>
      <c r="AL85" s="48" t="str">
        <f>IF(W85=0,"",_xlfn.CONCAT(DADOS!$A$8,Y85:AK85,"
"))</f>
        <v/>
      </c>
    </row>
    <row r="86" spans="4:38" s="48" customFormat="1" ht="15" customHeight="1" x14ac:dyDescent="0.25">
      <c r="D86" s="49"/>
      <c r="E86" s="43"/>
      <c r="F86" s="20"/>
      <c r="G86" s="14"/>
      <c r="H86" s="20"/>
      <c r="I86" s="15"/>
      <c r="J86" s="16"/>
      <c r="K86" s="14"/>
      <c r="L86" s="17"/>
      <c r="M86" s="18"/>
      <c r="N86" s="17"/>
      <c r="O86" s="18"/>
      <c r="P86" s="19"/>
      <c r="Q86" s="17"/>
      <c r="R86" s="40"/>
      <c r="S86" s="42">
        <v>72</v>
      </c>
      <c r="T86" s="40"/>
      <c r="V86" s="48" t="str">
        <f t="shared" si="26"/>
        <v/>
      </c>
      <c r="W86" s="48">
        <f t="shared" si="15"/>
        <v>0</v>
      </c>
      <c r="Y86" s="48" t="str">
        <f t="shared" si="16"/>
        <v/>
      </c>
      <c r="Z86" s="48" t="str">
        <f t="shared" si="17"/>
        <v/>
      </c>
      <c r="AA86" s="48" t="str">
        <f t="shared" si="18"/>
        <v/>
      </c>
      <c r="AB86" s="48" t="str">
        <f t="shared" si="27"/>
        <v/>
      </c>
      <c r="AC86" s="48" t="str">
        <f t="shared" si="19"/>
        <v/>
      </c>
      <c r="AD86" s="48" t="str">
        <f t="shared" si="20"/>
        <v/>
      </c>
      <c r="AE86" s="48" t="str">
        <f t="shared" si="21"/>
        <v/>
      </c>
      <c r="AF86" s="48" t="str">
        <f t="shared" si="22"/>
        <v/>
      </c>
      <c r="AG86" s="48" t="str">
        <f t="shared" si="23"/>
        <v/>
      </c>
      <c r="AH86" s="48" t="str">
        <f t="shared" si="24"/>
        <v/>
      </c>
      <c r="AI86" s="48" t="str">
        <f t="shared" si="25"/>
        <v/>
      </c>
      <c r="AJ86" s="48" t="str">
        <f t="shared" si="28"/>
        <v/>
      </c>
      <c r="AK86" s="48" t="str">
        <f t="shared" si="29"/>
        <v/>
      </c>
      <c r="AL86" s="48" t="str">
        <f>IF(W86=0,"",_xlfn.CONCAT(DADOS!$A$8,Y86:AK86,"
"))</f>
        <v/>
      </c>
    </row>
    <row r="87" spans="4:38" s="48" customFormat="1" ht="15" customHeight="1" x14ac:dyDescent="0.25">
      <c r="D87" s="49"/>
      <c r="E87" s="43"/>
      <c r="F87" s="20"/>
      <c r="G87" s="14"/>
      <c r="H87" s="20"/>
      <c r="I87" s="15"/>
      <c r="J87" s="16"/>
      <c r="K87" s="14"/>
      <c r="L87" s="17"/>
      <c r="M87" s="18"/>
      <c r="N87" s="17"/>
      <c r="O87" s="18"/>
      <c r="P87" s="19"/>
      <c r="Q87" s="17"/>
      <c r="R87" s="40"/>
      <c r="S87" s="42">
        <v>73</v>
      </c>
      <c r="T87" s="40"/>
      <c r="V87" s="48" t="str">
        <f t="shared" si="26"/>
        <v/>
      </c>
      <c r="W87" s="48">
        <f t="shared" si="15"/>
        <v>0</v>
      </c>
      <c r="Y87" s="48" t="str">
        <f t="shared" si="16"/>
        <v/>
      </c>
      <c r="Z87" s="48" t="str">
        <f t="shared" si="17"/>
        <v/>
      </c>
      <c r="AA87" s="48" t="str">
        <f t="shared" si="18"/>
        <v/>
      </c>
      <c r="AB87" s="48" t="str">
        <f t="shared" si="27"/>
        <v/>
      </c>
      <c r="AC87" s="48" t="str">
        <f t="shared" si="19"/>
        <v/>
      </c>
      <c r="AD87" s="48" t="str">
        <f t="shared" si="20"/>
        <v/>
      </c>
      <c r="AE87" s="48" t="str">
        <f t="shared" si="21"/>
        <v/>
      </c>
      <c r="AF87" s="48" t="str">
        <f t="shared" si="22"/>
        <v/>
      </c>
      <c r="AG87" s="48" t="str">
        <f t="shared" si="23"/>
        <v/>
      </c>
      <c r="AH87" s="48" t="str">
        <f t="shared" si="24"/>
        <v/>
      </c>
      <c r="AI87" s="48" t="str">
        <f t="shared" si="25"/>
        <v/>
      </c>
      <c r="AJ87" s="48" t="str">
        <f t="shared" si="28"/>
        <v/>
      </c>
      <c r="AK87" s="48" t="str">
        <f t="shared" si="29"/>
        <v/>
      </c>
      <c r="AL87" s="48" t="str">
        <f>IF(W87=0,"",_xlfn.CONCAT(DADOS!$A$8,Y87:AK87,"
"))</f>
        <v/>
      </c>
    </row>
    <row r="88" spans="4:38" s="48" customFormat="1" ht="15" customHeight="1" x14ac:dyDescent="0.25">
      <c r="D88" s="49"/>
      <c r="E88" s="43"/>
      <c r="F88" s="20"/>
      <c r="G88" s="14"/>
      <c r="H88" s="20"/>
      <c r="I88" s="15"/>
      <c r="J88" s="16"/>
      <c r="K88" s="14"/>
      <c r="L88" s="17"/>
      <c r="M88" s="18"/>
      <c r="N88" s="17"/>
      <c r="O88" s="18"/>
      <c r="P88" s="19"/>
      <c r="Q88" s="17"/>
      <c r="R88" s="40"/>
      <c r="S88" s="42">
        <v>74</v>
      </c>
      <c r="T88" s="40"/>
      <c r="V88" s="48" t="str">
        <f t="shared" si="26"/>
        <v/>
      </c>
      <c r="W88" s="48">
        <f t="shared" si="15"/>
        <v>0</v>
      </c>
      <c r="Y88" s="48" t="str">
        <f t="shared" si="16"/>
        <v/>
      </c>
      <c r="Z88" s="48" t="str">
        <f t="shared" si="17"/>
        <v/>
      </c>
      <c r="AA88" s="48" t="str">
        <f t="shared" si="18"/>
        <v/>
      </c>
      <c r="AB88" s="48" t="str">
        <f t="shared" si="27"/>
        <v/>
      </c>
      <c r="AC88" s="48" t="str">
        <f t="shared" si="19"/>
        <v/>
      </c>
      <c r="AD88" s="48" t="str">
        <f t="shared" si="20"/>
        <v/>
      </c>
      <c r="AE88" s="48" t="str">
        <f t="shared" si="21"/>
        <v/>
      </c>
      <c r="AF88" s="48" t="str">
        <f t="shared" si="22"/>
        <v/>
      </c>
      <c r="AG88" s="48" t="str">
        <f t="shared" si="23"/>
        <v/>
      </c>
      <c r="AH88" s="48" t="str">
        <f t="shared" si="24"/>
        <v/>
      </c>
      <c r="AI88" s="48" t="str">
        <f t="shared" si="25"/>
        <v/>
      </c>
      <c r="AJ88" s="48" t="str">
        <f t="shared" si="28"/>
        <v/>
      </c>
      <c r="AK88" s="48" t="str">
        <f t="shared" si="29"/>
        <v/>
      </c>
      <c r="AL88" s="48" t="str">
        <f>IF(W88=0,"",_xlfn.CONCAT(DADOS!$A$8,Y88:AK88,"
"))</f>
        <v/>
      </c>
    </row>
    <row r="89" spans="4:38" s="48" customFormat="1" ht="15" customHeight="1" x14ac:dyDescent="0.25">
      <c r="D89" s="49"/>
      <c r="E89" s="43"/>
      <c r="F89" s="20"/>
      <c r="G89" s="14"/>
      <c r="H89" s="20"/>
      <c r="I89" s="15"/>
      <c r="J89" s="16"/>
      <c r="K89" s="14"/>
      <c r="L89" s="17"/>
      <c r="M89" s="18"/>
      <c r="N89" s="17"/>
      <c r="O89" s="18"/>
      <c r="P89" s="19"/>
      <c r="Q89" s="17"/>
      <c r="R89" s="40"/>
      <c r="S89" s="42">
        <v>75</v>
      </c>
      <c r="T89" s="40"/>
      <c r="V89" s="48" t="str">
        <f t="shared" si="26"/>
        <v/>
      </c>
      <c r="W89" s="48">
        <f t="shared" si="15"/>
        <v>0</v>
      </c>
      <c r="Y89" s="48" t="str">
        <f t="shared" si="16"/>
        <v/>
      </c>
      <c r="Z89" s="48" t="str">
        <f t="shared" si="17"/>
        <v/>
      </c>
      <c r="AA89" s="48" t="str">
        <f t="shared" si="18"/>
        <v/>
      </c>
      <c r="AB89" s="48" t="str">
        <f t="shared" si="27"/>
        <v/>
      </c>
      <c r="AC89" s="48" t="str">
        <f t="shared" si="19"/>
        <v/>
      </c>
      <c r="AD89" s="48" t="str">
        <f t="shared" si="20"/>
        <v/>
      </c>
      <c r="AE89" s="48" t="str">
        <f t="shared" si="21"/>
        <v/>
      </c>
      <c r="AF89" s="48" t="str">
        <f t="shared" si="22"/>
        <v/>
      </c>
      <c r="AG89" s="48" t="str">
        <f t="shared" si="23"/>
        <v/>
      </c>
      <c r="AH89" s="48" t="str">
        <f t="shared" si="24"/>
        <v/>
      </c>
      <c r="AI89" s="48" t="str">
        <f t="shared" si="25"/>
        <v/>
      </c>
      <c r="AJ89" s="48" t="str">
        <f t="shared" si="28"/>
        <v/>
      </c>
      <c r="AK89" s="48" t="str">
        <f t="shared" si="29"/>
        <v/>
      </c>
      <c r="AL89" s="48" t="str">
        <f>IF(W89=0,"",_xlfn.CONCAT(DADOS!$A$8,Y89:AK89,"
"))</f>
        <v/>
      </c>
    </row>
    <row r="90" spans="4:38" s="48" customFormat="1" ht="15" customHeight="1" x14ac:dyDescent="0.25">
      <c r="D90" s="49"/>
      <c r="E90" s="43"/>
      <c r="F90" s="20"/>
      <c r="G90" s="14"/>
      <c r="H90" s="20"/>
      <c r="I90" s="15"/>
      <c r="J90" s="16"/>
      <c r="K90" s="14"/>
      <c r="L90" s="17"/>
      <c r="M90" s="18"/>
      <c r="N90" s="17"/>
      <c r="O90" s="18"/>
      <c r="P90" s="19"/>
      <c r="Q90" s="17"/>
      <c r="R90" s="40"/>
      <c r="S90" s="42">
        <v>76</v>
      </c>
      <c r="T90" s="40"/>
      <c r="V90" s="48" t="str">
        <f t="shared" si="26"/>
        <v/>
      </c>
      <c r="W90" s="48">
        <f t="shared" si="15"/>
        <v>0</v>
      </c>
      <c r="Y90" s="48" t="str">
        <f t="shared" si="16"/>
        <v/>
      </c>
      <c r="Z90" s="48" t="str">
        <f t="shared" si="17"/>
        <v/>
      </c>
      <c r="AA90" s="48" t="str">
        <f t="shared" si="18"/>
        <v/>
      </c>
      <c r="AB90" s="48" t="str">
        <f t="shared" si="27"/>
        <v/>
      </c>
      <c r="AC90" s="48" t="str">
        <f t="shared" si="19"/>
        <v/>
      </c>
      <c r="AD90" s="48" t="str">
        <f t="shared" si="20"/>
        <v/>
      </c>
      <c r="AE90" s="48" t="str">
        <f t="shared" si="21"/>
        <v/>
      </c>
      <c r="AF90" s="48" t="str">
        <f t="shared" si="22"/>
        <v/>
      </c>
      <c r="AG90" s="48" t="str">
        <f t="shared" si="23"/>
        <v/>
      </c>
      <c r="AH90" s="48" t="str">
        <f t="shared" si="24"/>
        <v/>
      </c>
      <c r="AI90" s="48" t="str">
        <f t="shared" si="25"/>
        <v/>
      </c>
      <c r="AJ90" s="48" t="str">
        <f t="shared" si="28"/>
        <v/>
      </c>
      <c r="AK90" s="48" t="str">
        <f t="shared" si="29"/>
        <v/>
      </c>
      <c r="AL90" s="48" t="str">
        <f>IF(W90=0,"",_xlfn.CONCAT(DADOS!$A$8,Y90:AK90,"
"))</f>
        <v/>
      </c>
    </row>
    <row r="91" spans="4:38" s="48" customFormat="1" ht="15" customHeight="1" x14ac:dyDescent="0.25">
      <c r="D91" s="49"/>
      <c r="E91" s="43"/>
      <c r="F91" s="20"/>
      <c r="G91" s="14"/>
      <c r="H91" s="20"/>
      <c r="I91" s="15"/>
      <c r="J91" s="16"/>
      <c r="K91" s="14"/>
      <c r="L91" s="17"/>
      <c r="M91" s="18"/>
      <c r="N91" s="17"/>
      <c r="O91" s="18"/>
      <c r="P91" s="19"/>
      <c r="Q91" s="17"/>
      <c r="R91" s="40"/>
      <c r="S91" s="42">
        <v>77</v>
      </c>
      <c r="T91" s="40"/>
      <c r="V91" s="48" t="str">
        <f t="shared" si="26"/>
        <v/>
      </c>
      <c r="W91" s="48">
        <f t="shared" si="15"/>
        <v>0</v>
      </c>
      <c r="Y91" s="48" t="str">
        <f t="shared" si="16"/>
        <v/>
      </c>
      <c r="Z91" s="48" t="str">
        <f t="shared" si="17"/>
        <v/>
      </c>
      <c r="AA91" s="48" t="str">
        <f t="shared" si="18"/>
        <v/>
      </c>
      <c r="AB91" s="48" t="str">
        <f t="shared" si="27"/>
        <v/>
      </c>
      <c r="AC91" s="48" t="str">
        <f t="shared" si="19"/>
        <v/>
      </c>
      <c r="AD91" s="48" t="str">
        <f t="shared" si="20"/>
        <v/>
      </c>
      <c r="AE91" s="48" t="str">
        <f t="shared" si="21"/>
        <v/>
      </c>
      <c r="AF91" s="48" t="str">
        <f t="shared" si="22"/>
        <v/>
      </c>
      <c r="AG91" s="48" t="str">
        <f t="shared" si="23"/>
        <v/>
      </c>
      <c r="AH91" s="48" t="str">
        <f t="shared" si="24"/>
        <v/>
      </c>
      <c r="AI91" s="48" t="str">
        <f t="shared" si="25"/>
        <v/>
      </c>
      <c r="AJ91" s="48" t="str">
        <f t="shared" si="28"/>
        <v/>
      </c>
      <c r="AK91" s="48" t="str">
        <f t="shared" si="29"/>
        <v/>
      </c>
      <c r="AL91" s="48" t="str">
        <f>IF(W91=0,"",_xlfn.CONCAT(DADOS!$A$8,Y91:AK91,"
"))</f>
        <v/>
      </c>
    </row>
    <row r="92" spans="4:38" s="48" customFormat="1" ht="15" customHeight="1" x14ac:dyDescent="0.25">
      <c r="D92" s="49"/>
      <c r="E92" s="43"/>
      <c r="F92" s="20"/>
      <c r="G92" s="14"/>
      <c r="H92" s="20"/>
      <c r="I92" s="15"/>
      <c r="J92" s="16"/>
      <c r="K92" s="14"/>
      <c r="L92" s="17"/>
      <c r="M92" s="18"/>
      <c r="N92" s="17"/>
      <c r="O92" s="18"/>
      <c r="P92" s="19"/>
      <c r="Q92" s="17"/>
      <c r="R92" s="40"/>
      <c r="S92" s="42">
        <v>78</v>
      </c>
      <c r="T92" s="40"/>
      <c r="V92" s="48" t="str">
        <f t="shared" si="26"/>
        <v/>
      </c>
      <c r="W92" s="48">
        <f t="shared" si="15"/>
        <v>0</v>
      </c>
      <c r="Y92" s="48" t="str">
        <f t="shared" si="16"/>
        <v/>
      </c>
      <c r="Z92" s="48" t="str">
        <f t="shared" si="17"/>
        <v/>
      </c>
      <c r="AA92" s="48" t="str">
        <f t="shared" si="18"/>
        <v/>
      </c>
      <c r="AB92" s="48" t="str">
        <f t="shared" si="27"/>
        <v/>
      </c>
      <c r="AC92" s="48" t="str">
        <f t="shared" si="19"/>
        <v/>
      </c>
      <c r="AD92" s="48" t="str">
        <f t="shared" si="20"/>
        <v/>
      </c>
      <c r="AE92" s="48" t="str">
        <f t="shared" si="21"/>
        <v/>
      </c>
      <c r="AF92" s="48" t="str">
        <f t="shared" si="22"/>
        <v/>
      </c>
      <c r="AG92" s="48" t="str">
        <f t="shared" si="23"/>
        <v/>
      </c>
      <c r="AH92" s="48" t="str">
        <f t="shared" si="24"/>
        <v/>
      </c>
      <c r="AI92" s="48" t="str">
        <f t="shared" si="25"/>
        <v/>
      </c>
      <c r="AJ92" s="48" t="str">
        <f t="shared" si="28"/>
        <v/>
      </c>
      <c r="AK92" s="48" t="str">
        <f t="shared" si="29"/>
        <v/>
      </c>
      <c r="AL92" s="48" t="str">
        <f>IF(W92=0,"",_xlfn.CONCAT(DADOS!$A$8,Y92:AK92,"
"))</f>
        <v/>
      </c>
    </row>
    <row r="93" spans="4:38" s="48" customFormat="1" ht="15" customHeight="1" x14ac:dyDescent="0.25">
      <c r="D93" s="49"/>
      <c r="E93" s="43"/>
      <c r="F93" s="20"/>
      <c r="G93" s="14"/>
      <c r="H93" s="20"/>
      <c r="I93" s="15"/>
      <c r="J93" s="16"/>
      <c r="K93" s="14"/>
      <c r="L93" s="17"/>
      <c r="M93" s="18"/>
      <c r="N93" s="17"/>
      <c r="O93" s="18"/>
      <c r="P93" s="19"/>
      <c r="Q93" s="17"/>
      <c r="R93" s="40"/>
      <c r="S93" s="42">
        <v>79</v>
      </c>
      <c r="T93" s="40"/>
      <c r="V93" s="48" t="str">
        <f t="shared" si="26"/>
        <v/>
      </c>
      <c r="W93" s="48">
        <f t="shared" si="15"/>
        <v>0</v>
      </c>
      <c r="Y93" s="48" t="str">
        <f t="shared" si="16"/>
        <v/>
      </c>
      <c r="Z93" s="48" t="str">
        <f t="shared" si="17"/>
        <v/>
      </c>
      <c r="AA93" s="48" t="str">
        <f t="shared" si="18"/>
        <v/>
      </c>
      <c r="AB93" s="48" t="str">
        <f t="shared" si="27"/>
        <v/>
      </c>
      <c r="AC93" s="48" t="str">
        <f t="shared" si="19"/>
        <v/>
      </c>
      <c r="AD93" s="48" t="str">
        <f t="shared" si="20"/>
        <v/>
      </c>
      <c r="AE93" s="48" t="str">
        <f t="shared" si="21"/>
        <v/>
      </c>
      <c r="AF93" s="48" t="str">
        <f t="shared" si="22"/>
        <v/>
      </c>
      <c r="AG93" s="48" t="str">
        <f t="shared" si="23"/>
        <v/>
      </c>
      <c r="AH93" s="48" t="str">
        <f t="shared" si="24"/>
        <v/>
      </c>
      <c r="AI93" s="48" t="str">
        <f t="shared" si="25"/>
        <v/>
      </c>
      <c r="AJ93" s="48" t="str">
        <f t="shared" si="28"/>
        <v/>
      </c>
      <c r="AK93" s="48" t="str">
        <f t="shared" si="29"/>
        <v/>
      </c>
      <c r="AL93" s="48" t="str">
        <f>IF(W93=0,"",_xlfn.CONCAT(DADOS!$A$8,Y93:AK93,"
"))</f>
        <v/>
      </c>
    </row>
    <row r="94" spans="4:38" s="48" customFormat="1" ht="15" customHeight="1" x14ac:dyDescent="0.25">
      <c r="D94" s="49"/>
      <c r="E94" s="43"/>
      <c r="F94" s="20"/>
      <c r="G94" s="14"/>
      <c r="H94" s="20"/>
      <c r="I94" s="15"/>
      <c r="J94" s="16"/>
      <c r="K94" s="14"/>
      <c r="L94" s="17"/>
      <c r="M94" s="18"/>
      <c r="N94" s="17"/>
      <c r="O94" s="18"/>
      <c r="P94" s="19"/>
      <c r="Q94" s="17"/>
      <c r="R94" s="40"/>
      <c r="S94" s="42">
        <v>80</v>
      </c>
      <c r="T94" s="40"/>
      <c r="V94" s="48" t="str">
        <f t="shared" si="26"/>
        <v/>
      </c>
      <c r="W94" s="48">
        <f t="shared" si="15"/>
        <v>0</v>
      </c>
      <c r="Y94" s="48" t="str">
        <f t="shared" si="16"/>
        <v/>
      </c>
      <c r="Z94" s="48" t="str">
        <f t="shared" si="17"/>
        <v/>
      </c>
      <c r="AA94" s="48" t="str">
        <f t="shared" si="18"/>
        <v/>
      </c>
      <c r="AB94" s="48" t="str">
        <f t="shared" si="27"/>
        <v/>
      </c>
      <c r="AC94" s="48" t="str">
        <f t="shared" si="19"/>
        <v/>
      </c>
      <c r="AD94" s="48" t="str">
        <f t="shared" si="20"/>
        <v/>
      </c>
      <c r="AE94" s="48" t="str">
        <f t="shared" si="21"/>
        <v/>
      </c>
      <c r="AF94" s="48" t="str">
        <f t="shared" si="22"/>
        <v/>
      </c>
      <c r="AG94" s="48" t="str">
        <f t="shared" si="23"/>
        <v/>
      </c>
      <c r="AH94" s="48" t="str">
        <f t="shared" si="24"/>
        <v/>
      </c>
      <c r="AI94" s="48" t="str">
        <f t="shared" si="25"/>
        <v/>
      </c>
      <c r="AJ94" s="48" t="str">
        <f t="shared" si="28"/>
        <v/>
      </c>
      <c r="AK94" s="48" t="str">
        <f t="shared" si="29"/>
        <v/>
      </c>
      <c r="AL94" s="48" t="str">
        <f>IF(W94=0,"",_xlfn.CONCAT(DADOS!$A$8,Y94:AK94,"
"))</f>
        <v/>
      </c>
    </row>
    <row r="95" spans="4:38" s="48" customFormat="1" ht="15" customHeight="1" x14ac:dyDescent="0.25">
      <c r="D95" s="49"/>
      <c r="E95" s="43"/>
      <c r="F95" s="20"/>
      <c r="G95" s="14"/>
      <c r="H95" s="20"/>
      <c r="I95" s="15"/>
      <c r="J95" s="16"/>
      <c r="K95" s="14"/>
      <c r="L95" s="17"/>
      <c r="M95" s="18"/>
      <c r="N95" s="17"/>
      <c r="O95" s="18"/>
      <c r="P95" s="19"/>
      <c r="Q95" s="17"/>
      <c r="R95" s="40"/>
      <c r="S95" s="42">
        <v>81</v>
      </c>
      <c r="T95" s="40"/>
      <c r="V95" s="48" t="str">
        <f t="shared" si="26"/>
        <v/>
      </c>
      <c r="W95" s="48">
        <f t="shared" si="15"/>
        <v>0</v>
      </c>
      <c r="Y95" s="48" t="str">
        <f t="shared" si="16"/>
        <v/>
      </c>
      <c r="Z95" s="48" t="str">
        <f t="shared" si="17"/>
        <v/>
      </c>
      <c r="AA95" s="48" t="str">
        <f t="shared" si="18"/>
        <v/>
      </c>
      <c r="AB95" s="48" t="str">
        <f t="shared" si="27"/>
        <v/>
      </c>
      <c r="AC95" s="48" t="str">
        <f t="shared" si="19"/>
        <v/>
      </c>
      <c r="AD95" s="48" t="str">
        <f t="shared" si="20"/>
        <v/>
      </c>
      <c r="AE95" s="48" t="str">
        <f t="shared" si="21"/>
        <v/>
      </c>
      <c r="AF95" s="48" t="str">
        <f t="shared" si="22"/>
        <v/>
      </c>
      <c r="AG95" s="48" t="str">
        <f t="shared" si="23"/>
        <v/>
      </c>
      <c r="AH95" s="48" t="str">
        <f t="shared" si="24"/>
        <v/>
      </c>
      <c r="AI95" s="48" t="str">
        <f t="shared" si="25"/>
        <v/>
      </c>
      <c r="AJ95" s="48" t="str">
        <f t="shared" si="28"/>
        <v/>
      </c>
      <c r="AK95" s="48" t="str">
        <f t="shared" si="29"/>
        <v/>
      </c>
      <c r="AL95" s="48" t="str">
        <f>IF(W95=0,"",_xlfn.CONCAT(DADOS!$A$8,Y95:AK95,"
"))</f>
        <v/>
      </c>
    </row>
    <row r="96" spans="4:38" s="48" customFormat="1" ht="15" customHeight="1" x14ac:dyDescent="0.25">
      <c r="D96" s="49"/>
      <c r="E96" s="43"/>
      <c r="F96" s="20"/>
      <c r="G96" s="14"/>
      <c r="H96" s="20"/>
      <c r="I96" s="15"/>
      <c r="J96" s="16"/>
      <c r="K96" s="14"/>
      <c r="L96" s="17"/>
      <c r="M96" s="18"/>
      <c r="N96" s="17"/>
      <c r="O96" s="18"/>
      <c r="P96" s="19"/>
      <c r="Q96" s="17"/>
      <c r="R96" s="40"/>
      <c r="S96" s="42">
        <v>82</v>
      </c>
      <c r="T96" s="40"/>
      <c r="V96" s="48" t="str">
        <f t="shared" si="26"/>
        <v/>
      </c>
      <c r="W96" s="48">
        <f t="shared" si="15"/>
        <v>0</v>
      </c>
      <c r="Y96" s="48" t="str">
        <f t="shared" si="16"/>
        <v/>
      </c>
      <c r="Z96" s="48" t="str">
        <f t="shared" si="17"/>
        <v/>
      </c>
      <c r="AA96" s="48" t="str">
        <f t="shared" si="18"/>
        <v/>
      </c>
      <c r="AB96" s="48" t="str">
        <f t="shared" si="27"/>
        <v/>
      </c>
      <c r="AC96" s="48" t="str">
        <f t="shared" si="19"/>
        <v/>
      </c>
      <c r="AD96" s="48" t="str">
        <f t="shared" si="20"/>
        <v/>
      </c>
      <c r="AE96" s="48" t="str">
        <f t="shared" si="21"/>
        <v/>
      </c>
      <c r="AF96" s="48" t="str">
        <f t="shared" si="22"/>
        <v/>
      </c>
      <c r="AG96" s="48" t="str">
        <f t="shared" si="23"/>
        <v/>
      </c>
      <c r="AH96" s="48" t="str">
        <f t="shared" si="24"/>
        <v/>
      </c>
      <c r="AI96" s="48" t="str">
        <f t="shared" si="25"/>
        <v/>
      </c>
      <c r="AJ96" s="48" t="str">
        <f t="shared" si="28"/>
        <v/>
      </c>
      <c r="AK96" s="48" t="str">
        <f t="shared" si="29"/>
        <v/>
      </c>
      <c r="AL96" s="48" t="str">
        <f>IF(W96=0,"",_xlfn.CONCAT(DADOS!$A$8,Y96:AK96,"
"))</f>
        <v/>
      </c>
    </row>
    <row r="97" spans="4:38" s="48" customFormat="1" ht="15" customHeight="1" x14ac:dyDescent="0.25">
      <c r="D97" s="49"/>
      <c r="E97" s="43"/>
      <c r="F97" s="20"/>
      <c r="G97" s="14"/>
      <c r="H97" s="20"/>
      <c r="I97" s="15"/>
      <c r="J97" s="16"/>
      <c r="K97" s="14"/>
      <c r="L97" s="17"/>
      <c r="M97" s="18"/>
      <c r="N97" s="17"/>
      <c r="O97" s="18"/>
      <c r="P97" s="19"/>
      <c r="Q97" s="17"/>
      <c r="R97" s="40"/>
      <c r="S97" s="42">
        <v>83</v>
      </c>
      <c r="T97" s="40"/>
      <c r="V97" s="48" t="str">
        <f t="shared" si="26"/>
        <v/>
      </c>
      <c r="W97" s="48">
        <f t="shared" si="15"/>
        <v>0</v>
      </c>
      <c r="Y97" s="48" t="str">
        <f t="shared" si="16"/>
        <v/>
      </c>
      <c r="Z97" s="48" t="str">
        <f t="shared" si="17"/>
        <v/>
      </c>
      <c r="AA97" s="48" t="str">
        <f t="shared" si="18"/>
        <v/>
      </c>
      <c r="AB97" s="48" t="str">
        <f t="shared" si="27"/>
        <v/>
      </c>
      <c r="AC97" s="48" t="str">
        <f t="shared" si="19"/>
        <v/>
      </c>
      <c r="AD97" s="48" t="str">
        <f t="shared" si="20"/>
        <v/>
      </c>
      <c r="AE97" s="48" t="str">
        <f t="shared" si="21"/>
        <v/>
      </c>
      <c r="AF97" s="48" t="str">
        <f t="shared" si="22"/>
        <v/>
      </c>
      <c r="AG97" s="48" t="str">
        <f t="shared" si="23"/>
        <v/>
      </c>
      <c r="AH97" s="48" t="str">
        <f t="shared" si="24"/>
        <v/>
      </c>
      <c r="AI97" s="48" t="str">
        <f t="shared" si="25"/>
        <v/>
      </c>
      <c r="AJ97" s="48" t="str">
        <f t="shared" si="28"/>
        <v/>
      </c>
      <c r="AK97" s="48" t="str">
        <f t="shared" si="29"/>
        <v/>
      </c>
      <c r="AL97" s="48" t="str">
        <f>IF(W97=0,"",_xlfn.CONCAT(DADOS!$A$8,Y97:AK97,"
"))</f>
        <v/>
      </c>
    </row>
    <row r="98" spans="4:38" s="48" customFormat="1" ht="15" customHeight="1" x14ac:dyDescent="0.25">
      <c r="D98" s="49"/>
      <c r="E98" s="43"/>
      <c r="F98" s="20"/>
      <c r="G98" s="14"/>
      <c r="H98" s="20"/>
      <c r="I98" s="15"/>
      <c r="J98" s="16"/>
      <c r="K98" s="14"/>
      <c r="L98" s="17"/>
      <c r="M98" s="18"/>
      <c r="N98" s="17"/>
      <c r="O98" s="18"/>
      <c r="P98" s="19"/>
      <c r="Q98" s="17"/>
      <c r="R98" s="40"/>
      <c r="S98" s="42">
        <v>84</v>
      </c>
      <c r="T98" s="40"/>
      <c r="V98" s="48" t="str">
        <f t="shared" si="26"/>
        <v/>
      </c>
      <c r="W98" s="48">
        <f t="shared" si="15"/>
        <v>0</v>
      </c>
      <c r="Y98" s="48" t="str">
        <f t="shared" si="16"/>
        <v/>
      </c>
      <c r="Z98" s="48" t="str">
        <f t="shared" si="17"/>
        <v/>
      </c>
      <c r="AA98" s="48" t="str">
        <f t="shared" si="18"/>
        <v/>
      </c>
      <c r="AB98" s="48" t="str">
        <f t="shared" si="27"/>
        <v/>
      </c>
      <c r="AC98" s="48" t="str">
        <f t="shared" si="19"/>
        <v/>
      </c>
      <c r="AD98" s="48" t="str">
        <f t="shared" si="20"/>
        <v/>
      </c>
      <c r="AE98" s="48" t="str">
        <f t="shared" si="21"/>
        <v/>
      </c>
      <c r="AF98" s="48" t="str">
        <f t="shared" si="22"/>
        <v/>
      </c>
      <c r="AG98" s="48" t="str">
        <f t="shared" si="23"/>
        <v/>
      </c>
      <c r="AH98" s="48" t="str">
        <f t="shared" si="24"/>
        <v/>
      </c>
      <c r="AI98" s="48" t="str">
        <f t="shared" si="25"/>
        <v/>
      </c>
      <c r="AJ98" s="48" t="str">
        <f t="shared" si="28"/>
        <v/>
      </c>
      <c r="AK98" s="48" t="str">
        <f t="shared" si="29"/>
        <v/>
      </c>
      <c r="AL98" s="48" t="str">
        <f>IF(W98=0,"",_xlfn.CONCAT(DADOS!$A$8,Y98:AK98,"
"))</f>
        <v/>
      </c>
    </row>
    <row r="99" spans="4:38" s="48" customFormat="1" ht="15" customHeight="1" x14ac:dyDescent="0.25">
      <c r="D99" s="49"/>
      <c r="E99" s="43"/>
      <c r="F99" s="20"/>
      <c r="G99" s="14"/>
      <c r="H99" s="20"/>
      <c r="I99" s="15"/>
      <c r="J99" s="16"/>
      <c r="K99" s="14"/>
      <c r="L99" s="17"/>
      <c r="M99" s="18"/>
      <c r="N99" s="17"/>
      <c r="O99" s="18"/>
      <c r="P99" s="19"/>
      <c r="Q99" s="17"/>
      <c r="R99" s="40"/>
      <c r="S99" s="42">
        <v>85</v>
      </c>
      <c r="T99" s="40"/>
      <c r="V99" s="48" t="str">
        <f t="shared" si="26"/>
        <v/>
      </c>
      <c r="W99" s="48">
        <f t="shared" si="15"/>
        <v>0</v>
      </c>
      <c r="Y99" s="48" t="str">
        <f t="shared" si="16"/>
        <v/>
      </c>
      <c r="Z99" s="48" t="str">
        <f t="shared" si="17"/>
        <v/>
      </c>
      <c r="AA99" s="48" t="str">
        <f t="shared" si="18"/>
        <v/>
      </c>
      <c r="AB99" s="48" t="str">
        <f t="shared" si="27"/>
        <v/>
      </c>
      <c r="AC99" s="48" t="str">
        <f t="shared" si="19"/>
        <v/>
      </c>
      <c r="AD99" s="48" t="str">
        <f t="shared" si="20"/>
        <v/>
      </c>
      <c r="AE99" s="48" t="str">
        <f t="shared" si="21"/>
        <v/>
      </c>
      <c r="AF99" s="48" t="str">
        <f t="shared" si="22"/>
        <v/>
      </c>
      <c r="AG99" s="48" t="str">
        <f t="shared" si="23"/>
        <v/>
      </c>
      <c r="AH99" s="48" t="str">
        <f t="shared" si="24"/>
        <v/>
      </c>
      <c r="AI99" s="48" t="str">
        <f t="shared" si="25"/>
        <v/>
      </c>
      <c r="AJ99" s="48" t="str">
        <f t="shared" si="28"/>
        <v/>
      </c>
      <c r="AK99" s="48" t="str">
        <f t="shared" si="29"/>
        <v/>
      </c>
      <c r="AL99" s="48" t="str">
        <f>IF(W99=0,"",_xlfn.CONCAT(DADOS!$A$8,Y99:AK99,"
"))</f>
        <v/>
      </c>
    </row>
    <row r="100" spans="4:38" s="48" customFormat="1" ht="15" customHeight="1" x14ac:dyDescent="0.25">
      <c r="D100" s="49"/>
      <c r="E100" s="43"/>
      <c r="F100" s="20"/>
      <c r="G100" s="14"/>
      <c r="H100" s="20"/>
      <c r="I100" s="15"/>
      <c r="J100" s="16"/>
      <c r="K100" s="14"/>
      <c r="L100" s="17"/>
      <c r="M100" s="18"/>
      <c r="N100" s="17"/>
      <c r="O100" s="18"/>
      <c r="P100" s="19"/>
      <c r="Q100" s="17"/>
      <c r="R100" s="40"/>
      <c r="S100" s="42">
        <v>86</v>
      </c>
      <c r="T100" s="40"/>
      <c r="V100" s="48" t="str">
        <f t="shared" si="26"/>
        <v/>
      </c>
      <c r="W100" s="48">
        <f t="shared" si="15"/>
        <v>0</v>
      </c>
      <c r="Y100" s="48" t="str">
        <f t="shared" si="16"/>
        <v/>
      </c>
      <c r="Z100" s="48" t="str">
        <f t="shared" si="17"/>
        <v/>
      </c>
      <c r="AA100" s="48" t="str">
        <f t="shared" si="18"/>
        <v/>
      </c>
      <c r="AB100" s="48" t="str">
        <f t="shared" si="27"/>
        <v/>
      </c>
      <c r="AC100" s="48" t="str">
        <f t="shared" si="19"/>
        <v/>
      </c>
      <c r="AD100" s="48" t="str">
        <f t="shared" si="20"/>
        <v/>
      </c>
      <c r="AE100" s="48" t="str">
        <f t="shared" si="21"/>
        <v/>
      </c>
      <c r="AF100" s="48" t="str">
        <f t="shared" si="22"/>
        <v/>
      </c>
      <c r="AG100" s="48" t="str">
        <f t="shared" si="23"/>
        <v/>
      </c>
      <c r="AH100" s="48" t="str">
        <f t="shared" si="24"/>
        <v/>
      </c>
      <c r="AI100" s="48" t="str">
        <f t="shared" si="25"/>
        <v/>
      </c>
      <c r="AJ100" s="48" t="str">
        <f t="shared" si="28"/>
        <v/>
      </c>
      <c r="AK100" s="48" t="str">
        <f t="shared" si="29"/>
        <v/>
      </c>
      <c r="AL100" s="48" t="str">
        <f>IF(W100=0,"",_xlfn.CONCAT(DADOS!$A$8,Y100:AK100,"
"))</f>
        <v/>
      </c>
    </row>
    <row r="101" spans="4:38" s="48" customFormat="1" ht="15" customHeight="1" x14ac:dyDescent="0.25">
      <c r="D101" s="49"/>
      <c r="E101" s="43"/>
      <c r="F101" s="20"/>
      <c r="G101" s="14"/>
      <c r="H101" s="20"/>
      <c r="I101" s="15"/>
      <c r="J101" s="16"/>
      <c r="K101" s="14"/>
      <c r="L101" s="17"/>
      <c r="M101" s="18"/>
      <c r="N101" s="17"/>
      <c r="O101" s="18"/>
      <c r="P101" s="19"/>
      <c r="Q101" s="17"/>
      <c r="R101" s="40"/>
      <c r="S101" s="42">
        <v>87</v>
      </c>
      <c r="T101" s="40"/>
      <c r="V101" s="48" t="str">
        <f t="shared" si="26"/>
        <v/>
      </c>
      <c r="W101" s="48">
        <f t="shared" si="15"/>
        <v>0</v>
      </c>
      <c r="Y101" s="48" t="str">
        <f t="shared" si="16"/>
        <v/>
      </c>
      <c r="Z101" s="48" t="str">
        <f t="shared" si="17"/>
        <v/>
      </c>
      <c r="AA101" s="48" t="str">
        <f t="shared" si="18"/>
        <v/>
      </c>
      <c r="AB101" s="48" t="str">
        <f t="shared" si="27"/>
        <v/>
      </c>
      <c r="AC101" s="48" t="str">
        <f t="shared" si="19"/>
        <v/>
      </c>
      <c r="AD101" s="48" t="str">
        <f t="shared" si="20"/>
        <v/>
      </c>
      <c r="AE101" s="48" t="str">
        <f t="shared" si="21"/>
        <v/>
      </c>
      <c r="AF101" s="48" t="str">
        <f t="shared" si="22"/>
        <v/>
      </c>
      <c r="AG101" s="48" t="str">
        <f t="shared" si="23"/>
        <v/>
      </c>
      <c r="AH101" s="48" t="str">
        <f t="shared" si="24"/>
        <v/>
      </c>
      <c r="AI101" s="48" t="str">
        <f t="shared" si="25"/>
        <v/>
      </c>
      <c r="AJ101" s="48" t="str">
        <f t="shared" si="28"/>
        <v/>
      </c>
      <c r="AK101" s="48" t="str">
        <f t="shared" si="29"/>
        <v/>
      </c>
      <c r="AL101" s="48" t="str">
        <f>IF(W101=0,"",_xlfn.CONCAT(DADOS!$A$8,Y101:AK101,"
"))</f>
        <v/>
      </c>
    </row>
    <row r="102" spans="4:38" s="48" customFormat="1" ht="15" customHeight="1" x14ac:dyDescent="0.25">
      <c r="D102" s="49"/>
      <c r="E102" s="43"/>
      <c r="F102" s="20"/>
      <c r="G102" s="14"/>
      <c r="H102" s="20"/>
      <c r="I102" s="15"/>
      <c r="J102" s="16"/>
      <c r="K102" s="14"/>
      <c r="L102" s="17"/>
      <c r="M102" s="18"/>
      <c r="N102" s="17"/>
      <c r="O102" s="18"/>
      <c r="P102" s="19"/>
      <c r="Q102" s="17"/>
      <c r="R102" s="40"/>
      <c r="S102" s="42">
        <v>88</v>
      </c>
      <c r="T102" s="40"/>
      <c r="V102" s="48" t="str">
        <f t="shared" si="26"/>
        <v/>
      </c>
      <c r="W102" s="48">
        <f t="shared" si="15"/>
        <v>0</v>
      </c>
      <c r="Y102" s="48" t="str">
        <f t="shared" si="16"/>
        <v/>
      </c>
      <c r="Z102" s="48" t="str">
        <f t="shared" si="17"/>
        <v/>
      </c>
      <c r="AA102" s="48" t="str">
        <f t="shared" si="18"/>
        <v/>
      </c>
      <c r="AB102" s="48" t="str">
        <f t="shared" si="27"/>
        <v/>
      </c>
      <c r="AC102" s="48" t="str">
        <f t="shared" si="19"/>
        <v/>
      </c>
      <c r="AD102" s="48" t="str">
        <f t="shared" si="20"/>
        <v/>
      </c>
      <c r="AE102" s="48" t="str">
        <f t="shared" si="21"/>
        <v/>
      </c>
      <c r="AF102" s="48" t="str">
        <f t="shared" si="22"/>
        <v/>
      </c>
      <c r="AG102" s="48" t="str">
        <f t="shared" si="23"/>
        <v/>
      </c>
      <c r="AH102" s="48" t="str">
        <f t="shared" si="24"/>
        <v/>
      </c>
      <c r="AI102" s="48" t="str">
        <f t="shared" si="25"/>
        <v/>
      </c>
      <c r="AJ102" s="48" t="str">
        <f t="shared" si="28"/>
        <v/>
      </c>
      <c r="AK102" s="48" t="str">
        <f t="shared" si="29"/>
        <v/>
      </c>
      <c r="AL102" s="48" t="str">
        <f>IF(W102=0,"",_xlfn.CONCAT(DADOS!$A$8,Y102:AK102,"
"))</f>
        <v/>
      </c>
    </row>
    <row r="103" spans="4:38" s="48" customFormat="1" ht="15" customHeight="1" x14ac:dyDescent="0.25">
      <c r="D103" s="49"/>
      <c r="E103" s="43"/>
      <c r="F103" s="20"/>
      <c r="G103" s="14"/>
      <c r="H103" s="20"/>
      <c r="I103" s="15"/>
      <c r="J103" s="16"/>
      <c r="K103" s="14"/>
      <c r="L103" s="17"/>
      <c r="M103" s="18"/>
      <c r="N103" s="17"/>
      <c r="O103" s="18"/>
      <c r="P103" s="19"/>
      <c r="Q103" s="17"/>
      <c r="R103" s="40"/>
      <c r="S103" s="42">
        <v>89</v>
      </c>
      <c r="T103" s="40"/>
      <c r="V103" s="48" t="str">
        <f t="shared" si="26"/>
        <v/>
      </c>
      <c r="W103" s="48">
        <f t="shared" si="15"/>
        <v>0</v>
      </c>
      <c r="Y103" s="48" t="str">
        <f t="shared" si="16"/>
        <v/>
      </c>
      <c r="Z103" s="48" t="str">
        <f t="shared" si="17"/>
        <v/>
      </c>
      <c r="AA103" s="48" t="str">
        <f t="shared" si="18"/>
        <v/>
      </c>
      <c r="AB103" s="48" t="str">
        <f t="shared" si="27"/>
        <v/>
      </c>
      <c r="AC103" s="48" t="str">
        <f t="shared" si="19"/>
        <v/>
      </c>
      <c r="AD103" s="48" t="str">
        <f t="shared" si="20"/>
        <v/>
      </c>
      <c r="AE103" s="48" t="str">
        <f t="shared" si="21"/>
        <v/>
      </c>
      <c r="AF103" s="48" t="str">
        <f t="shared" si="22"/>
        <v/>
      </c>
      <c r="AG103" s="48" t="str">
        <f t="shared" si="23"/>
        <v/>
      </c>
      <c r="AH103" s="48" t="str">
        <f t="shared" si="24"/>
        <v/>
      </c>
      <c r="AI103" s="48" t="str">
        <f t="shared" si="25"/>
        <v/>
      </c>
      <c r="AJ103" s="48" t="str">
        <f t="shared" si="28"/>
        <v/>
      </c>
      <c r="AK103" s="48" t="str">
        <f t="shared" si="29"/>
        <v/>
      </c>
      <c r="AL103" s="48" t="str">
        <f>IF(W103=0,"",_xlfn.CONCAT(DADOS!$A$8,Y103:AK103,"
"))</f>
        <v/>
      </c>
    </row>
    <row r="104" spans="4:38" s="48" customFormat="1" ht="15" customHeight="1" x14ac:dyDescent="0.25">
      <c r="D104" s="49"/>
      <c r="E104" s="43"/>
      <c r="F104" s="20"/>
      <c r="G104" s="14"/>
      <c r="H104" s="20"/>
      <c r="I104" s="15"/>
      <c r="J104" s="16"/>
      <c r="K104" s="14"/>
      <c r="L104" s="17"/>
      <c r="M104" s="18"/>
      <c r="N104" s="17"/>
      <c r="O104" s="18"/>
      <c r="P104" s="19"/>
      <c r="Q104" s="17"/>
      <c r="R104" s="40"/>
      <c r="S104" s="42">
        <v>90</v>
      </c>
      <c r="T104" s="40"/>
      <c r="V104" s="48" t="str">
        <f t="shared" si="26"/>
        <v/>
      </c>
      <c r="W104" s="48">
        <f t="shared" si="15"/>
        <v>0</v>
      </c>
      <c r="Y104" s="48" t="str">
        <f t="shared" si="16"/>
        <v/>
      </c>
      <c r="Z104" s="48" t="str">
        <f t="shared" si="17"/>
        <v/>
      </c>
      <c r="AA104" s="48" t="str">
        <f t="shared" si="18"/>
        <v/>
      </c>
      <c r="AB104" s="48" t="str">
        <f t="shared" si="27"/>
        <v/>
      </c>
      <c r="AC104" s="48" t="str">
        <f t="shared" si="19"/>
        <v/>
      </c>
      <c r="AD104" s="48" t="str">
        <f t="shared" si="20"/>
        <v/>
      </c>
      <c r="AE104" s="48" t="str">
        <f t="shared" si="21"/>
        <v/>
      </c>
      <c r="AF104" s="48" t="str">
        <f t="shared" si="22"/>
        <v/>
      </c>
      <c r="AG104" s="48" t="str">
        <f t="shared" si="23"/>
        <v/>
      </c>
      <c r="AH104" s="48" t="str">
        <f t="shared" si="24"/>
        <v/>
      </c>
      <c r="AI104" s="48" t="str">
        <f t="shared" si="25"/>
        <v/>
      </c>
      <c r="AJ104" s="48" t="str">
        <f t="shared" si="28"/>
        <v/>
      </c>
      <c r="AK104" s="48" t="str">
        <f t="shared" si="29"/>
        <v/>
      </c>
      <c r="AL104" s="48" t="str">
        <f>IF(W104=0,"",_xlfn.CONCAT(DADOS!$A$8,Y104:AK104,"
"))</f>
        <v/>
      </c>
    </row>
    <row r="105" spans="4:38" s="48" customFormat="1" ht="15" customHeight="1" x14ac:dyDescent="0.25">
      <c r="D105" s="49"/>
      <c r="E105" s="43"/>
      <c r="F105" s="20"/>
      <c r="G105" s="14"/>
      <c r="H105" s="20"/>
      <c r="I105" s="15"/>
      <c r="J105" s="16"/>
      <c r="K105" s="14"/>
      <c r="L105" s="17"/>
      <c r="M105" s="18"/>
      <c r="N105" s="17"/>
      <c r="O105" s="18"/>
      <c r="P105" s="19"/>
      <c r="Q105" s="17"/>
      <c r="R105" s="40"/>
      <c r="S105" s="42">
        <v>91</v>
      </c>
      <c r="T105" s="40"/>
      <c r="V105" s="48" t="str">
        <f t="shared" si="26"/>
        <v/>
      </c>
      <c r="W105" s="48">
        <f t="shared" si="15"/>
        <v>0</v>
      </c>
      <c r="Y105" s="48" t="str">
        <f t="shared" si="16"/>
        <v/>
      </c>
      <c r="Z105" s="48" t="str">
        <f t="shared" si="17"/>
        <v/>
      </c>
      <c r="AA105" s="48" t="str">
        <f t="shared" si="18"/>
        <v/>
      </c>
      <c r="AB105" s="48" t="str">
        <f t="shared" si="27"/>
        <v/>
      </c>
      <c r="AC105" s="48" t="str">
        <f t="shared" si="19"/>
        <v/>
      </c>
      <c r="AD105" s="48" t="str">
        <f t="shared" si="20"/>
        <v/>
      </c>
      <c r="AE105" s="48" t="str">
        <f t="shared" si="21"/>
        <v/>
      </c>
      <c r="AF105" s="48" t="str">
        <f t="shared" si="22"/>
        <v/>
      </c>
      <c r="AG105" s="48" t="str">
        <f t="shared" si="23"/>
        <v/>
      </c>
      <c r="AH105" s="48" t="str">
        <f t="shared" si="24"/>
        <v/>
      </c>
      <c r="AI105" s="48" t="str">
        <f t="shared" si="25"/>
        <v/>
      </c>
      <c r="AJ105" s="48" t="str">
        <f t="shared" si="28"/>
        <v/>
      </c>
      <c r="AK105" s="48" t="str">
        <f t="shared" si="29"/>
        <v/>
      </c>
      <c r="AL105" s="48" t="str">
        <f>IF(W105=0,"",_xlfn.CONCAT(DADOS!$A$8,Y105:AK105,"
"))</f>
        <v/>
      </c>
    </row>
    <row r="106" spans="4:38" s="48" customFormat="1" ht="15" customHeight="1" x14ac:dyDescent="0.25">
      <c r="D106" s="49"/>
      <c r="E106" s="43"/>
      <c r="F106" s="20"/>
      <c r="G106" s="14"/>
      <c r="H106" s="20"/>
      <c r="I106" s="15"/>
      <c r="J106" s="16"/>
      <c r="K106" s="14"/>
      <c r="L106" s="17"/>
      <c r="M106" s="18"/>
      <c r="N106" s="17"/>
      <c r="O106" s="18"/>
      <c r="P106" s="19"/>
      <c r="Q106" s="17"/>
      <c r="R106" s="40"/>
      <c r="S106" s="42">
        <v>92</v>
      </c>
      <c r="T106" s="40"/>
      <c r="V106" s="48" t="str">
        <f t="shared" si="26"/>
        <v/>
      </c>
      <c r="W106" s="48">
        <f t="shared" si="15"/>
        <v>0</v>
      </c>
      <c r="Y106" s="48" t="str">
        <f t="shared" si="16"/>
        <v/>
      </c>
      <c r="Z106" s="48" t="str">
        <f t="shared" si="17"/>
        <v/>
      </c>
      <c r="AA106" s="48" t="str">
        <f t="shared" si="18"/>
        <v/>
      </c>
      <c r="AB106" s="48" t="str">
        <f t="shared" si="27"/>
        <v/>
      </c>
      <c r="AC106" s="48" t="str">
        <f t="shared" si="19"/>
        <v/>
      </c>
      <c r="AD106" s="48" t="str">
        <f t="shared" si="20"/>
        <v/>
      </c>
      <c r="AE106" s="48" t="str">
        <f t="shared" si="21"/>
        <v/>
      </c>
      <c r="AF106" s="48" t="str">
        <f t="shared" si="22"/>
        <v/>
      </c>
      <c r="AG106" s="48" t="str">
        <f t="shared" si="23"/>
        <v/>
      </c>
      <c r="AH106" s="48" t="str">
        <f t="shared" si="24"/>
        <v/>
      </c>
      <c r="AI106" s="48" t="str">
        <f t="shared" si="25"/>
        <v/>
      </c>
      <c r="AJ106" s="48" t="str">
        <f t="shared" si="28"/>
        <v/>
      </c>
      <c r="AK106" s="48" t="str">
        <f t="shared" si="29"/>
        <v/>
      </c>
      <c r="AL106" s="48" t="str">
        <f>IF(W106=0,"",_xlfn.CONCAT(DADOS!$A$8,Y106:AK106,"
"))</f>
        <v/>
      </c>
    </row>
    <row r="107" spans="4:38" s="48" customFormat="1" ht="15" customHeight="1" x14ac:dyDescent="0.25">
      <c r="D107" s="49"/>
      <c r="E107" s="43"/>
      <c r="F107" s="20"/>
      <c r="G107" s="14"/>
      <c r="H107" s="20"/>
      <c r="I107" s="15"/>
      <c r="J107" s="16"/>
      <c r="K107" s="14"/>
      <c r="L107" s="17"/>
      <c r="M107" s="18"/>
      <c r="N107" s="17"/>
      <c r="O107" s="18"/>
      <c r="P107" s="19"/>
      <c r="Q107" s="17"/>
      <c r="R107" s="40"/>
      <c r="S107" s="42">
        <v>93</v>
      </c>
      <c r="T107" s="40"/>
      <c r="V107" s="48" t="str">
        <f t="shared" si="26"/>
        <v/>
      </c>
      <c r="W107" s="48">
        <f t="shared" si="15"/>
        <v>0</v>
      </c>
      <c r="Y107" s="48" t="str">
        <f t="shared" si="16"/>
        <v/>
      </c>
      <c r="Z107" s="48" t="str">
        <f t="shared" si="17"/>
        <v/>
      </c>
      <c r="AA107" s="48" t="str">
        <f t="shared" si="18"/>
        <v/>
      </c>
      <c r="AB107" s="48" t="str">
        <f t="shared" si="27"/>
        <v/>
      </c>
      <c r="AC107" s="48" t="str">
        <f t="shared" si="19"/>
        <v/>
      </c>
      <c r="AD107" s="48" t="str">
        <f t="shared" si="20"/>
        <v/>
      </c>
      <c r="AE107" s="48" t="str">
        <f t="shared" si="21"/>
        <v/>
      </c>
      <c r="AF107" s="48" t="str">
        <f t="shared" si="22"/>
        <v/>
      </c>
      <c r="AG107" s="48" t="str">
        <f t="shared" si="23"/>
        <v/>
      </c>
      <c r="AH107" s="48" t="str">
        <f t="shared" si="24"/>
        <v/>
      </c>
      <c r="AI107" s="48" t="str">
        <f t="shared" si="25"/>
        <v/>
      </c>
      <c r="AJ107" s="48" t="str">
        <f t="shared" si="28"/>
        <v/>
      </c>
      <c r="AK107" s="48" t="str">
        <f t="shared" si="29"/>
        <v/>
      </c>
      <c r="AL107" s="48" t="str">
        <f>IF(W107=0,"",_xlfn.CONCAT(DADOS!$A$8,Y107:AK107,"
"))</f>
        <v/>
      </c>
    </row>
    <row r="108" spans="4:38" s="48" customFormat="1" ht="15" customHeight="1" x14ac:dyDescent="0.25">
      <c r="D108" s="49"/>
      <c r="E108" s="43"/>
      <c r="F108" s="20"/>
      <c r="G108" s="14"/>
      <c r="H108" s="20"/>
      <c r="I108" s="15"/>
      <c r="J108" s="16"/>
      <c r="K108" s="14"/>
      <c r="L108" s="17"/>
      <c r="M108" s="18"/>
      <c r="N108" s="17"/>
      <c r="O108" s="18"/>
      <c r="P108" s="19"/>
      <c r="Q108" s="17"/>
      <c r="R108" s="40"/>
      <c r="S108" s="42">
        <v>94</v>
      </c>
      <c r="T108" s="40"/>
      <c r="V108" s="48" t="str">
        <f t="shared" si="26"/>
        <v/>
      </c>
      <c r="W108" s="48">
        <f t="shared" si="15"/>
        <v>0</v>
      </c>
      <c r="Y108" s="48" t="str">
        <f t="shared" si="16"/>
        <v/>
      </c>
      <c r="Z108" s="48" t="str">
        <f t="shared" si="17"/>
        <v/>
      </c>
      <c r="AA108" s="48" t="str">
        <f t="shared" si="18"/>
        <v/>
      </c>
      <c r="AB108" s="48" t="str">
        <f t="shared" si="27"/>
        <v/>
      </c>
      <c r="AC108" s="48" t="str">
        <f t="shared" si="19"/>
        <v/>
      </c>
      <c r="AD108" s="48" t="str">
        <f t="shared" si="20"/>
        <v/>
      </c>
      <c r="AE108" s="48" t="str">
        <f t="shared" si="21"/>
        <v/>
      </c>
      <c r="AF108" s="48" t="str">
        <f t="shared" si="22"/>
        <v/>
      </c>
      <c r="AG108" s="48" t="str">
        <f t="shared" si="23"/>
        <v/>
      </c>
      <c r="AH108" s="48" t="str">
        <f t="shared" si="24"/>
        <v/>
      </c>
      <c r="AI108" s="48" t="str">
        <f t="shared" si="25"/>
        <v/>
      </c>
      <c r="AJ108" s="48" t="str">
        <f t="shared" si="28"/>
        <v/>
      </c>
      <c r="AK108" s="48" t="str">
        <f t="shared" si="29"/>
        <v/>
      </c>
      <c r="AL108" s="48" t="str">
        <f>IF(W108=0,"",_xlfn.CONCAT(DADOS!$A$8,Y108:AK108,"
"))</f>
        <v/>
      </c>
    </row>
    <row r="109" spans="4:38" s="48" customFormat="1" ht="15" customHeight="1" x14ac:dyDescent="0.25">
      <c r="D109" s="49"/>
      <c r="E109" s="43"/>
      <c r="F109" s="20"/>
      <c r="G109" s="14"/>
      <c r="H109" s="20"/>
      <c r="I109" s="15"/>
      <c r="J109" s="16"/>
      <c r="K109" s="14"/>
      <c r="L109" s="17"/>
      <c r="M109" s="18"/>
      <c r="N109" s="17"/>
      <c r="O109" s="18"/>
      <c r="P109" s="19"/>
      <c r="Q109" s="17"/>
      <c r="R109" s="40"/>
      <c r="S109" s="42">
        <v>95</v>
      </c>
      <c r="T109" s="40"/>
      <c r="V109" s="48" t="str">
        <f t="shared" si="26"/>
        <v/>
      </c>
      <c r="W109" s="48">
        <f t="shared" si="15"/>
        <v>0</v>
      </c>
      <c r="Y109" s="48" t="str">
        <f t="shared" si="16"/>
        <v/>
      </c>
      <c r="Z109" s="48" t="str">
        <f t="shared" si="17"/>
        <v/>
      </c>
      <c r="AA109" s="48" t="str">
        <f t="shared" si="18"/>
        <v/>
      </c>
      <c r="AB109" s="48" t="str">
        <f t="shared" si="27"/>
        <v/>
      </c>
      <c r="AC109" s="48" t="str">
        <f t="shared" si="19"/>
        <v/>
      </c>
      <c r="AD109" s="48" t="str">
        <f t="shared" si="20"/>
        <v/>
      </c>
      <c r="AE109" s="48" t="str">
        <f t="shared" si="21"/>
        <v/>
      </c>
      <c r="AF109" s="48" t="str">
        <f t="shared" si="22"/>
        <v/>
      </c>
      <c r="AG109" s="48" t="str">
        <f t="shared" si="23"/>
        <v/>
      </c>
      <c r="AH109" s="48" t="str">
        <f t="shared" si="24"/>
        <v/>
      </c>
      <c r="AI109" s="48" t="str">
        <f t="shared" si="25"/>
        <v/>
      </c>
      <c r="AJ109" s="48" t="str">
        <f t="shared" si="28"/>
        <v/>
      </c>
      <c r="AK109" s="48" t="str">
        <f t="shared" si="29"/>
        <v/>
      </c>
      <c r="AL109" s="48" t="str">
        <f>IF(W109=0,"",_xlfn.CONCAT(DADOS!$A$8,Y109:AK109,"
"))</f>
        <v/>
      </c>
    </row>
    <row r="110" spans="4:38" s="48" customFormat="1" ht="15" customHeight="1" x14ac:dyDescent="0.25">
      <c r="D110" s="49"/>
      <c r="E110" s="43"/>
      <c r="F110" s="20"/>
      <c r="G110" s="14"/>
      <c r="H110" s="20"/>
      <c r="I110" s="15"/>
      <c r="J110" s="16"/>
      <c r="K110" s="14"/>
      <c r="L110" s="17"/>
      <c r="M110" s="18"/>
      <c r="N110" s="17"/>
      <c r="O110" s="18"/>
      <c r="P110" s="19"/>
      <c r="Q110" s="17"/>
      <c r="R110" s="40"/>
      <c r="S110" s="42">
        <v>96</v>
      </c>
      <c r="T110" s="40"/>
      <c r="V110" s="48" t="str">
        <f t="shared" si="26"/>
        <v/>
      </c>
      <c r="W110" s="48">
        <f t="shared" si="15"/>
        <v>0</v>
      </c>
      <c r="Y110" s="48" t="str">
        <f t="shared" si="16"/>
        <v/>
      </c>
      <c r="Z110" s="48" t="str">
        <f t="shared" si="17"/>
        <v/>
      </c>
      <c r="AA110" s="48" t="str">
        <f t="shared" si="18"/>
        <v/>
      </c>
      <c r="AB110" s="48" t="str">
        <f t="shared" si="27"/>
        <v/>
      </c>
      <c r="AC110" s="48" t="str">
        <f t="shared" si="19"/>
        <v/>
      </c>
      <c r="AD110" s="48" t="str">
        <f t="shared" si="20"/>
        <v/>
      </c>
      <c r="AE110" s="48" t="str">
        <f t="shared" si="21"/>
        <v/>
      </c>
      <c r="AF110" s="48" t="str">
        <f t="shared" si="22"/>
        <v/>
      </c>
      <c r="AG110" s="48" t="str">
        <f t="shared" si="23"/>
        <v/>
      </c>
      <c r="AH110" s="48" t="str">
        <f t="shared" si="24"/>
        <v/>
      </c>
      <c r="AI110" s="48" t="str">
        <f t="shared" si="25"/>
        <v/>
      </c>
      <c r="AJ110" s="48" t="str">
        <f t="shared" si="28"/>
        <v/>
      </c>
      <c r="AK110" s="48" t="str">
        <f t="shared" si="29"/>
        <v/>
      </c>
      <c r="AL110" s="48" t="str">
        <f>IF(W110=0,"",_xlfn.CONCAT(DADOS!$A$8,Y110:AK110,"
"))</f>
        <v/>
      </c>
    </row>
    <row r="111" spans="4:38" s="48" customFormat="1" ht="15" customHeight="1" x14ac:dyDescent="0.25">
      <c r="D111" s="49"/>
      <c r="E111" s="43"/>
      <c r="F111" s="20"/>
      <c r="G111" s="14"/>
      <c r="H111" s="20"/>
      <c r="I111" s="15"/>
      <c r="J111" s="16"/>
      <c r="K111" s="14"/>
      <c r="L111" s="17"/>
      <c r="M111" s="18"/>
      <c r="N111" s="17"/>
      <c r="O111" s="18"/>
      <c r="P111" s="19"/>
      <c r="Q111" s="17"/>
      <c r="R111" s="40"/>
      <c r="S111" s="42">
        <v>97</v>
      </c>
      <c r="T111" s="40"/>
      <c r="V111" s="48" t="str">
        <f t="shared" si="26"/>
        <v/>
      </c>
      <c r="W111" s="48">
        <f t="shared" si="15"/>
        <v>0</v>
      </c>
      <c r="Y111" s="48" t="str">
        <f t="shared" si="16"/>
        <v/>
      </c>
      <c r="Z111" s="48" t="str">
        <f t="shared" si="17"/>
        <v/>
      </c>
      <c r="AA111" s="48" t="str">
        <f t="shared" si="18"/>
        <v/>
      </c>
      <c r="AB111" s="48" t="str">
        <f t="shared" si="27"/>
        <v/>
      </c>
      <c r="AC111" s="48" t="str">
        <f t="shared" si="19"/>
        <v/>
      </c>
      <c r="AD111" s="48" t="str">
        <f t="shared" si="20"/>
        <v/>
      </c>
      <c r="AE111" s="48" t="str">
        <f t="shared" si="21"/>
        <v/>
      </c>
      <c r="AF111" s="48" t="str">
        <f t="shared" si="22"/>
        <v/>
      </c>
      <c r="AG111" s="48" t="str">
        <f t="shared" si="23"/>
        <v/>
      </c>
      <c r="AH111" s="48" t="str">
        <f t="shared" si="24"/>
        <v/>
      </c>
      <c r="AI111" s="48" t="str">
        <f t="shared" si="25"/>
        <v/>
      </c>
      <c r="AJ111" s="48" t="str">
        <f t="shared" si="28"/>
        <v/>
      </c>
      <c r="AK111" s="48" t="str">
        <f t="shared" si="29"/>
        <v/>
      </c>
      <c r="AL111" s="48" t="str">
        <f>IF(W111=0,"",_xlfn.CONCAT(DADOS!$A$8,Y111:AK111,"
"))</f>
        <v/>
      </c>
    </row>
    <row r="112" spans="4:38" s="48" customFormat="1" ht="15" customHeight="1" x14ac:dyDescent="0.25">
      <c r="D112" s="49"/>
      <c r="E112" s="43"/>
      <c r="F112" s="20"/>
      <c r="G112" s="14"/>
      <c r="H112" s="20"/>
      <c r="I112" s="15"/>
      <c r="J112" s="16"/>
      <c r="K112" s="14"/>
      <c r="L112" s="17"/>
      <c r="M112" s="18"/>
      <c r="N112" s="17"/>
      <c r="O112" s="18"/>
      <c r="P112" s="19"/>
      <c r="Q112" s="17"/>
      <c r="R112" s="40"/>
      <c r="S112" s="42">
        <v>98</v>
      </c>
      <c r="T112" s="40"/>
      <c r="V112" s="48" t="str">
        <f t="shared" si="26"/>
        <v/>
      </c>
      <c r="W112" s="48">
        <f t="shared" si="15"/>
        <v>0</v>
      </c>
      <c r="Y112" s="48" t="str">
        <f t="shared" si="16"/>
        <v/>
      </c>
      <c r="Z112" s="48" t="str">
        <f t="shared" si="17"/>
        <v/>
      </c>
      <c r="AA112" s="48" t="str">
        <f t="shared" si="18"/>
        <v/>
      </c>
      <c r="AB112" s="48" t="str">
        <f t="shared" si="27"/>
        <v/>
      </c>
      <c r="AC112" s="48" t="str">
        <f t="shared" si="19"/>
        <v/>
      </c>
      <c r="AD112" s="48" t="str">
        <f t="shared" si="20"/>
        <v/>
      </c>
      <c r="AE112" s="48" t="str">
        <f t="shared" si="21"/>
        <v/>
      </c>
      <c r="AF112" s="48" t="str">
        <f t="shared" si="22"/>
        <v/>
      </c>
      <c r="AG112" s="48" t="str">
        <f t="shared" si="23"/>
        <v/>
      </c>
      <c r="AH112" s="48" t="str">
        <f t="shared" si="24"/>
        <v/>
      </c>
      <c r="AI112" s="48" t="str">
        <f t="shared" si="25"/>
        <v/>
      </c>
      <c r="AJ112" s="48" t="str">
        <f t="shared" si="28"/>
        <v/>
      </c>
      <c r="AK112" s="48" t="str">
        <f t="shared" si="29"/>
        <v/>
      </c>
      <c r="AL112" s="48" t="str">
        <f>IF(W112=0,"",_xlfn.CONCAT(DADOS!$A$8,Y112:AK112,"
"))</f>
        <v/>
      </c>
    </row>
    <row r="113" spans="4:38" s="48" customFormat="1" ht="15" customHeight="1" x14ac:dyDescent="0.25">
      <c r="D113" s="49"/>
      <c r="E113" s="43"/>
      <c r="F113" s="20"/>
      <c r="G113" s="14"/>
      <c r="H113" s="20"/>
      <c r="I113" s="15"/>
      <c r="J113" s="16"/>
      <c r="K113" s="14"/>
      <c r="L113" s="17"/>
      <c r="M113" s="18"/>
      <c r="N113" s="17"/>
      <c r="O113" s="18"/>
      <c r="P113" s="19"/>
      <c r="Q113" s="17"/>
      <c r="R113" s="40"/>
      <c r="S113" s="42">
        <v>99</v>
      </c>
      <c r="T113" s="40"/>
      <c r="V113" s="48" t="str">
        <f t="shared" si="26"/>
        <v/>
      </c>
      <c r="W113" s="48">
        <f t="shared" si="15"/>
        <v>0</v>
      </c>
      <c r="Y113" s="48" t="str">
        <f t="shared" si="16"/>
        <v/>
      </c>
      <c r="Z113" s="48" t="str">
        <f t="shared" si="17"/>
        <v/>
      </c>
      <c r="AA113" s="48" t="str">
        <f t="shared" si="18"/>
        <v/>
      </c>
      <c r="AB113" s="48" t="str">
        <f t="shared" si="27"/>
        <v/>
      </c>
      <c r="AC113" s="48" t="str">
        <f t="shared" si="19"/>
        <v/>
      </c>
      <c r="AD113" s="48" t="str">
        <f t="shared" si="20"/>
        <v/>
      </c>
      <c r="AE113" s="48" t="str">
        <f t="shared" si="21"/>
        <v/>
      </c>
      <c r="AF113" s="48" t="str">
        <f t="shared" si="22"/>
        <v/>
      </c>
      <c r="AG113" s="48" t="str">
        <f t="shared" si="23"/>
        <v/>
      </c>
      <c r="AH113" s="48" t="str">
        <f t="shared" si="24"/>
        <v/>
      </c>
      <c r="AI113" s="48" t="str">
        <f t="shared" si="25"/>
        <v/>
      </c>
      <c r="AJ113" s="48" t="str">
        <f t="shared" si="28"/>
        <v/>
      </c>
      <c r="AK113" s="48" t="str">
        <f t="shared" si="29"/>
        <v/>
      </c>
      <c r="AL113" s="48" t="str">
        <f>IF(W113=0,"",_xlfn.CONCAT(DADOS!$A$8,Y113:AK113,"
"))</f>
        <v/>
      </c>
    </row>
    <row r="114" spans="4:38" s="48" customFormat="1" ht="15" customHeight="1" x14ac:dyDescent="0.25">
      <c r="D114" s="49"/>
      <c r="E114" s="43"/>
      <c r="F114" s="20"/>
      <c r="G114" s="14"/>
      <c r="H114" s="20"/>
      <c r="I114" s="15"/>
      <c r="J114" s="16"/>
      <c r="K114" s="14"/>
      <c r="L114" s="17"/>
      <c r="M114" s="18"/>
      <c r="N114" s="17"/>
      <c r="O114" s="18"/>
      <c r="P114" s="19"/>
      <c r="Q114" s="17"/>
      <c r="R114" s="40"/>
      <c r="S114" s="42">
        <v>100</v>
      </c>
      <c r="T114" s="40"/>
      <c r="V114" s="48" t="str">
        <f t="shared" si="26"/>
        <v/>
      </c>
      <c r="W114" s="48">
        <f t="shared" si="15"/>
        <v>0</v>
      </c>
      <c r="Y114" s="48" t="str">
        <f t="shared" si="16"/>
        <v/>
      </c>
      <c r="Z114" s="48" t="str">
        <f t="shared" si="17"/>
        <v/>
      </c>
      <c r="AA114" s="48" t="str">
        <f t="shared" si="18"/>
        <v/>
      </c>
      <c r="AB114" s="48" t="str">
        <f t="shared" si="27"/>
        <v/>
      </c>
      <c r="AC114" s="48" t="str">
        <f t="shared" si="19"/>
        <v/>
      </c>
      <c r="AD114" s="48" t="str">
        <f t="shared" si="20"/>
        <v/>
      </c>
      <c r="AE114" s="48" t="str">
        <f t="shared" si="21"/>
        <v/>
      </c>
      <c r="AF114" s="48" t="str">
        <f t="shared" si="22"/>
        <v/>
      </c>
      <c r="AG114" s="48" t="str">
        <f t="shared" si="23"/>
        <v/>
      </c>
      <c r="AH114" s="48" t="str">
        <f t="shared" si="24"/>
        <v/>
      </c>
      <c r="AI114" s="48" t="str">
        <f t="shared" si="25"/>
        <v/>
      </c>
      <c r="AJ114" s="48" t="str">
        <f t="shared" si="28"/>
        <v/>
      </c>
      <c r="AK114" s="48" t="str">
        <f t="shared" si="29"/>
        <v/>
      </c>
      <c r="AL114" s="48" t="str">
        <f>IF(W114=0,"",_xlfn.CONCAT(DADOS!$A$8,Y114:AK114,"
"))</f>
        <v/>
      </c>
    </row>
    <row r="115" spans="4:38" s="48" customFormat="1" ht="15" customHeight="1" x14ac:dyDescent="0.25">
      <c r="D115" s="49"/>
      <c r="E115" s="43"/>
      <c r="F115" s="20"/>
      <c r="G115" s="14"/>
      <c r="H115" s="20"/>
      <c r="I115" s="15"/>
      <c r="J115" s="16"/>
      <c r="K115" s="14"/>
      <c r="L115" s="17"/>
      <c r="M115" s="18"/>
      <c r="N115" s="17"/>
      <c r="O115" s="18"/>
      <c r="P115" s="19"/>
      <c r="Q115" s="17"/>
      <c r="R115" s="40"/>
      <c r="S115" s="42">
        <v>101</v>
      </c>
      <c r="T115" s="40"/>
      <c r="V115" s="48" t="str">
        <f t="shared" si="26"/>
        <v/>
      </c>
      <c r="W115" s="48">
        <f t="shared" si="15"/>
        <v>0</v>
      </c>
      <c r="Y115" s="48" t="str">
        <f t="shared" si="16"/>
        <v/>
      </c>
      <c r="Z115" s="48" t="str">
        <f t="shared" si="17"/>
        <v/>
      </c>
      <c r="AA115" s="48" t="str">
        <f t="shared" si="18"/>
        <v/>
      </c>
      <c r="AB115" s="48" t="str">
        <f t="shared" si="27"/>
        <v/>
      </c>
      <c r="AC115" s="48" t="str">
        <f t="shared" si="19"/>
        <v/>
      </c>
      <c r="AD115" s="48" t="str">
        <f t="shared" si="20"/>
        <v/>
      </c>
      <c r="AE115" s="48" t="str">
        <f t="shared" si="21"/>
        <v/>
      </c>
      <c r="AF115" s="48" t="str">
        <f t="shared" si="22"/>
        <v/>
      </c>
      <c r="AG115" s="48" t="str">
        <f t="shared" si="23"/>
        <v/>
      </c>
      <c r="AH115" s="48" t="str">
        <f t="shared" si="24"/>
        <v/>
      </c>
      <c r="AI115" s="48" t="str">
        <f t="shared" si="25"/>
        <v/>
      </c>
      <c r="AJ115" s="48" t="str">
        <f t="shared" si="28"/>
        <v/>
      </c>
      <c r="AK115" s="48" t="str">
        <f t="shared" si="29"/>
        <v/>
      </c>
      <c r="AL115" s="48" t="str">
        <f>IF(W115=0,"",_xlfn.CONCAT(DADOS!$A$8,Y115:AK115,"
"))</f>
        <v/>
      </c>
    </row>
    <row r="116" spans="4:38" s="48" customFormat="1" ht="15" customHeight="1" x14ac:dyDescent="0.25">
      <c r="D116" s="49"/>
      <c r="E116" s="43"/>
      <c r="F116" s="20"/>
      <c r="G116" s="14"/>
      <c r="H116" s="20"/>
      <c r="I116" s="15"/>
      <c r="J116" s="16"/>
      <c r="K116" s="14"/>
      <c r="L116" s="17"/>
      <c r="M116" s="18"/>
      <c r="N116" s="17"/>
      <c r="O116" s="18"/>
      <c r="P116" s="19"/>
      <c r="Q116" s="17"/>
      <c r="R116" s="40"/>
      <c r="S116" s="42">
        <v>102</v>
      </c>
      <c r="T116" s="40"/>
      <c r="V116" s="48" t="str">
        <f t="shared" si="26"/>
        <v/>
      </c>
      <c r="W116" s="48">
        <f t="shared" si="15"/>
        <v>0</v>
      </c>
      <c r="Y116" s="48" t="str">
        <f t="shared" si="16"/>
        <v/>
      </c>
      <c r="Z116" s="48" t="str">
        <f t="shared" si="17"/>
        <v/>
      </c>
      <c r="AA116" s="48" t="str">
        <f t="shared" si="18"/>
        <v/>
      </c>
      <c r="AB116" s="48" t="str">
        <f t="shared" si="27"/>
        <v/>
      </c>
      <c r="AC116" s="48" t="str">
        <f t="shared" si="19"/>
        <v/>
      </c>
      <c r="AD116" s="48" t="str">
        <f t="shared" si="20"/>
        <v/>
      </c>
      <c r="AE116" s="48" t="str">
        <f t="shared" si="21"/>
        <v/>
      </c>
      <c r="AF116" s="48" t="str">
        <f t="shared" si="22"/>
        <v/>
      </c>
      <c r="AG116" s="48" t="str">
        <f t="shared" si="23"/>
        <v/>
      </c>
      <c r="AH116" s="48" t="str">
        <f t="shared" si="24"/>
        <v/>
      </c>
      <c r="AI116" s="48" t="str">
        <f t="shared" si="25"/>
        <v/>
      </c>
      <c r="AJ116" s="48" t="str">
        <f t="shared" si="28"/>
        <v/>
      </c>
      <c r="AK116" s="48" t="str">
        <f t="shared" si="29"/>
        <v/>
      </c>
      <c r="AL116" s="48" t="str">
        <f>IF(W116=0,"",_xlfn.CONCAT(DADOS!$A$8,Y116:AK116,"
"))</f>
        <v/>
      </c>
    </row>
    <row r="117" spans="4:38" s="48" customFormat="1" ht="15" customHeight="1" x14ac:dyDescent="0.25">
      <c r="D117" s="49"/>
      <c r="E117" s="43"/>
      <c r="F117" s="20"/>
      <c r="G117" s="14"/>
      <c r="H117" s="20"/>
      <c r="I117" s="15"/>
      <c r="J117" s="16"/>
      <c r="K117" s="14"/>
      <c r="L117" s="17"/>
      <c r="M117" s="18"/>
      <c r="N117" s="17"/>
      <c r="O117" s="18"/>
      <c r="P117" s="19"/>
      <c r="Q117" s="17"/>
      <c r="R117" s="40"/>
      <c r="S117" s="42">
        <v>103</v>
      </c>
      <c r="T117" s="40"/>
      <c r="V117" s="48" t="str">
        <f t="shared" si="26"/>
        <v/>
      </c>
      <c r="W117" s="48">
        <f t="shared" si="15"/>
        <v>0</v>
      </c>
      <c r="Y117" s="48" t="str">
        <f t="shared" si="16"/>
        <v/>
      </c>
      <c r="Z117" s="48" t="str">
        <f t="shared" si="17"/>
        <v/>
      </c>
      <c r="AA117" s="48" t="str">
        <f t="shared" si="18"/>
        <v/>
      </c>
      <c r="AB117" s="48" t="str">
        <f t="shared" si="27"/>
        <v/>
      </c>
      <c r="AC117" s="48" t="str">
        <f t="shared" si="19"/>
        <v/>
      </c>
      <c r="AD117" s="48" t="str">
        <f t="shared" si="20"/>
        <v/>
      </c>
      <c r="AE117" s="48" t="str">
        <f t="shared" si="21"/>
        <v/>
      </c>
      <c r="AF117" s="48" t="str">
        <f t="shared" si="22"/>
        <v/>
      </c>
      <c r="AG117" s="48" t="str">
        <f t="shared" si="23"/>
        <v/>
      </c>
      <c r="AH117" s="48" t="str">
        <f t="shared" si="24"/>
        <v/>
      </c>
      <c r="AI117" s="48" t="str">
        <f t="shared" si="25"/>
        <v/>
      </c>
      <c r="AJ117" s="48" t="str">
        <f t="shared" si="28"/>
        <v/>
      </c>
      <c r="AK117" s="48" t="str">
        <f t="shared" si="29"/>
        <v/>
      </c>
      <c r="AL117" s="48" t="str">
        <f>IF(W117=0,"",_xlfn.CONCAT(DADOS!$A$8,Y117:AK117,"
"))</f>
        <v/>
      </c>
    </row>
    <row r="118" spans="4:38" s="48" customFormat="1" ht="15" customHeight="1" x14ac:dyDescent="0.25">
      <c r="D118" s="49"/>
      <c r="E118" s="43"/>
      <c r="F118" s="20"/>
      <c r="G118" s="14"/>
      <c r="H118" s="20"/>
      <c r="I118" s="15"/>
      <c r="J118" s="16"/>
      <c r="K118" s="14"/>
      <c r="L118" s="17"/>
      <c r="M118" s="18"/>
      <c r="N118" s="17"/>
      <c r="O118" s="18"/>
      <c r="P118" s="19"/>
      <c r="Q118" s="17"/>
      <c r="R118" s="40"/>
      <c r="S118" s="42">
        <v>104</v>
      </c>
      <c r="T118" s="40"/>
      <c r="V118" s="48" t="str">
        <f t="shared" si="26"/>
        <v/>
      </c>
      <c r="W118" s="48">
        <f t="shared" si="15"/>
        <v>0</v>
      </c>
      <c r="Y118" s="48" t="str">
        <f t="shared" si="16"/>
        <v/>
      </c>
      <c r="Z118" s="48" t="str">
        <f t="shared" si="17"/>
        <v/>
      </c>
      <c r="AA118" s="48" t="str">
        <f t="shared" si="18"/>
        <v/>
      </c>
      <c r="AB118" s="48" t="str">
        <f t="shared" si="27"/>
        <v/>
      </c>
      <c r="AC118" s="48" t="str">
        <f t="shared" si="19"/>
        <v/>
      </c>
      <c r="AD118" s="48" t="str">
        <f t="shared" si="20"/>
        <v/>
      </c>
      <c r="AE118" s="48" t="str">
        <f t="shared" si="21"/>
        <v/>
      </c>
      <c r="AF118" s="48" t="str">
        <f t="shared" si="22"/>
        <v/>
      </c>
      <c r="AG118" s="48" t="str">
        <f t="shared" si="23"/>
        <v/>
      </c>
      <c r="AH118" s="48" t="str">
        <f t="shared" si="24"/>
        <v/>
      </c>
      <c r="AI118" s="48" t="str">
        <f t="shared" si="25"/>
        <v/>
      </c>
      <c r="AJ118" s="48" t="str">
        <f t="shared" si="28"/>
        <v/>
      </c>
      <c r="AK118" s="48" t="str">
        <f t="shared" si="29"/>
        <v/>
      </c>
      <c r="AL118" s="48" t="str">
        <f>IF(W118=0,"",_xlfn.CONCAT(DADOS!$A$8,Y118:AK118,"
"))</f>
        <v/>
      </c>
    </row>
    <row r="119" spans="4:38" s="48" customFormat="1" ht="15" customHeight="1" x14ac:dyDescent="0.25">
      <c r="D119" s="49"/>
      <c r="E119" s="43"/>
      <c r="F119" s="20"/>
      <c r="G119" s="14"/>
      <c r="H119" s="20"/>
      <c r="I119" s="15"/>
      <c r="J119" s="16"/>
      <c r="K119" s="14"/>
      <c r="L119" s="17"/>
      <c r="M119" s="18"/>
      <c r="N119" s="17"/>
      <c r="O119" s="18"/>
      <c r="P119" s="19"/>
      <c r="Q119" s="17"/>
      <c r="R119" s="40"/>
      <c r="S119" s="42">
        <v>105</v>
      </c>
      <c r="T119" s="40"/>
      <c r="V119" s="48" t="str">
        <f t="shared" si="26"/>
        <v/>
      </c>
      <c r="W119" s="48">
        <f t="shared" si="15"/>
        <v>0</v>
      </c>
      <c r="Y119" s="48" t="str">
        <f t="shared" si="16"/>
        <v/>
      </c>
      <c r="Z119" s="48" t="str">
        <f t="shared" si="17"/>
        <v/>
      </c>
      <c r="AA119" s="48" t="str">
        <f t="shared" si="18"/>
        <v/>
      </c>
      <c r="AB119" s="48" t="str">
        <f t="shared" si="27"/>
        <v/>
      </c>
      <c r="AC119" s="48" t="str">
        <f t="shared" si="19"/>
        <v/>
      </c>
      <c r="AD119" s="48" t="str">
        <f t="shared" si="20"/>
        <v/>
      </c>
      <c r="AE119" s="48" t="str">
        <f t="shared" si="21"/>
        <v/>
      </c>
      <c r="AF119" s="48" t="str">
        <f t="shared" si="22"/>
        <v/>
      </c>
      <c r="AG119" s="48" t="str">
        <f t="shared" si="23"/>
        <v/>
      </c>
      <c r="AH119" s="48" t="str">
        <f t="shared" si="24"/>
        <v/>
      </c>
      <c r="AI119" s="48" t="str">
        <f t="shared" si="25"/>
        <v/>
      </c>
      <c r="AJ119" s="48" t="str">
        <f t="shared" si="28"/>
        <v/>
      </c>
      <c r="AK119" s="48" t="str">
        <f t="shared" si="29"/>
        <v/>
      </c>
      <c r="AL119" s="48" t="str">
        <f>IF(W119=0,"",_xlfn.CONCAT(DADOS!$A$8,Y119:AK119,"
"))</f>
        <v/>
      </c>
    </row>
    <row r="120" spans="4:38" s="48" customFormat="1" ht="15" customHeight="1" x14ac:dyDescent="0.25">
      <c r="D120" s="49"/>
      <c r="E120" s="43"/>
      <c r="F120" s="20"/>
      <c r="G120" s="14"/>
      <c r="H120" s="20"/>
      <c r="I120" s="15"/>
      <c r="J120" s="16"/>
      <c r="K120" s="14"/>
      <c r="L120" s="17"/>
      <c r="M120" s="18"/>
      <c r="N120" s="17"/>
      <c r="O120" s="18"/>
      <c r="P120" s="19"/>
      <c r="Q120" s="17"/>
      <c r="R120" s="40"/>
      <c r="S120" s="42">
        <v>106</v>
      </c>
      <c r="T120" s="40"/>
      <c r="V120" s="48" t="str">
        <f t="shared" si="26"/>
        <v/>
      </c>
      <c r="W120" s="48">
        <f t="shared" si="15"/>
        <v>0</v>
      </c>
      <c r="Y120" s="48" t="str">
        <f t="shared" si="16"/>
        <v/>
      </c>
      <c r="Z120" s="48" t="str">
        <f t="shared" si="17"/>
        <v/>
      </c>
      <c r="AA120" s="48" t="str">
        <f t="shared" si="18"/>
        <v/>
      </c>
      <c r="AB120" s="48" t="str">
        <f t="shared" si="27"/>
        <v/>
      </c>
      <c r="AC120" s="48" t="str">
        <f t="shared" si="19"/>
        <v/>
      </c>
      <c r="AD120" s="48" t="str">
        <f t="shared" si="20"/>
        <v/>
      </c>
      <c r="AE120" s="48" t="str">
        <f t="shared" si="21"/>
        <v/>
      </c>
      <c r="AF120" s="48" t="str">
        <f t="shared" si="22"/>
        <v/>
      </c>
      <c r="AG120" s="48" t="str">
        <f t="shared" si="23"/>
        <v/>
      </c>
      <c r="AH120" s="48" t="str">
        <f t="shared" si="24"/>
        <v/>
      </c>
      <c r="AI120" s="48" t="str">
        <f t="shared" si="25"/>
        <v/>
      </c>
      <c r="AJ120" s="48" t="str">
        <f t="shared" si="28"/>
        <v/>
      </c>
      <c r="AK120" s="48" t="str">
        <f t="shared" si="29"/>
        <v/>
      </c>
      <c r="AL120" s="48" t="str">
        <f>IF(W120=0,"",_xlfn.CONCAT(DADOS!$A$8,Y120:AK120,"
"))</f>
        <v/>
      </c>
    </row>
    <row r="121" spans="4:38" s="48" customFormat="1" ht="15" customHeight="1" x14ac:dyDescent="0.25">
      <c r="D121" s="49"/>
      <c r="E121" s="43"/>
      <c r="F121" s="20"/>
      <c r="G121" s="14"/>
      <c r="H121" s="20"/>
      <c r="I121" s="15"/>
      <c r="J121" s="16"/>
      <c r="K121" s="14"/>
      <c r="L121" s="17"/>
      <c r="M121" s="18"/>
      <c r="N121" s="17"/>
      <c r="O121" s="18"/>
      <c r="P121" s="19"/>
      <c r="Q121" s="17"/>
      <c r="R121" s="40"/>
      <c r="S121" s="42">
        <v>107</v>
      </c>
      <c r="T121" s="40"/>
      <c r="V121" s="48" t="str">
        <f t="shared" si="26"/>
        <v/>
      </c>
      <c r="W121" s="48">
        <f t="shared" si="15"/>
        <v>0</v>
      </c>
      <c r="Y121" s="48" t="str">
        <f t="shared" si="16"/>
        <v/>
      </c>
      <c r="Z121" s="48" t="str">
        <f t="shared" si="17"/>
        <v/>
      </c>
      <c r="AA121" s="48" t="str">
        <f t="shared" si="18"/>
        <v/>
      </c>
      <c r="AB121" s="48" t="str">
        <f t="shared" si="27"/>
        <v/>
      </c>
      <c r="AC121" s="48" t="str">
        <f t="shared" si="19"/>
        <v/>
      </c>
      <c r="AD121" s="48" t="str">
        <f t="shared" si="20"/>
        <v/>
      </c>
      <c r="AE121" s="48" t="str">
        <f t="shared" si="21"/>
        <v/>
      </c>
      <c r="AF121" s="48" t="str">
        <f t="shared" si="22"/>
        <v/>
      </c>
      <c r="AG121" s="48" t="str">
        <f t="shared" si="23"/>
        <v/>
      </c>
      <c r="AH121" s="48" t="str">
        <f t="shared" si="24"/>
        <v/>
      </c>
      <c r="AI121" s="48" t="str">
        <f t="shared" si="25"/>
        <v/>
      </c>
      <c r="AJ121" s="48" t="str">
        <f t="shared" si="28"/>
        <v/>
      </c>
      <c r="AK121" s="48" t="str">
        <f t="shared" si="29"/>
        <v/>
      </c>
      <c r="AL121" s="48" t="str">
        <f>IF(W121=0,"",_xlfn.CONCAT(DADOS!$A$8,Y121:AK121,"
"))</f>
        <v/>
      </c>
    </row>
    <row r="122" spans="4:38" s="48" customFormat="1" ht="15" customHeight="1" x14ac:dyDescent="0.25">
      <c r="D122" s="49"/>
      <c r="E122" s="43"/>
      <c r="F122" s="20"/>
      <c r="G122" s="14"/>
      <c r="H122" s="20"/>
      <c r="I122" s="15"/>
      <c r="J122" s="16"/>
      <c r="K122" s="14"/>
      <c r="L122" s="17"/>
      <c r="M122" s="18"/>
      <c r="N122" s="17"/>
      <c r="O122" s="18"/>
      <c r="P122" s="19"/>
      <c r="Q122" s="17"/>
      <c r="R122" s="40"/>
      <c r="S122" s="42">
        <v>108</v>
      </c>
      <c r="T122" s="40"/>
      <c r="V122" s="48" t="str">
        <f t="shared" si="26"/>
        <v/>
      </c>
      <c r="W122" s="48">
        <f t="shared" si="15"/>
        <v>0</v>
      </c>
      <c r="Y122" s="48" t="str">
        <f t="shared" si="16"/>
        <v/>
      </c>
      <c r="Z122" s="48" t="str">
        <f t="shared" si="17"/>
        <v/>
      </c>
      <c r="AA122" s="48" t="str">
        <f t="shared" si="18"/>
        <v/>
      </c>
      <c r="AB122" s="48" t="str">
        <f t="shared" si="27"/>
        <v/>
      </c>
      <c r="AC122" s="48" t="str">
        <f t="shared" si="19"/>
        <v/>
      </c>
      <c r="AD122" s="48" t="str">
        <f t="shared" si="20"/>
        <v/>
      </c>
      <c r="AE122" s="48" t="str">
        <f t="shared" si="21"/>
        <v/>
      </c>
      <c r="AF122" s="48" t="str">
        <f t="shared" si="22"/>
        <v/>
      </c>
      <c r="AG122" s="48" t="str">
        <f t="shared" si="23"/>
        <v/>
      </c>
      <c r="AH122" s="48" t="str">
        <f t="shared" si="24"/>
        <v/>
      </c>
      <c r="AI122" s="48" t="str">
        <f t="shared" si="25"/>
        <v/>
      </c>
      <c r="AJ122" s="48" t="str">
        <f t="shared" si="28"/>
        <v/>
      </c>
      <c r="AK122" s="48" t="str">
        <f t="shared" si="29"/>
        <v/>
      </c>
      <c r="AL122" s="48" t="str">
        <f>IF(W122=0,"",_xlfn.CONCAT(DADOS!$A$8,Y122:AK122,"
"))</f>
        <v/>
      </c>
    </row>
    <row r="123" spans="4:38" s="48" customFormat="1" ht="15" customHeight="1" x14ac:dyDescent="0.25">
      <c r="D123" s="49"/>
      <c r="E123" s="43"/>
      <c r="F123" s="20"/>
      <c r="G123" s="14"/>
      <c r="H123" s="20"/>
      <c r="I123" s="15"/>
      <c r="J123" s="16"/>
      <c r="K123" s="14"/>
      <c r="L123" s="17"/>
      <c r="M123" s="18"/>
      <c r="N123" s="17"/>
      <c r="O123" s="18"/>
      <c r="P123" s="19"/>
      <c r="Q123" s="17"/>
      <c r="R123" s="40"/>
      <c r="S123" s="42">
        <v>109</v>
      </c>
      <c r="T123" s="40"/>
      <c r="V123" s="48" t="str">
        <f t="shared" si="26"/>
        <v/>
      </c>
      <c r="W123" s="48">
        <f t="shared" si="15"/>
        <v>0</v>
      </c>
      <c r="Y123" s="48" t="str">
        <f t="shared" si="16"/>
        <v/>
      </c>
      <c r="Z123" s="48" t="str">
        <f t="shared" si="17"/>
        <v/>
      </c>
      <c r="AA123" s="48" t="str">
        <f t="shared" si="18"/>
        <v/>
      </c>
      <c r="AB123" s="48" t="str">
        <f t="shared" si="27"/>
        <v/>
      </c>
      <c r="AC123" s="48" t="str">
        <f t="shared" si="19"/>
        <v/>
      </c>
      <c r="AD123" s="48" t="str">
        <f t="shared" si="20"/>
        <v/>
      </c>
      <c r="AE123" s="48" t="str">
        <f t="shared" si="21"/>
        <v/>
      </c>
      <c r="AF123" s="48" t="str">
        <f t="shared" si="22"/>
        <v/>
      </c>
      <c r="AG123" s="48" t="str">
        <f t="shared" si="23"/>
        <v/>
      </c>
      <c r="AH123" s="48" t="str">
        <f t="shared" si="24"/>
        <v/>
      </c>
      <c r="AI123" s="48" t="str">
        <f t="shared" si="25"/>
        <v/>
      </c>
      <c r="AJ123" s="48" t="str">
        <f t="shared" si="28"/>
        <v/>
      </c>
      <c r="AK123" s="48" t="str">
        <f t="shared" si="29"/>
        <v/>
      </c>
      <c r="AL123" s="48" t="str">
        <f>IF(W123=0,"",_xlfn.CONCAT(DADOS!$A$8,Y123:AK123,"
"))</f>
        <v/>
      </c>
    </row>
    <row r="124" spans="4:38" s="48" customFormat="1" ht="15" customHeight="1" x14ac:dyDescent="0.25">
      <c r="D124" s="49"/>
      <c r="E124" s="43"/>
      <c r="F124" s="20"/>
      <c r="G124" s="14"/>
      <c r="H124" s="20"/>
      <c r="I124" s="15"/>
      <c r="J124" s="16"/>
      <c r="K124" s="14"/>
      <c r="L124" s="17"/>
      <c r="M124" s="18"/>
      <c r="N124" s="17"/>
      <c r="O124" s="18"/>
      <c r="P124" s="19"/>
      <c r="Q124" s="17"/>
      <c r="R124" s="40"/>
      <c r="S124" s="42">
        <v>110</v>
      </c>
      <c r="T124" s="40"/>
      <c r="V124" s="48" t="str">
        <f t="shared" si="26"/>
        <v/>
      </c>
      <c r="W124" s="48">
        <f t="shared" si="15"/>
        <v>0</v>
      </c>
      <c r="Y124" s="48" t="str">
        <f t="shared" si="16"/>
        <v/>
      </c>
      <c r="Z124" s="48" t="str">
        <f t="shared" si="17"/>
        <v/>
      </c>
      <c r="AA124" s="48" t="str">
        <f t="shared" si="18"/>
        <v/>
      </c>
      <c r="AB124" s="48" t="str">
        <f t="shared" si="27"/>
        <v/>
      </c>
      <c r="AC124" s="48" t="str">
        <f t="shared" si="19"/>
        <v/>
      </c>
      <c r="AD124" s="48" t="str">
        <f t="shared" si="20"/>
        <v/>
      </c>
      <c r="AE124" s="48" t="str">
        <f t="shared" si="21"/>
        <v/>
      </c>
      <c r="AF124" s="48" t="str">
        <f t="shared" si="22"/>
        <v/>
      </c>
      <c r="AG124" s="48" t="str">
        <f t="shared" si="23"/>
        <v/>
      </c>
      <c r="AH124" s="48" t="str">
        <f t="shared" si="24"/>
        <v/>
      </c>
      <c r="AI124" s="48" t="str">
        <f t="shared" si="25"/>
        <v/>
      </c>
      <c r="AJ124" s="48" t="str">
        <f t="shared" si="28"/>
        <v/>
      </c>
      <c r="AK124" s="48" t="str">
        <f t="shared" si="29"/>
        <v/>
      </c>
      <c r="AL124" s="48" t="str">
        <f>IF(W124=0,"",_xlfn.CONCAT(DADOS!$A$8,Y124:AK124,"
"))</f>
        <v/>
      </c>
    </row>
    <row r="125" spans="4:38" s="48" customFormat="1" ht="15" customHeight="1" x14ac:dyDescent="0.25">
      <c r="D125" s="49"/>
      <c r="E125" s="43"/>
      <c r="F125" s="20"/>
      <c r="G125" s="14"/>
      <c r="H125" s="20"/>
      <c r="I125" s="15"/>
      <c r="J125" s="16"/>
      <c r="K125" s="14"/>
      <c r="L125" s="17"/>
      <c r="M125" s="18"/>
      <c r="N125" s="17"/>
      <c r="O125" s="18"/>
      <c r="P125" s="19"/>
      <c r="Q125" s="17"/>
      <c r="R125" s="40"/>
      <c r="S125" s="42">
        <v>111</v>
      </c>
      <c r="T125" s="40"/>
      <c r="V125" s="48" t="str">
        <f t="shared" si="26"/>
        <v/>
      </c>
      <c r="W125" s="48">
        <f t="shared" si="15"/>
        <v>0</v>
      </c>
      <c r="Y125" s="48" t="str">
        <f t="shared" si="16"/>
        <v/>
      </c>
      <c r="Z125" s="48" t="str">
        <f t="shared" si="17"/>
        <v/>
      </c>
      <c r="AA125" s="48" t="str">
        <f t="shared" si="18"/>
        <v/>
      </c>
      <c r="AB125" s="48" t="str">
        <f t="shared" si="27"/>
        <v/>
      </c>
      <c r="AC125" s="48" t="str">
        <f t="shared" si="19"/>
        <v/>
      </c>
      <c r="AD125" s="48" t="str">
        <f t="shared" si="20"/>
        <v/>
      </c>
      <c r="AE125" s="48" t="str">
        <f t="shared" si="21"/>
        <v/>
      </c>
      <c r="AF125" s="48" t="str">
        <f t="shared" si="22"/>
        <v/>
      </c>
      <c r="AG125" s="48" t="str">
        <f t="shared" si="23"/>
        <v/>
      </c>
      <c r="AH125" s="48" t="str">
        <f t="shared" si="24"/>
        <v/>
      </c>
      <c r="AI125" s="48" t="str">
        <f t="shared" si="25"/>
        <v/>
      </c>
      <c r="AJ125" s="48" t="str">
        <f t="shared" si="28"/>
        <v/>
      </c>
      <c r="AK125" s="48" t="str">
        <f t="shared" si="29"/>
        <v/>
      </c>
      <c r="AL125" s="48" t="str">
        <f>IF(W125=0,"",_xlfn.CONCAT(DADOS!$A$8,Y125:AK125,"
"))</f>
        <v/>
      </c>
    </row>
    <row r="126" spans="4:38" s="48" customFormat="1" ht="15" customHeight="1" x14ac:dyDescent="0.25">
      <c r="D126" s="49"/>
      <c r="E126" s="43"/>
      <c r="F126" s="20"/>
      <c r="G126" s="14"/>
      <c r="H126" s="20"/>
      <c r="I126" s="15"/>
      <c r="J126" s="16"/>
      <c r="K126" s="14"/>
      <c r="L126" s="17"/>
      <c r="M126" s="18"/>
      <c r="N126" s="17"/>
      <c r="O126" s="18"/>
      <c r="P126" s="19"/>
      <c r="Q126" s="17"/>
      <c r="R126" s="40"/>
      <c r="S126" s="42">
        <v>112</v>
      </c>
      <c r="T126" s="40"/>
      <c r="V126" s="48" t="str">
        <f t="shared" si="26"/>
        <v/>
      </c>
      <c r="W126" s="48">
        <f t="shared" si="15"/>
        <v>0</v>
      </c>
      <c r="Y126" s="48" t="str">
        <f t="shared" si="16"/>
        <v/>
      </c>
      <c r="Z126" s="48" t="str">
        <f t="shared" si="17"/>
        <v/>
      </c>
      <c r="AA126" s="48" t="str">
        <f t="shared" si="18"/>
        <v/>
      </c>
      <c r="AB126" s="48" t="str">
        <f t="shared" si="27"/>
        <v/>
      </c>
      <c r="AC126" s="48" t="str">
        <f t="shared" si="19"/>
        <v/>
      </c>
      <c r="AD126" s="48" t="str">
        <f t="shared" si="20"/>
        <v/>
      </c>
      <c r="AE126" s="48" t="str">
        <f t="shared" si="21"/>
        <v/>
      </c>
      <c r="AF126" s="48" t="str">
        <f t="shared" si="22"/>
        <v/>
      </c>
      <c r="AG126" s="48" t="str">
        <f t="shared" si="23"/>
        <v/>
      </c>
      <c r="AH126" s="48" t="str">
        <f t="shared" si="24"/>
        <v/>
      </c>
      <c r="AI126" s="48" t="str">
        <f t="shared" si="25"/>
        <v/>
      </c>
      <c r="AJ126" s="48" t="str">
        <f t="shared" si="28"/>
        <v/>
      </c>
      <c r="AK126" s="48" t="str">
        <f t="shared" si="29"/>
        <v/>
      </c>
      <c r="AL126" s="48" t="str">
        <f>IF(W126=0,"",_xlfn.CONCAT(DADOS!$A$8,Y126:AK126,"
"))</f>
        <v/>
      </c>
    </row>
    <row r="127" spans="4:38" s="48" customFormat="1" ht="15" customHeight="1" x14ac:dyDescent="0.25">
      <c r="D127" s="49"/>
      <c r="E127" s="43"/>
      <c r="F127" s="20"/>
      <c r="G127" s="14"/>
      <c r="H127" s="20"/>
      <c r="I127" s="15"/>
      <c r="J127" s="16"/>
      <c r="K127" s="14"/>
      <c r="L127" s="17"/>
      <c r="M127" s="18"/>
      <c r="N127" s="17"/>
      <c r="O127" s="18"/>
      <c r="P127" s="19"/>
      <c r="Q127" s="17"/>
      <c r="R127" s="40"/>
      <c r="S127" s="42">
        <v>113</v>
      </c>
      <c r="T127" s="40"/>
      <c r="V127" s="48" t="str">
        <f t="shared" si="26"/>
        <v/>
      </c>
      <c r="W127" s="48">
        <f t="shared" si="15"/>
        <v>0</v>
      </c>
      <c r="Y127" s="48" t="str">
        <f t="shared" si="16"/>
        <v/>
      </c>
      <c r="Z127" s="48" t="str">
        <f t="shared" si="17"/>
        <v/>
      </c>
      <c r="AA127" s="48" t="str">
        <f t="shared" si="18"/>
        <v/>
      </c>
      <c r="AB127" s="48" t="str">
        <f t="shared" si="27"/>
        <v/>
      </c>
      <c r="AC127" s="48" t="str">
        <f t="shared" si="19"/>
        <v/>
      </c>
      <c r="AD127" s="48" t="str">
        <f t="shared" si="20"/>
        <v/>
      </c>
      <c r="AE127" s="48" t="str">
        <f t="shared" si="21"/>
        <v/>
      </c>
      <c r="AF127" s="48" t="str">
        <f t="shared" si="22"/>
        <v/>
      </c>
      <c r="AG127" s="48" t="str">
        <f t="shared" si="23"/>
        <v/>
      </c>
      <c r="AH127" s="48" t="str">
        <f t="shared" si="24"/>
        <v/>
      </c>
      <c r="AI127" s="48" t="str">
        <f t="shared" si="25"/>
        <v/>
      </c>
      <c r="AJ127" s="48" t="str">
        <f t="shared" si="28"/>
        <v/>
      </c>
      <c r="AK127" s="48" t="str">
        <f t="shared" si="29"/>
        <v/>
      </c>
      <c r="AL127" s="48" t="str">
        <f>IF(W127=0,"",_xlfn.CONCAT(DADOS!$A$8,Y127:AK127,"
"))</f>
        <v/>
      </c>
    </row>
    <row r="128" spans="4:38" s="48" customFormat="1" ht="15" customHeight="1" x14ac:dyDescent="0.25">
      <c r="D128" s="49"/>
      <c r="E128" s="43"/>
      <c r="F128" s="20"/>
      <c r="G128" s="14"/>
      <c r="H128" s="20"/>
      <c r="I128" s="15"/>
      <c r="J128" s="16"/>
      <c r="K128" s="14"/>
      <c r="L128" s="17"/>
      <c r="M128" s="18"/>
      <c r="N128" s="17"/>
      <c r="O128" s="18"/>
      <c r="P128" s="19"/>
      <c r="Q128" s="17"/>
      <c r="R128" s="40"/>
      <c r="S128" s="42">
        <v>114</v>
      </c>
      <c r="T128" s="40"/>
      <c r="V128" s="48" t="str">
        <f t="shared" si="26"/>
        <v/>
      </c>
      <c r="W128" s="48">
        <f t="shared" si="15"/>
        <v>0</v>
      </c>
      <c r="Y128" s="48" t="str">
        <f t="shared" si="16"/>
        <v/>
      </c>
      <c r="Z128" s="48" t="str">
        <f t="shared" si="17"/>
        <v/>
      </c>
      <c r="AA128" s="48" t="str">
        <f t="shared" si="18"/>
        <v/>
      </c>
      <c r="AB128" s="48" t="str">
        <f t="shared" si="27"/>
        <v/>
      </c>
      <c r="AC128" s="48" t="str">
        <f t="shared" si="19"/>
        <v/>
      </c>
      <c r="AD128" s="48" t="str">
        <f t="shared" si="20"/>
        <v/>
      </c>
      <c r="AE128" s="48" t="str">
        <f t="shared" si="21"/>
        <v/>
      </c>
      <c r="AF128" s="48" t="str">
        <f t="shared" si="22"/>
        <v/>
      </c>
      <c r="AG128" s="48" t="str">
        <f t="shared" si="23"/>
        <v/>
      </c>
      <c r="AH128" s="48" t="str">
        <f t="shared" si="24"/>
        <v/>
      </c>
      <c r="AI128" s="48" t="str">
        <f t="shared" si="25"/>
        <v/>
      </c>
      <c r="AJ128" s="48" t="str">
        <f t="shared" si="28"/>
        <v/>
      </c>
      <c r="AK128" s="48" t="str">
        <f t="shared" si="29"/>
        <v/>
      </c>
      <c r="AL128" s="48" t="str">
        <f>IF(W128=0,"",_xlfn.CONCAT(DADOS!$A$8,Y128:AK128,"
"))</f>
        <v/>
      </c>
    </row>
    <row r="129" spans="4:38" s="48" customFormat="1" ht="15" customHeight="1" x14ac:dyDescent="0.25">
      <c r="D129" s="49"/>
      <c r="E129" s="43"/>
      <c r="F129" s="20"/>
      <c r="G129" s="14"/>
      <c r="H129" s="20"/>
      <c r="I129" s="15"/>
      <c r="J129" s="16"/>
      <c r="K129" s="14"/>
      <c r="L129" s="17"/>
      <c r="M129" s="18"/>
      <c r="N129" s="17"/>
      <c r="O129" s="18"/>
      <c r="P129" s="19"/>
      <c r="Q129" s="17"/>
      <c r="R129" s="40"/>
      <c r="S129" s="42">
        <v>115</v>
      </c>
      <c r="T129" s="40"/>
      <c r="V129" s="48" t="str">
        <f t="shared" si="26"/>
        <v/>
      </c>
      <c r="W129" s="48">
        <f t="shared" si="15"/>
        <v>0</v>
      </c>
      <c r="Y129" s="48" t="str">
        <f t="shared" si="16"/>
        <v/>
      </c>
      <c r="Z129" s="48" t="str">
        <f t="shared" si="17"/>
        <v/>
      </c>
      <c r="AA129" s="48" t="str">
        <f t="shared" si="18"/>
        <v/>
      </c>
      <c r="AB129" s="48" t="str">
        <f t="shared" si="27"/>
        <v/>
      </c>
      <c r="AC129" s="48" t="str">
        <f t="shared" si="19"/>
        <v/>
      </c>
      <c r="AD129" s="48" t="str">
        <f t="shared" si="20"/>
        <v/>
      </c>
      <c r="AE129" s="48" t="str">
        <f t="shared" si="21"/>
        <v/>
      </c>
      <c r="AF129" s="48" t="str">
        <f t="shared" si="22"/>
        <v/>
      </c>
      <c r="AG129" s="48" t="str">
        <f t="shared" si="23"/>
        <v/>
      </c>
      <c r="AH129" s="48" t="str">
        <f t="shared" si="24"/>
        <v/>
      </c>
      <c r="AI129" s="48" t="str">
        <f t="shared" si="25"/>
        <v/>
      </c>
      <c r="AJ129" s="48" t="str">
        <f t="shared" si="28"/>
        <v/>
      </c>
      <c r="AK129" s="48" t="str">
        <f t="shared" si="29"/>
        <v/>
      </c>
      <c r="AL129" s="48" t="str">
        <f>IF(W129=0,"",_xlfn.CONCAT(DADOS!$A$8,Y129:AK129,"
"))</f>
        <v/>
      </c>
    </row>
    <row r="130" spans="4:38" s="48" customFormat="1" ht="15" customHeight="1" x14ac:dyDescent="0.25">
      <c r="D130" s="49"/>
      <c r="E130" s="43"/>
      <c r="F130" s="20"/>
      <c r="G130" s="14"/>
      <c r="H130" s="20"/>
      <c r="I130" s="15"/>
      <c r="J130" s="16"/>
      <c r="K130" s="14"/>
      <c r="L130" s="17"/>
      <c r="M130" s="18"/>
      <c r="N130" s="17"/>
      <c r="O130" s="18"/>
      <c r="P130" s="19"/>
      <c r="Q130" s="17"/>
      <c r="R130" s="40"/>
      <c r="S130" s="42">
        <v>116</v>
      </c>
      <c r="T130" s="40"/>
      <c r="V130" s="48" t="str">
        <f t="shared" si="26"/>
        <v/>
      </c>
      <c r="W130" s="48">
        <f t="shared" si="15"/>
        <v>0</v>
      </c>
      <c r="Y130" s="48" t="str">
        <f t="shared" si="16"/>
        <v/>
      </c>
      <c r="Z130" s="48" t="str">
        <f t="shared" si="17"/>
        <v/>
      </c>
      <c r="AA130" s="48" t="str">
        <f t="shared" si="18"/>
        <v/>
      </c>
      <c r="AB130" s="48" t="str">
        <f t="shared" si="27"/>
        <v/>
      </c>
      <c r="AC130" s="48" t="str">
        <f t="shared" si="19"/>
        <v/>
      </c>
      <c r="AD130" s="48" t="str">
        <f t="shared" si="20"/>
        <v/>
      </c>
      <c r="AE130" s="48" t="str">
        <f t="shared" si="21"/>
        <v/>
      </c>
      <c r="AF130" s="48" t="str">
        <f t="shared" si="22"/>
        <v/>
      </c>
      <c r="AG130" s="48" t="str">
        <f t="shared" si="23"/>
        <v/>
      </c>
      <c r="AH130" s="48" t="str">
        <f t="shared" si="24"/>
        <v/>
      </c>
      <c r="AI130" s="48" t="str">
        <f t="shared" si="25"/>
        <v/>
      </c>
      <c r="AJ130" s="48" t="str">
        <f t="shared" si="28"/>
        <v/>
      </c>
      <c r="AK130" s="48" t="str">
        <f t="shared" si="29"/>
        <v/>
      </c>
      <c r="AL130" s="48" t="str">
        <f>IF(W130=0,"",_xlfn.CONCAT(DADOS!$A$8,Y130:AK130,"
"))</f>
        <v/>
      </c>
    </row>
    <row r="131" spans="4:38" s="48" customFormat="1" ht="15" customHeight="1" x14ac:dyDescent="0.25">
      <c r="D131" s="49"/>
      <c r="E131" s="43"/>
      <c r="F131" s="20"/>
      <c r="G131" s="14"/>
      <c r="H131" s="20"/>
      <c r="I131" s="15"/>
      <c r="J131" s="16"/>
      <c r="K131" s="14"/>
      <c r="L131" s="17"/>
      <c r="M131" s="18"/>
      <c r="N131" s="17"/>
      <c r="O131" s="18"/>
      <c r="P131" s="19"/>
      <c r="Q131" s="17"/>
      <c r="R131" s="40"/>
      <c r="S131" s="42">
        <v>117</v>
      </c>
      <c r="T131" s="40"/>
      <c r="V131" s="48" t="str">
        <f t="shared" si="26"/>
        <v/>
      </c>
      <c r="W131" s="48">
        <f t="shared" si="15"/>
        <v>0</v>
      </c>
      <c r="Y131" s="48" t="str">
        <f t="shared" si="16"/>
        <v/>
      </c>
      <c r="Z131" s="48" t="str">
        <f t="shared" si="17"/>
        <v/>
      </c>
      <c r="AA131" s="48" t="str">
        <f t="shared" si="18"/>
        <v/>
      </c>
      <c r="AB131" s="48" t="str">
        <f t="shared" si="27"/>
        <v/>
      </c>
      <c r="AC131" s="48" t="str">
        <f t="shared" si="19"/>
        <v/>
      </c>
      <c r="AD131" s="48" t="str">
        <f t="shared" si="20"/>
        <v/>
      </c>
      <c r="AE131" s="48" t="str">
        <f t="shared" si="21"/>
        <v/>
      </c>
      <c r="AF131" s="48" t="str">
        <f t="shared" si="22"/>
        <v/>
      </c>
      <c r="AG131" s="48" t="str">
        <f t="shared" si="23"/>
        <v/>
      </c>
      <c r="AH131" s="48" t="str">
        <f t="shared" si="24"/>
        <v/>
      </c>
      <c r="AI131" s="48" t="str">
        <f t="shared" si="25"/>
        <v/>
      </c>
      <c r="AJ131" s="48" t="str">
        <f t="shared" si="28"/>
        <v/>
      </c>
      <c r="AK131" s="48" t="str">
        <f t="shared" si="29"/>
        <v/>
      </c>
      <c r="AL131" s="48" t="str">
        <f>IF(W131=0,"",_xlfn.CONCAT(DADOS!$A$8,Y131:AK131,"
"))</f>
        <v/>
      </c>
    </row>
    <row r="132" spans="4:38" s="48" customFormat="1" ht="15" customHeight="1" x14ac:dyDescent="0.25">
      <c r="D132" s="49"/>
      <c r="E132" s="43"/>
      <c r="F132" s="20"/>
      <c r="G132" s="14"/>
      <c r="H132" s="20"/>
      <c r="I132" s="15"/>
      <c r="J132" s="16"/>
      <c r="K132" s="14"/>
      <c r="L132" s="17"/>
      <c r="M132" s="18"/>
      <c r="N132" s="17"/>
      <c r="O132" s="18"/>
      <c r="P132" s="19"/>
      <c r="Q132" s="17"/>
      <c r="R132" s="40"/>
      <c r="S132" s="42">
        <v>118</v>
      </c>
      <c r="T132" s="40"/>
      <c r="V132" s="48" t="str">
        <f t="shared" si="26"/>
        <v/>
      </c>
      <c r="W132" s="48">
        <f t="shared" si="15"/>
        <v>0</v>
      </c>
      <c r="Y132" s="48" t="str">
        <f t="shared" si="16"/>
        <v/>
      </c>
      <c r="Z132" s="48" t="str">
        <f t="shared" si="17"/>
        <v/>
      </c>
      <c r="AA132" s="48" t="str">
        <f t="shared" si="18"/>
        <v/>
      </c>
      <c r="AB132" s="48" t="str">
        <f t="shared" si="27"/>
        <v/>
      </c>
      <c r="AC132" s="48" t="str">
        <f t="shared" si="19"/>
        <v/>
      </c>
      <c r="AD132" s="48" t="str">
        <f t="shared" si="20"/>
        <v/>
      </c>
      <c r="AE132" s="48" t="str">
        <f t="shared" si="21"/>
        <v/>
      </c>
      <c r="AF132" s="48" t="str">
        <f t="shared" si="22"/>
        <v/>
      </c>
      <c r="AG132" s="48" t="str">
        <f t="shared" si="23"/>
        <v/>
      </c>
      <c r="AH132" s="48" t="str">
        <f t="shared" si="24"/>
        <v/>
      </c>
      <c r="AI132" s="48" t="str">
        <f t="shared" si="25"/>
        <v/>
      </c>
      <c r="AJ132" s="48" t="str">
        <f t="shared" si="28"/>
        <v/>
      </c>
      <c r="AK132" s="48" t="str">
        <f t="shared" si="29"/>
        <v/>
      </c>
      <c r="AL132" s="48" t="str">
        <f>IF(W132=0,"",_xlfn.CONCAT(DADOS!$A$8,Y132:AK132,"
"))</f>
        <v/>
      </c>
    </row>
    <row r="133" spans="4:38" s="48" customFormat="1" ht="15" customHeight="1" x14ac:dyDescent="0.25">
      <c r="D133" s="49"/>
      <c r="E133" s="43"/>
      <c r="F133" s="20"/>
      <c r="G133" s="14"/>
      <c r="H133" s="20"/>
      <c r="I133" s="15"/>
      <c r="J133" s="16"/>
      <c r="K133" s="14"/>
      <c r="L133" s="17"/>
      <c r="M133" s="18"/>
      <c r="N133" s="17"/>
      <c r="O133" s="18"/>
      <c r="P133" s="19"/>
      <c r="Q133" s="17"/>
      <c r="R133" s="40"/>
      <c r="S133" s="42">
        <v>119</v>
      </c>
      <c r="T133" s="40"/>
      <c r="V133" s="48" t="str">
        <f t="shared" si="26"/>
        <v/>
      </c>
      <c r="W133" s="48">
        <f t="shared" si="15"/>
        <v>0</v>
      </c>
      <c r="Y133" s="48" t="str">
        <f t="shared" si="16"/>
        <v/>
      </c>
      <c r="Z133" s="48" t="str">
        <f t="shared" si="17"/>
        <v/>
      </c>
      <c r="AA133" s="48" t="str">
        <f t="shared" si="18"/>
        <v/>
      </c>
      <c r="AB133" s="48" t="str">
        <f t="shared" si="27"/>
        <v/>
      </c>
      <c r="AC133" s="48" t="str">
        <f t="shared" si="19"/>
        <v/>
      </c>
      <c r="AD133" s="48" t="str">
        <f t="shared" si="20"/>
        <v/>
      </c>
      <c r="AE133" s="48" t="str">
        <f t="shared" si="21"/>
        <v/>
      </c>
      <c r="AF133" s="48" t="str">
        <f t="shared" si="22"/>
        <v/>
      </c>
      <c r="AG133" s="48" t="str">
        <f t="shared" si="23"/>
        <v/>
      </c>
      <c r="AH133" s="48" t="str">
        <f t="shared" si="24"/>
        <v/>
      </c>
      <c r="AI133" s="48" t="str">
        <f t="shared" si="25"/>
        <v/>
      </c>
      <c r="AJ133" s="48" t="str">
        <f t="shared" si="28"/>
        <v/>
      </c>
      <c r="AK133" s="48" t="str">
        <f t="shared" si="29"/>
        <v/>
      </c>
      <c r="AL133" s="48" t="str">
        <f>IF(W133=0,"",_xlfn.CONCAT(DADOS!$A$8,Y133:AK133,"
"))</f>
        <v/>
      </c>
    </row>
    <row r="134" spans="4:38" s="48" customFormat="1" ht="15" customHeight="1" x14ac:dyDescent="0.25">
      <c r="D134" s="49"/>
      <c r="E134" s="43"/>
      <c r="F134" s="20"/>
      <c r="G134" s="14"/>
      <c r="H134" s="20"/>
      <c r="I134" s="15"/>
      <c r="J134" s="16"/>
      <c r="K134" s="14"/>
      <c r="L134" s="17"/>
      <c r="M134" s="18"/>
      <c r="N134" s="17"/>
      <c r="O134" s="18"/>
      <c r="P134" s="19"/>
      <c r="Q134" s="17"/>
      <c r="R134" s="40"/>
      <c r="S134" s="42">
        <v>120</v>
      </c>
      <c r="T134" s="40"/>
      <c r="V134" s="48" t="str">
        <f t="shared" si="26"/>
        <v/>
      </c>
      <c r="W134" s="48">
        <f t="shared" si="15"/>
        <v>0</v>
      </c>
      <c r="Y134" s="48" t="str">
        <f t="shared" si="16"/>
        <v/>
      </c>
      <c r="Z134" s="48" t="str">
        <f t="shared" si="17"/>
        <v/>
      </c>
      <c r="AA134" s="48" t="str">
        <f t="shared" si="18"/>
        <v/>
      </c>
      <c r="AB134" s="48" t="str">
        <f t="shared" si="27"/>
        <v/>
      </c>
      <c r="AC134" s="48" t="str">
        <f t="shared" si="19"/>
        <v/>
      </c>
      <c r="AD134" s="48" t="str">
        <f t="shared" si="20"/>
        <v/>
      </c>
      <c r="AE134" s="48" t="str">
        <f t="shared" si="21"/>
        <v/>
      </c>
      <c r="AF134" s="48" t="str">
        <f t="shared" si="22"/>
        <v/>
      </c>
      <c r="AG134" s="48" t="str">
        <f t="shared" si="23"/>
        <v/>
      </c>
      <c r="AH134" s="48" t="str">
        <f t="shared" si="24"/>
        <v/>
      </c>
      <c r="AI134" s="48" t="str">
        <f t="shared" si="25"/>
        <v/>
      </c>
      <c r="AJ134" s="48" t="str">
        <f t="shared" si="28"/>
        <v/>
      </c>
      <c r="AK134" s="48" t="str">
        <f t="shared" si="29"/>
        <v/>
      </c>
      <c r="AL134" s="48" t="str">
        <f>IF(W134=0,"",_xlfn.CONCAT(DADOS!$A$8,Y134:AK134,"
"))</f>
        <v/>
      </c>
    </row>
    <row r="135" spans="4:38" s="48" customFormat="1" ht="15" customHeight="1" x14ac:dyDescent="0.25">
      <c r="D135" s="49"/>
      <c r="E135" s="43"/>
      <c r="F135" s="20"/>
      <c r="G135" s="14"/>
      <c r="H135" s="20"/>
      <c r="I135" s="15"/>
      <c r="J135" s="16"/>
      <c r="K135" s="14"/>
      <c r="L135" s="17"/>
      <c r="M135" s="18"/>
      <c r="N135" s="17"/>
      <c r="O135" s="18"/>
      <c r="P135" s="19"/>
      <c r="Q135" s="17"/>
      <c r="R135" s="40"/>
      <c r="S135" s="42">
        <v>121</v>
      </c>
      <c r="T135" s="40"/>
      <c r="V135" s="48" t="str">
        <f t="shared" si="26"/>
        <v/>
      </c>
      <c r="W135" s="48">
        <f t="shared" si="15"/>
        <v>0</v>
      </c>
      <c r="Y135" s="48" t="str">
        <f t="shared" si="16"/>
        <v/>
      </c>
      <c r="Z135" s="48" t="str">
        <f t="shared" si="17"/>
        <v/>
      </c>
      <c r="AA135" s="48" t="str">
        <f t="shared" si="18"/>
        <v/>
      </c>
      <c r="AB135" s="48" t="str">
        <f t="shared" si="27"/>
        <v/>
      </c>
      <c r="AC135" s="48" t="str">
        <f t="shared" si="19"/>
        <v/>
      </c>
      <c r="AD135" s="48" t="str">
        <f t="shared" si="20"/>
        <v/>
      </c>
      <c r="AE135" s="48" t="str">
        <f t="shared" si="21"/>
        <v/>
      </c>
      <c r="AF135" s="48" t="str">
        <f t="shared" si="22"/>
        <v/>
      </c>
      <c r="AG135" s="48" t="str">
        <f t="shared" si="23"/>
        <v/>
      </c>
      <c r="AH135" s="48" t="str">
        <f t="shared" si="24"/>
        <v/>
      </c>
      <c r="AI135" s="48" t="str">
        <f t="shared" si="25"/>
        <v/>
      </c>
      <c r="AJ135" s="48" t="str">
        <f t="shared" si="28"/>
        <v/>
      </c>
      <c r="AK135" s="48" t="str">
        <f t="shared" si="29"/>
        <v/>
      </c>
      <c r="AL135" s="48" t="str">
        <f>IF(W135=0,"",_xlfn.CONCAT(DADOS!$A$8,Y135:AK135,"
"))</f>
        <v/>
      </c>
    </row>
    <row r="136" spans="4:38" s="48" customFormat="1" ht="15" customHeight="1" x14ac:dyDescent="0.25">
      <c r="D136" s="49"/>
      <c r="E136" s="43"/>
      <c r="F136" s="20"/>
      <c r="G136" s="14"/>
      <c r="H136" s="20"/>
      <c r="I136" s="15"/>
      <c r="J136" s="16"/>
      <c r="K136" s="14"/>
      <c r="L136" s="17"/>
      <c r="M136" s="18"/>
      <c r="N136" s="17"/>
      <c r="O136" s="18"/>
      <c r="P136" s="19"/>
      <c r="Q136" s="17"/>
      <c r="R136" s="40"/>
      <c r="S136" s="42">
        <v>122</v>
      </c>
      <c r="T136" s="40"/>
      <c r="V136" s="48" t="str">
        <f t="shared" si="26"/>
        <v/>
      </c>
      <c r="W136" s="48">
        <f t="shared" si="15"/>
        <v>0</v>
      </c>
      <c r="Y136" s="48" t="str">
        <f t="shared" si="16"/>
        <v/>
      </c>
      <c r="Z136" s="48" t="str">
        <f t="shared" si="17"/>
        <v/>
      </c>
      <c r="AA136" s="48" t="str">
        <f t="shared" si="18"/>
        <v/>
      </c>
      <c r="AB136" s="48" t="str">
        <f t="shared" si="27"/>
        <v/>
      </c>
      <c r="AC136" s="48" t="str">
        <f t="shared" si="19"/>
        <v/>
      </c>
      <c r="AD136" s="48" t="str">
        <f t="shared" si="20"/>
        <v/>
      </c>
      <c r="AE136" s="48" t="str">
        <f t="shared" si="21"/>
        <v/>
      </c>
      <c r="AF136" s="48" t="str">
        <f t="shared" si="22"/>
        <v/>
      </c>
      <c r="AG136" s="48" t="str">
        <f t="shared" si="23"/>
        <v/>
      </c>
      <c r="AH136" s="48" t="str">
        <f t="shared" si="24"/>
        <v/>
      </c>
      <c r="AI136" s="48" t="str">
        <f t="shared" si="25"/>
        <v/>
      </c>
      <c r="AJ136" s="48" t="str">
        <f t="shared" si="28"/>
        <v/>
      </c>
      <c r="AK136" s="48" t="str">
        <f t="shared" si="29"/>
        <v/>
      </c>
      <c r="AL136" s="48" t="str">
        <f>IF(W136=0,"",_xlfn.CONCAT(DADOS!$A$8,Y136:AK136,"
"))</f>
        <v/>
      </c>
    </row>
    <row r="137" spans="4:38" s="48" customFormat="1" ht="15" customHeight="1" x14ac:dyDescent="0.25">
      <c r="D137" s="49"/>
      <c r="E137" s="43"/>
      <c r="F137" s="20"/>
      <c r="G137" s="14"/>
      <c r="H137" s="20"/>
      <c r="I137" s="15"/>
      <c r="J137" s="16"/>
      <c r="K137" s="14"/>
      <c r="L137" s="17"/>
      <c r="M137" s="18"/>
      <c r="N137" s="17"/>
      <c r="O137" s="18"/>
      <c r="P137" s="19"/>
      <c r="Q137" s="17"/>
      <c r="R137" s="40"/>
      <c r="S137" s="42">
        <v>123</v>
      </c>
      <c r="T137" s="40"/>
      <c r="V137" s="48" t="str">
        <f t="shared" si="26"/>
        <v/>
      </c>
      <c r="W137" s="48">
        <f t="shared" si="15"/>
        <v>0</v>
      </c>
      <c r="Y137" s="48" t="str">
        <f t="shared" si="16"/>
        <v/>
      </c>
      <c r="Z137" s="48" t="str">
        <f t="shared" si="17"/>
        <v/>
      </c>
      <c r="AA137" s="48" t="str">
        <f t="shared" si="18"/>
        <v/>
      </c>
      <c r="AB137" s="48" t="str">
        <f t="shared" si="27"/>
        <v/>
      </c>
      <c r="AC137" s="48" t="str">
        <f t="shared" si="19"/>
        <v/>
      </c>
      <c r="AD137" s="48" t="str">
        <f t="shared" si="20"/>
        <v/>
      </c>
      <c r="AE137" s="48" t="str">
        <f t="shared" si="21"/>
        <v/>
      </c>
      <c r="AF137" s="48" t="str">
        <f t="shared" si="22"/>
        <v/>
      </c>
      <c r="AG137" s="48" t="str">
        <f t="shared" si="23"/>
        <v/>
      </c>
      <c r="AH137" s="48" t="str">
        <f t="shared" si="24"/>
        <v/>
      </c>
      <c r="AI137" s="48" t="str">
        <f t="shared" si="25"/>
        <v/>
      </c>
      <c r="AJ137" s="48" t="str">
        <f t="shared" si="28"/>
        <v/>
      </c>
      <c r="AK137" s="48" t="str">
        <f t="shared" si="29"/>
        <v/>
      </c>
      <c r="AL137" s="48" t="str">
        <f>IF(W137=0,"",_xlfn.CONCAT(DADOS!$A$8,Y137:AK137,"
"))</f>
        <v/>
      </c>
    </row>
    <row r="138" spans="4:38" s="48" customFormat="1" ht="15" customHeight="1" x14ac:dyDescent="0.25">
      <c r="D138" s="49"/>
      <c r="E138" s="43"/>
      <c r="F138" s="20"/>
      <c r="G138" s="14"/>
      <c r="H138" s="20"/>
      <c r="I138" s="15"/>
      <c r="J138" s="16"/>
      <c r="K138" s="14"/>
      <c r="L138" s="17"/>
      <c r="M138" s="18"/>
      <c r="N138" s="17"/>
      <c r="O138" s="18"/>
      <c r="P138" s="19"/>
      <c r="Q138" s="17"/>
      <c r="R138" s="40"/>
      <c r="S138" s="42">
        <v>124</v>
      </c>
      <c r="T138" s="40"/>
      <c r="V138" s="48" t="str">
        <f t="shared" si="26"/>
        <v/>
      </c>
      <c r="W138" s="48">
        <f t="shared" si="15"/>
        <v>0</v>
      </c>
      <c r="Y138" s="48" t="str">
        <f t="shared" si="16"/>
        <v/>
      </c>
      <c r="Z138" s="48" t="str">
        <f t="shared" si="17"/>
        <v/>
      </c>
      <c r="AA138" s="48" t="str">
        <f t="shared" si="18"/>
        <v/>
      </c>
      <c r="AB138" s="48" t="str">
        <f t="shared" si="27"/>
        <v/>
      </c>
      <c r="AC138" s="48" t="str">
        <f t="shared" si="19"/>
        <v/>
      </c>
      <c r="AD138" s="48" t="str">
        <f t="shared" si="20"/>
        <v/>
      </c>
      <c r="AE138" s="48" t="str">
        <f t="shared" si="21"/>
        <v/>
      </c>
      <c r="AF138" s="48" t="str">
        <f t="shared" si="22"/>
        <v/>
      </c>
      <c r="AG138" s="48" t="str">
        <f t="shared" si="23"/>
        <v/>
      </c>
      <c r="AH138" s="48" t="str">
        <f t="shared" si="24"/>
        <v/>
      </c>
      <c r="AI138" s="48" t="str">
        <f t="shared" si="25"/>
        <v/>
      </c>
      <c r="AJ138" s="48" t="str">
        <f t="shared" si="28"/>
        <v/>
      </c>
      <c r="AK138" s="48" t="str">
        <f t="shared" si="29"/>
        <v/>
      </c>
      <c r="AL138" s="48" t="str">
        <f>IF(W138=0,"",_xlfn.CONCAT(DADOS!$A$8,Y138:AK138,"
"))</f>
        <v/>
      </c>
    </row>
    <row r="139" spans="4:38" s="48" customFormat="1" ht="15" customHeight="1" x14ac:dyDescent="0.25">
      <c r="D139" s="49"/>
      <c r="E139" s="43"/>
      <c r="F139" s="20"/>
      <c r="G139" s="14"/>
      <c r="H139" s="20"/>
      <c r="I139" s="15"/>
      <c r="J139" s="16"/>
      <c r="K139" s="14"/>
      <c r="L139" s="17"/>
      <c r="M139" s="18"/>
      <c r="N139" s="17"/>
      <c r="O139" s="18"/>
      <c r="P139" s="19"/>
      <c r="Q139" s="17"/>
      <c r="R139" s="40"/>
      <c r="S139" s="42">
        <v>125</v>
      </c>
      <c r="T139" s="40"/>
      <c r="V139" s="48" t="str">
        <f t="shared" si="26"/>
        <v/>
      </c>
      <c r="W139" s="48">
        <f t="shared" si="15"/>
        <v>0</v>
      </c>
      <c r="Y139" s="48" t="str">
        <f t="shared" si="16"/>
        <v/>
      </c>
      <c r="Z139" s="48" t="str">
        <f t="shared" si="17"/>
        <v/>
      </c>
      <c r="AA139" s="48" t="str">
        <f t="shared" si="18"/>
        <v/>
      </c>
      <c r="AB139" s="48" t="str">
        <f t="shared" si="27"/>
        <v/>
      </c>
      <c r="AC139" s="48" t="str">
        <f t="shared" si="19"/>
        <v/>
      </c>
      <c r="AD139" s="48" t="str">
        <f t="shared" si="20"/>
        <v/>
      </c>
      <c r="AE139" s="48" t="str">
        <f t="shared" si="21"/>
        <v/>
      </c>
      <c r="AF139" s="48" t="str">
        <f t="shared" si="22"/>
        <v/>
      </c>
      <c r="AG139" s="48" t="str">
        <f t="shared" si="23"/>
        <v/>
      </c>
      <c r="AH139" s="48" t="str">
        <f t="shared" si="24"/>
        <v/>
      </c>
      <c r="AI139" s="48" t="str">
        <f t="shared" si="25"/>
        <v/>
      </c>
      <c r="AJ139" s="48" t="str">
        <f t="shared" si="28"/>
        <v/>
      </c>
      <c r="AK139" s="48" t="str">
        <f t="shared" si="29"/>
        <v/>
      </c>
      <c r="AL139" s="48" t="str">
        <f>IF(W139=0,"",_xlfn.CONCAT(DADOS!$A$8,Y139:AK139,"
"))</f>
        <v/>
      </c>
    </row>
    <row r="140" spans="4:38" s="48" customFormat="1" ht="15" customHeight="1" x14ac:dyDescent="0.25">
      <c r="D140" s="49"/>
      <c r="E140" s="43"/>
      <c r="F140" s="20"/>
      <c r="G140" s="14"/>
      <c r="H140" s="20"/>
      <c r="I140" s="15"/>
      <c r="J140" s="16"/>
      <c r="K140" s="14"/>
      <c r="L140" s="17"/>
      <c r="M140" s="18"/>
      <c r="N140" s="17"/>
      <c r="O140" s="18"/>
      <c r="P140" s="19"/>
      <c r="Q140" s="17"/>
      <c r="R140" s="40"/>
      <c r="S140" s="42">
        <v>126</v>
      </c>
      <c r="T140" s="40"/>
      <c r="V140" s="48" t="str">
        <f t="shared" si="26"/>
        <v/>
      </c>
      <c r="W140" s="48">
        <f t="shared" si="15"/>
        <v>0</v>
      </c>
      <c r="Y140" s="48" t="str">
        <f t="shared" si="16"/>
        <v/>
      </c>
      <c r="Z140" s="48" t="str">
        <f t="shared" si="17"/>
        <v/>
      </c>
      <c r="AA140" s="48" t="str">
        <f t="shared" si="18"/>
        <v/>
      </c>
      <c r="AB140" s="48" t="str">
        <f t="shared" si="27"/>
        <v/>
      </c>
      <c r="AC140" s="48" t="str">
        <f t="shared" si="19"/>
        <v/>
      </c>
      <c r="AD140" s="48" t="str">
        <f t="shared" si="20"/>
        <v/>
      </c>
      <c r="AE140" s="48" t="str">
        <f t="shared" si="21"/>
        <v/>
      </c>
      <c r="AF140" s="48" t="str">
        <f t="shared" si="22"/>
        <v/>
      </c>
      <c r="AG140" s="48" t="str">
        <f t="shared" si="23"/>
        <v/>
      </c>
      <c r="AH140" s="48" t="str">
        <f t="shared" si="24"/>
        <v/>
      </c>
      <c r="AI140" s="48" t="str">
        <f t="shared" si="25"/>
        <v/>
      </c>
      <c r="AJ140" s="48" t="str">
        <f t="shared" si="28"/>
        <v/>
      </c>
      <c r="AK140" s="48" t="str">
        <f t="shared" si="29"/>
        <v/>
      </c>
      <c r="AL140" s="48" t="str">
        <f>IF(W140=0,"",_xlfn.CONCAT(DADOS!$A$8,Y140:AK140,"
"))</f>
        <v/>
      </c>
    </row>
    <row r="141" spans="4:38" s="48" customFormat="1" ht="15" customHeight="1" x14ac:dyDescent="0.25">
      <c r="D141" s="49"/>
      <c r="E141" s="43"/>
      <c r="F141" s="20"/>
      <c r="G141" s="14"/>
      <c r="H141" s="20"/>
      <c r="I141" s="15"/>
      <c r="J141" s="16"/>
      <c r="K141" s="14"/>
      <c r="L141" s="17"/>
      <c r="M141" s="18"/>
      <c r="N141" s="17"/>
      <c r="O141" s="18"/>
      <c r="P141" s="19"/>
      <c r="Q141" s="17"/>
      <c r="R141" s="40"/>
      <c r="S141" s="42">
        <v>127</v>
      </c>
      <c r="T141" s="40"/>
      <c r="V141" s="48" t="str">
        <f t="shared" si="26"/>
        <v/>
      </c>
      <c r="W141" s="48">
        <f t="shared" si="15"/>
        <v>0</v>
      </c>
      <c r="Y141" s="48" t="str">
        <f t="shared" si="16"/>
        <v/>
      </c>
      <c r="Z141" s="48" t="str">
        <f t="shared" si="17"/>
        <v/>
      </c>
      <c r="AA141" s="48" t="str">
        <f t="shared" si="18"/>
        <v/>
      </c>
      <c r="AB141" s="48" t="str">
        <f t="shared" si="27"/>
        <v/>
      </c>
      <c r="AC141" s="48" t="str">
        <f t="shared" si="19"/>
        <v/>
      </c>
      <c r="AD141" s="48" t="str">
        <f t="shared" si="20"/>
        <v/>
      </c>
      <c r="AE141" s="48" t="str">
        <f t="shared" si="21"/>
        <v/>
      </c>
      <c r="AF141" s="48" t="str">
        <f t="shared" si="22"/>
        <v/>
      </c>
      <c r="AG141" s="48" t="str">
        <f t="shared" si="23"/>
        <v/>
      </c>
      <c r="AH141" s="48" t="str">
        <f t="shared" si="24"/>
        <v/>
      </c>
      <c r="AI141" s="48" t="str">
        <f t="shared" si="25"/>
        <v/>
      </c>
      <c r="AJ141" s="48" t="str">
        <f t="shared" si="28"/>
        <v/>
      </c>
      <c r="AK141" s="48" t="str">
        <f t="shared" si="29"/>
        <v/>
      </c>
      <c r="AL141" s="48" t="str">
        <f>IF(W141=0,"",_xlfn.CONCAT(DADOS!$A$8,Y141:AK141,"
"))</f>
        <v/>
      </c>
    </row>
    <row r="142" spans="4:38" s="48" customFormat="1" ht="15" customHeight="1" x14ac:dyDescent="0.25">
      <c r="D142" s="49"/>
      <c r="E142" s="43"/>
      <c r="F142" s="20"/>
      <c r="G142" s="14"/>
      <c r="H142" s="20"/>
      <c r="I142" s="15"/>
      <c r="J142" s="16"/>
      <c r="K142" s="14"/>
      <c r="L142" s="17"/>
      <c r="M142" s="18"/>
      <c r="N142" s="17"/>
      <c r="O142" s="18"/>
      <c r="P142" s="19"/>
      <c r="Q142" s="17"/>
      <c r="R142" s="40"/>
      <c r="S142" s="42">
        <v>128</v>
      </c>
      <c r="T142" s="40"/>
      <c r="V142" s="48" t="str">
        <f t="shared" si="26"/>
        <v/>
      </c>
      <c r="W142" s="48">
        <f t="shared" si="15"/>
        <v>0</v>
      </c>
      <c r="Y142" s="48" t="str">
        <f t="shared" si="16"/>
        <v/>
      </c>
      <c r="Z142" s="48" t="str">
        <f t="shared" si="17"/>
        <v/>
      </c>
      <c r="AA142" s="48" t="str">
        <f t="shared" si="18"/>
        <v/>
      </c>
      <c r="AB142" s="48" t="str">
        <f t="shared" si="27"/>
        <v/>
      </c>
      <c r="AC142" s="48" t="str">
        <f t="shared" si="19"/>
        <v/>
      </c>
      <c r="AD142" s="48" t="str">
        <f t="shared" si="20"/>
        <v/>
      </c>
      <c r="AE142" s="48" t="str">
        <f t="shared" si="21"/>
        <v/>
      </c>
      <c r="AF142" s="48" t="str">
        <f t="shared" si="22"/>
        <v/>
      </c>
      <c r="AG142" s="48" t="str">
        <f t="shared" si="23"/>
        <v/>
      </c>
      <c r="AH142" s="48" t="str">
        <f t="shared" si="24"/>
        <v/>
      </c>
      <c r="AI142" s="48" t="str">
        <f t="shared" si="25"/>
        <v/>
      </c>
      <c r="AJ142" s="48" t="str">
        <f t="shared" si="28"/>
        <v/>
      </c>
      <c r="AK142" s="48" t="str">
        <f t="shared" si="29"/>
        <v/>
      </c>
      <c r="AL142" s="48" t="str">
        <f>IF(W142=0,"",_xlfn.CONCAT(DADOS!$A$8,Y142:AK142,"
"))</f>
        <v/>
      </c>
    </row>
    <row r="143" spans="4:38" s="48" customFormat="1" ht="15" customHeight="1" x14ac:dyDescent="0.25">
      <c r="D143" s="49"/>
      <c r="E143" s="43"/>
      <c r="F143" s="20"/>
      <c r="G143" s="14"/>
      <c r="H143" s="20"/>
      <c r="I143" s="15"/>
      <c r="J143" s="16"/>
      <c r="K143" s="14"/>
      <c r="L143" s="17"/>
      <c r="M143" s="18"/>
      <c r="N143" s="17"/>
      <c r="O143" s="18"/>
      <c r="P143" s="19"/>
      <c r="Q143" s="17"/>
      <c r="R143" s="40"/>
      <c r="S143" s="42">
        <v>129</v>
      </c>
      <c r="T143" s="40"/>
      <c r="V143" s="48" t="str">
        <f t="shared" si="26"/>
        <v/>
      </c>
      <c r="W143" s="48">
        <f t="shared" ref="W143:W206" si="30">IF(E143="",0,1)</f>
        <v>0</v>
      </c>
      <c r="Y143" s="48" t="str">
        <f t="shared" ref="Y143:Y206" si="31">_xlfn.CONCAT(E143,IF(LEN(E143)=1,"  ",IF(LEN(E143)=2," ","")))</f>
        <v/>
      </c>
      <c r="Z143" s="48" t="str">
        <f t="shared" ref="Z143:Z206" si="32">_xlfn.CONCAT(F143,IF(LEN(F143)=1,"  ",IF(LEN(F143)=2," ","")))</f>
        <v/>
      </c>
      <c r="AA143" s="48" t="str">
        <f t="shared" ref="AA143:AA206" si="33">IF(W143=0,"",G143)</f>
        <v/>
      </c>
      <c r="AB143" s="48" t="str">
        <f t="shared" si="27"/>
        <v/>
      </c>
      <c r="AC143" s="48" t="str">
        <f t="shared" ref="AC143:AC206" si="34">IF(W143=0,"",IF(LEN(I143)=1,_xlfn.CONCAT(0,I143),I143))</f>
        <v/>
      </c>
      <c r="AD143" s="48" t="str">
        <f t="shared" ref="AD143:AD206" si="35">IF(I143=20,"",(IF(I143=8,IF(LEN(J143)=1,_xlfn.CONCAT("00",J143),IF(LEN(J143)=2,_xlfn.CONCAT("0",J143),J143)),"")))</f>
        <v/>
      </c>
      <c r="AE143" s="48" t="str">
        <f t="shared" ref="AE143:AE206" si="36">IF(I143=20,"",IF(I143=8,IF(LEN(K143)=1,_xlfn.CONCAT(0,K143),K143),""))</f>
        <v/>
      </c>
      <c r="AF143" s="48" t="str">
        <f t="shared" ref="AF143:AF206" si="37">IF(I143=8,L143,"")</f>
        <v/>
      </c>
      <c r="AG143" s="48" t="str">
        <f t="shared" ref="AG143:AG206" si="38">IF(W143=0,"",IF($I143=20,"",IF(LEN(M143)=1,_xlfn.CONCAT("00",M143),IF(LEN(M143)=2,_xlfn.CONCAT("0",M143),M143))))</f>
        <v/>
      </c>
      <c r="AH143" s="48" t="str">
        <f t="shared" ref="AH143:AH206" si="39">IF(W143=0,"",IF($I143=20,"",IF(LEN(N143)=1,_xlfn.CONCAT(0,N143),N143)))</f>
        <v/>
      </c>
      <c r="AI143" s="48" t="str">
        <f t="shared" ref="AI143:AI206" si="40">IF(W143=0,"",IF($I143=20,"",IF(LEN(P143)=3,_xlfn.CONCAT("00",P143),_xlfn.CONCAT("0",P143))))</f>
        <v/>
      </c>
      <c r="AJ143" s="48" t="str">
        <f t="shared" si="28"/>
        <v/>
      </c>
      <c r="AK143" s="48" t="str">
        <f t="shared" si="29"/>
        <v/>
      </c>
      <c r="AL143" s="48" t="str">
        <f>IF(W143=0,"",_xlfn.CONCAT(DADOS!$A$8,Y143:AK143,"
"))</f>
        <v/>
      </c>
    </row>
    <row r="144" spans="4:38" s="48" customFormat="1" ht="15" customHeight="1" x14ac:dyDescent="0.25">
      <c r="D144" s="49"/>
      <c r="E144" s="43"/>
      <c r="F144" s="20"/>
      <c r="G144" s="14"/>
      <c r="H144" s="20"/>
      <c r="I144" s="15"/>
      <c r="J144" s="16"/>
      <c r="K144" s="14"/>
      <c r="L144" s="17"/>
      <c r="M144" s="18"/>
      <c r="N144" s="17"/>
      <c r="O144" s="18"/>
      <c r="P144" s="19"/>
      <c r="Q144" s="17"/>
      <c r="R144" s="40"/>
      <c r="S144" s="42">
        <v>130</v>
      </c>
      <c r="T144" s="40"/>
      <c r="V144" s="48" t="str">
        <f t="shared" ref="V144:V207" si="41">IF(E144="","",IF(R145="",IF(R144&lt;21,1,0),0))</f>
        <v/>
      </c>
      <c r="W144" s="48">
        <f t="shared" si="30"/>
        <v>0</v>
      </c>
      <c r="Y144" s="48" t="str">
        <f t="shared" si="31"/>
        <v/>
      </c>
      <c r="Z144" s="48" t="str">
        <f t="shared" si="32"/>
        <v/>
      </c>
      <c r="AA144" s="48" t="str">
        <f t="shared" si="33"/>
        <v/>
      </c>
      <c r="AB144" s="48" t="str">
        <f t="shared" ref="AB144:AB207" si="42">IF(OR(G144=0,G144=4),"",H144)</f>
        <v/>
      </c>
      <c r="AC144" s="48" t="str">
        <f t="shared" si="34"/>
        <v/>
      </c>
      <c r="AD144" s="48" t="str">
        <f t="shared" si="35"/>
        <v/>
      </c>
      <c r="AE144" s="48" t="str">
        <f t="shared" si="36"/>
        <v/>
      </c>
      <c r="AF144" s="48" t="str">
        <f t="shared" si="37"/>
        <v/>
      </c>
      <c r="AG144" s="48" t="str">
        <f t="shared" si="38"/>
        <v/>
      </c>
      <c r="AH144" s="48" t="str">
        <f t="shared" si="39"/>
        <v/>
      </c>
      <c r="AI144" s="48" t="str">
        <f t="shared" si="40"/>
        <v/>
      </c>
      <c r="AJ144" s="48" t="str">
        <f t="shared" ref="AJ144:AJ207" si="43">IF(W144=0,"",IF(I144=20,"",_xlfn.CONCAT(ROUNDUP(R144*10,0),$AK$14)))</f>
        <v/>
      </c>
      <c r="AK144" s="48" t="str">
        <f t="shared" ref="AK144:AK207" si="44">IF(W144=0,"",IF(R144&lt;999,$AK$14,""))</f>
        <v/>
      </c>
      <c r="AL144" s="48" t="str">
        <f>IF(W144=0,"",_xlfn.CONCAT(DADOS!$A$8,Y144:AK144,"
"))</f>
        <v/>
      </c>
    </row>
    <row r="145" spans="4:38" s="48" customFormat="1" ht="15" customHeight="1" x14ac:dyDescent="0.25">
      <c r="D145" s="49"/>
      <c r="E145" s="43"/>
      <c r="F145" s="20"/>
      <c r="G145" s="14"/>
      <c r="H145" s="20"/>
      <c r="I145" s="15"/>
      <c r="J145" s="16"/>
      <c r="K145" s="14"/>
      <c r="L145" s="17"/>
      <c r="M145" s="18"/>
      <c r="N145" s="17"/>
      <c r="O145" s="18"/>
      <c r="P145" s="19"/>
      <c r="Q145" s="17"/>
      <c r="R145" s="40"/>
      <c r="S145" s="42">
        <v>131</v>
      </c>
      <c r="T145" s="40"/>
      <c r="V145" s="48" t="str">
        <f t="shared" si="41"/>
        <v/>
      </c>
      <c r="W145" s="48">
        <f t="shared" si="30"/>
        <v>0</v>
      </c>
      <c r="Y145" s="48" t="str">
        <f t="shared" si="31"/>
        <v/>
      </c>
      <c r="Z145" s="48" t="str">
        <f t="shared" si="32"/>
        <v/>
      </c>
      <c r="AA145" s="48" t="str">
        <f t="shared" si="33"/>
        <v/>
      </c>
      <c r="AB145" s="48" t="str">
        <f t="shared" si="42"/>
        <v/>
      </c>
      <c r="AC145" s="48" t="str">
        <f t="shared" si="34"/>
        <v/>
      </c>
      <c r="AD145" s="48" t="str">
        <f t="shared" si="35"/>
        <v/>
      </c>
      <c r="AE145" s="48" t="str">
        <f t="shared" si="36"/>
        <v/>
      </c>
      <c r="AF145" s="48" t="str">
        <f t="shared" si="37"/>
        <v/>
      </c>
      <c r="AG145" s="48" t="str">
        <f t="shared" si="38"/>
        <v/>
      </c>
      <c r="AH145" s="48" t="str">
        <f t="shared" si="39"/>
        <v/>
      </c>
      <c r="AI145" s="48" t="str">
        <f t="shared" si="40"/>
        <v/>
      </c>
      <c r="AJ145" s="48" t="str">
        <f t="shared" si="43"/>
        <v/>
      </c>
      <c r="AK145" s="48" t="str">
        <f t="shared" si="44"/>
        <v/>
      </c>
      <c r="AL145" s="48" t="str">
        <f>IF(W145=0,"",_xlfn.CONCAT(DADOS!$A$8,Y145:AK145,"
"))</f>
        <v/>
      </c>
    </row>
    <row r="146" spans="4:38" s="48" customFormat="1" ht="15" customHeight="1" x14ac:dyDescent="0.25">
      <c r="D146" s="49"/>
      <c r="E146" s="43"/>
      <c r="F146" s="20"/>
      <c r="G146" s="14"/>
      <c r="H146" s="20"/>
      <c r="I146" s="15"/>
      <c r="J146" s="16"/>
      <c r="K146" s="14"/>
      <c r="L146" s="17"/>
      <c r="M146" s="18"/>
      <c r="N146" s="17"/>
      <c r="O146" s="18"/>
      <c r="P146" s="19"/>
      <c r="Q146" s="17"/>
      <c r="R146" s="40"/>
      <c r="S146" s="42">
        <v>132</v>
      </c>
      <c r="T146" s="40"/>
      <c r="V146" s="48" t="str">
        <f t="shared" si="41"/>
        <v/>
      </c>
      <c r="W146" s="48">
        <f t="shared" si="30"/>
        <v>0</v>
      </c>
      <c r="Y146" s="48" t="str">
        <f t="shared" si="31"/>
        <v/>
      </c>
      <c r="Z146" s="48" t="str">
        <f t="shared" si="32"/>
        <v/>
      </c>
      <c r="AA146" s="48" t="str">
        <f t="shared" si="33"/>
        <v/>
      </c>
      <c r="AB146" s="48" t="str">
        <f t="shared" si="42"/>
        <v/>
      </c>
      <c r="AC146" s="48" t="str">
        <f t="shared" si="34"/>
        <v/>
      </c>
      <c r="AD146" s="48" t="str">
        <f t="shared" si="35"/>
        <v/>
      </c>
      <c r="AE146" s="48" t="str">
        <f t="shared" si="36"/>
        <v/>
      </c>
      <c r="AF146" s="48" t="str">
        <f t="shared" si="37"/>
        <v/>
      </c>
      <c r="AG146" s="48" t="str">
        <f t="shared" si="38"/>
        <v/>
      </c>
      <c r="AH146" s="48" t="str">
        <f t="shared" si="39"/>
        <v/>
      </c>
      <c r="AI146" s="48" t="str">
        <f t="shared" si="40"/>
        <v/>
      </c>
      <c r="AJ146" s="48" t="str">
        <f t="shared" si="43"/>
        <v/>
      </c>
      <c r="AK146" s="48" t="str">
        <f t="shared" si="44"/>
        <v/>
      </c>
      <c r="AL146" s="48" t="str">
        <f>IF(W146=0,"",_xlfn.CONCAT(DADOS!$A$8,Y146:AK146,"
"))</f>
        <v/>
      </c>
    </row>
    <row r="147" spans="4:38" s="48" customFormat="1" ht="15" customHeight="1" x14ac:dyDescent="0.25">
      <c r="D147" s="49"/>
      <c r="E147" s="43"/>
      <c r="F147" s="20"/>
      <c r="G147" s="14"/>
      <c r="H147" s="20"/>
      <c r="I147" s="15"/>
      <c r="J147" s="16"/>
      <c r="K147" s="14"/>
      <c r="L147" s="17"/>
      <c r="M147" s="18"/>
      <c r="N147" s="17"/>
      <c r="O147" s="18"/>
      <c r="P147" s="19"/>
      <c r="Q147" s="17"/>
      <c r="R147" s="40"/>
      <c r="S147" s="42">
        <v>133</v>
      </c>
      <c r="T147" s="40"/>
      <c r="V147" s="48" t="str">
        <f t="shared" si="41"/>
        <v/>
      </c>
      <c r="W147" s="48">
        <f t="shared" si="30"/>
        <v>0</v>
      </c>
      <c r="Y147" s="48" t="str">
        <f t="shared" si="31"/>
        <v/>
      </c>
      <c r="Z147" s="48" t="str">
        <f t="shared" si="32"/>
        <v/>
      </c>
      <c r="AA147" s="48" t="str">
        <f t="shared" si="33"/>
        <v/>
      </c>
      <c r="AB147" s="48" t="str">
        <f t="shared" si="42"/>
        <v/>
      </c>
      <c r="AC147" s="48" t="str">
        <f t="shared" si="34"/>
        <v/>
      </c>
      <c r="AD147" s="48" t="str">
        <f t="shared" si="35"/>
        <v/>
      </c>
      <c r="AE147" s="48" t="str">
        <f t="shared" si="36"/>
        <v/>
      </c>
      <c r="AF147" s="48" t="str">
        <f t="shared" si="37"/>
        <v/>
      </c>
      <c r="AG147" s="48" t="str">
        <f t="shared" si="38"/>
        <v/>
      </c>
      <c r="AH147" s="48" t="str">
        <f t="shared" si="39"/>
        <v/>
      </c>
      <c r="AI147" s="48" t="str">
        <f t="shared" si="40"/>
        <v/>
      </c>
      <c r="AJ147" s="48" t="str">
        <f t="shared" si="43"/>
        <v/>
      </c>
      <c r="AK147" s="48" t="str">
        <f t="shared" si="44"/>
        <v/>
      </c>
      <c r="AL147" s="48" t="str">
        <f>IF(W147=0,"",_xlfn.CONCAT(DADOS!$A$8,Y147:AK147,"
"))</f>
        <v/>
      </c>
    </row>
    <row r="148" spans="4:38" s="48" customFormat="1" ht="15" customHeight="1" x14ac:dyDescent="0.25">
      <c r="D148" s="49"/>
      <c r="E148" s="43"/>
      <c r="F148" s="20"/>
      <c r="G148" s="14"/>
      <c r="H148" s="20"/>
      <c r="I148" s="15"/>
      <c r="J148" s="16"/>
      <c r="K148" s="14"/>
      <c r="L148" s="17"/>
      <c r="M148" s="18"/>
      <c r="N148" s="17"/>
      <c r="O148" s="18"/>
      <c r="P148" s="19"/>
      <c r="Q148" s="17"/>
      <c r="R148" s="40"/>
      <c r="S148" s="42">
        <v>134</v>
      </c>
      <c r="T148" s="40"/>
      <c r="V148" s="48" t="str">
        <f t="shared" si="41"/>
        <v/>
      </c>
      <c r="W148" s="48">
        <f t="shared" si="30"/>
        <v>0</v>
      </c>
      <c r="Y148" s="48" t="str">
        <f t="shared" si="31"/>
        <v/>
      </c>
      <c r="Z148" s="48" t="str">
        <f t="shared" si="32"/>
        <v/>
      </c>
      <c r="AA148" s="48" t="str">
        <f t="shared" si="33"/>
        <v/>
      </c>
      <c r="AB148" s="48" t="str">
        <f t="shared" si="42"/>
        <v/>
      </c>
      <c r="AC148" s="48" t="str">
        <f t="shared" si="34"/>
        <v/>
      </c>
      <c r="AD148" s="48" t="str">
        <f t="shared" si="35"/>
        <v/>
      </c>
      <c r="AE148" s="48" t="str">
        <f t="shared" si="36"/>
        <v/>
      </c>
      <c r="AF148" s="48" t="str">
        <f t="shared" si="37"/>
        <v/>
      </c>
      <c r="AG148" s="48" t="str">
        <f t="shared" si="38"/>
        <v/>
      </c>
      <c r="AH148" s="48" t="str">
        <f t="shared" si="39"/>
        <v/>
      </c>
      <c r="AI148" s="48" t="str">
        <f t="shared" si="40"/>
        <v/>
      </c>
      <c r="AJ148" s="48" t="str">
        <f t="shared" si="43"/>
        <v/>
      </c>
      <c r="AK148" s="48" t="str">
        <f t="shared" si="44"/>
        <v/>
      </c>
      <c r="AL148" s="48" t="str">
        <f>IF(W148=0,"",_xlfn.CONCAT(DADOS!$A$8,Y148:AK148,"
"))</f>
        <v/>
      </c>
    </row>
    <row r="149" spans="4:38" s="48" customFormat="1" ht="15" customHeight="1" x14ac:dyDescent="0.25">
      <c r="D149" s="49"/>
      <c r="E149" s="43"/>
      <c r="F149" s="20"/>
      <c r="G149" s="14"/>
      <c r="H149" s="20"/>
      <c r="I149" s="15"/>
      <c r="J149" s="16"/>
      <c r="K149" s="14"/>
      <c r="L149" s="17"/>
      <c r="M149" s="18"/>
      <c r="N149" s="17"/>
      <c r="O149" s="18"/>
      <c r="P149" s="19"/>
      <c r="Q149" s="17"/>
      <c r="R149" s="40"/>
      <c r="S149" s="42">
        <v>135</v>
      </c>
      <c r="T149" s="40"/>
      <c r="V149" s="48" t="str">
        <f t="shared" si="41"/>
        <v/>
      </c>
      <c r="W149" s="48">
        <f t="shared" si="30"/>
        <v>0</v>
      </c>
      <c r="Y149" s="48" t="str">
        <f t="shared" si="31"/>
        <v/>
      </c>
      <c r="Z149" s="48" t="str">
        <f t="shared" si="32"/>
        <v/>
      </c>
      <c r="AA149" s="48" t="str">
        <f t="shared" si="33"/>
        <v/>
      </c>
      <c r="AB149" s="48" t="str">
        <f t="shared" si="42"/>
        <v/>
      </c>
      <c r="AC149" s="48" t="str">
        <f t="shared" si="34"/>
        <v/>
      </c>
      <c r="AD149" s="48" t="str">
        <f t="shared" si="35"/>
        <v/>
      </c>
      <c r="AE149" s="48" t="str">
        <f t="shared" si="36"/>
        <v/>
      </c>
      <c r="AF149" s="48" t="str">
        <f t="shared" si="37"/>
        <v/>
      </c>
      <c r="AG149" s="48" t="str">
        <f t="shared" si="38"/>
        <v/>
      </c>
      <c r="AH149" s="48" t="str">
        <f t="shared" si="39"/>
        <v/>
      </c>
      <c r="AI149" s="48" t="str">
        <f t="shared" si="40"/>
        <v/>
      </c>
      <c r="AJ149" s="48" t="str">
        <f t="shared" si="43"/>
        <v/>
      </c>
      <c r="AK149" s="48" t="str">
        <f t="shared" si="44"/>
        <v/>
      </c>
      <c r="AL149" s="48" t="str">
        <f>IF(W149=0,"",_xlfn.CONCAT(DADOS!$A$8,Y149:AK149,"
"))</f>
        <v/>
      </c>
    </row>
    <row r="150" spans="4:38" s="48" customFormat="1" ht="15" customHeight="1" x14ac:dyDescent="0.25">
      <c r="D150" s="49"/>
      <c r="E150" s="43"/>
      <c r="F150" s="20"/>
      <c r="G150" s="14"/>
      <c r="H150" s="20"/>
      <c r="I150" s="15"/>
      <c r="J150" s="16"/>
      <c r="K150" s="14"/>
      <c r="L150" s="17"/>
      <c r="M150" s="18"/>
      <c r="N150" s="17"/>
      <c r="O150" s="18"/>
      <c r="P150" s="19"/>
      <c r="Q150" s="17"/>
      <c r="R150" s="40"/>
      <c r="S150" s="42">
        <v>136</v>
      </c>
      <c r="T150" s="40"/>
      <c r="V150" s="48" t="str">
        <f t="shared" si="41"/>
        <v/>
      </c>
      <c r="W150" s="48">
        <f t="shared" si="30"/>
        <v>0</v>
      </c>
      <c r="Y150" s="48" t="str">
        <f t="shared" si="31"/>
        <v/>
      </c>
      <c r="Z150" s="48" t="str">
        <f t="shared" si="32"/>
        <v/>
      </c>
      <c r="AA150" s="48" t="str">
        <f t="shared" si="33"/>
        <v/>
      </c>
      <c r="AB150" s="48" t="str">
        <f t="shared" si="42"/>
        <v/>
      </c>
      <c r="AC150" s="48" t="str">
        <f t="shared" si="34"/>
        <v/>
      </c>
      <c r="AD150" s="48" t="str">
        <f t="shared" si="35"/>
        <v/>
      </c>
      <c r="AE150" s="48" t="str">
        <f t="shared" si="36"/>
        <v/>
      </c>
      <c r="AF150" s="48" t="str">
        <f t="shared" si="37"/>
        <v/>
      </c>
      <c r="AG150" s="48" t="str">
        <f t="shared" si="38"/>
        <v/>
      </c>
      <c r="AH150" s="48" t="str">
        <f t="shared" si="39"/>
        <v/>
      </c>
      <c r="AI150" s="48" t="str">
        <f t="shared" si="40"/>
        <v/>
      </c>
      <c r="AJ150" s="48" t="str">
        <f t="shared" si="43"/>
        <v/>
      </c>
      <c r="AK150" s="48" t="str">
        <f t="shared" si="44"/>
        <v/>
      </c>
      <c r="AL150" s="48" t="str">
        <f>IF(W150=0,"",_xlfn.CONCAT(DADOS!$A$8,Y150:AK150,"
"))</f>
        <v/>
      </c>
    </row>
    <row r="151" spans="4:38" s="48" customFormat="1" ht="15" customHeight="1" x14ac:dyDescent="0.25">
      <c r="D151" s="49"/>
      <c r="E151" s="43"/>
      <c r="F151" s="20"/>
      <c r="G151" s="14"/>
      <c r="H151" s="20"/>
      <c r="I151" s="15"/>
      <c r="J151" s="16"/>
      <c r="K151" s="14"/>
      <c r="L151" s="17"/>
      <c r="M151" s="18"/>
      <c r="N151" s="17"/>
      <c r="O151" s="18"/>
      <c r="P151" s="19"/>
      <c r="Q151" s="17"/>
      <c r="R151" s="40"/>
      <c r="S151" s="42">
        <v>137</v>
      </c>
      <c r="T151" s="40"/>
      <c r="V151" s="48" t="str">
        <f t="shared" si="41"/>
        <v/>
      </c>
      <c r="W151" s="48">
        <f t="shared" si="30"/>
        <v>0</v>
      </c>
      <c r="Y151" s="48" t="str">
        <f t="shared" si="31"/>
        <v/>
      </c>
      <c r="Z151" s="48" t="str">
        <f t="shared" si="32"/>
        <v/>
      </c>
      <c r="AA151" s="48" t="str">
        <f t="shared" si="33"/>
        <v/>
      </c>
      <c r="AB151" s="48" t="str">
        <f t="shared" si="42"/>
        <v/>
      </c>
      <c r="AC151" s="48" t="str">
        <f t="shared" si="34"/>
        <v/>
      </c>
      <c r="AD151" s="48" t="str">
        <f t="shared" si="35"/>
        <v/>
      </c>
      <c r="AE151" s="48" t="str">
        <f t="shared" si="36"/>
        <v/>
      </c>
      <c r="AF151" s="48" t="str">
        <f t="shared" si="37"/>
        <v/>
      </c>
      <c r="AG151" s="48" t="str">
        <f t="shared" si="38"/>
        <v/>
      </c>
      <c r="AH151" s="48" t="str">
        <f t="shared" si="39"/>
        <v/>
      </c>
      <c r="AI151" s="48" t="str">
        <f t="shared" si="40"/>
        <v/>
      </c>
      <c r="AJ151" s="48" t="str">
        <f t="shared" si="43"/>
        <v/>
      </c>
      <c r="AK151" s="48" t="str">
        <f t="shared" si="44"/>
        <v/>
      </c>
      <c r="AL151" s="48" t="str">
        <f>IF(W151=0,"",_xlfn.CONCAT(DADOS!$A$8,Y151:AK151,"
"))</f>
        <v/>
      </c>
    </row>
    <row r="152" spans="4:38" s="48" customFormat="1" ht="15" customHeight="1" x14ac:dyDescent="0.25">
      <c r="D152" s="49"/>
      <c r="E152" s="43"/>
      <c r="F152" s="20"/>
      <c r="G152" s="14"/>
      <c r="H152" s="20"/>
      <c r="I152" s="15"/>
      <c r="J152" s="16"/>
      <c r="K152" s="14"/>
      <c r="L152" s="17"/>
      <c r="M152" s="18"/>
      <c r="N152" s="17"/>
      <c r="O152" s="18"/>
      <c r="P152" s="19"/>
      <c r="Q152" s="17"/>
      <c r="R152" s="40"/>
      <c r="S152" s="42">
        <v>138</v>
      </c>
      <c r="T152" s="40"/>
      <c r="V152" s="48" t="str">
        <f t="shared" si="41"/>
        <v/>
      </c>
      <c r="W152" s="48">
        <f t="shared" si="30"/>
        <v>0</v>
      </c>
      <c r="Y152" s="48" t="str">
        <f t="shared" si="31"/>
        <v/>
      </c>
      <c r="Z152" s="48" t="str">
        <f t="shared" si="32"/>
        <v/>
      </c>
      <c r="AA152" s="48" t="str">
        <f t="shared" si="33"/>
        <v/>
      </c>
      <c r="AB152" s="48" t="str">
        <f t="shared" si="42"/>
        <v/>
      </c>
      <c r="AC152" s="48" t="str">
        <f t="shared" si="34"/>
        <v/>
      </c>
      <c r="AD152" s="48" t="str">
        <f t="shared" si="35"/>
        <v/>
      </c>
      <c r="AE152" s="48" t="str">
        <f t="shared" si="36"/>
        <v/>
      </c>
      <c r="AF152" s="48" t="str">
        <f t="shared" si="37"/>
        <v/>
      </c>
      <c r="AG152" s="48" t="str">
        <f t="shared" si="38"/>
        <v/>
      </c>
      <c r="AH152" s="48" t="str">
        <f t="shared" si="39"/>
        <v/>
      </c>
      <c r="AI152" s="48" t="str">
        <f t="shared" si="40"/>
        <v/>
      </c>
      <c r="AJ152" s="48" t="str">
        <f t="shared" si="43"/>
        <v/>
      </c>
      <c r="AK152" s="48" t="str">
        <f t="shared" si="44"/>
        <v/>
      </c>
      <c r="AL152" s="48" t="str">
        <f>IF(W152=0,"",_xlfn.CONCAT(DADOS!$A$8,Y152:AK152,"
"))</f>
        <v/>
      </c>
    </row>
    <row r="153" spans="4:38" s="48" customFormat="1" ht="15" customHeight="1" x14ac:dyDescent="0.25">
      <c r="D153" s="49"/>
      <c r="E153" s="43"/>
      <c r="F153" s="20"/>
      <c r="G153" s="14"/>
      <c r="H153" s="20"/>
      <c r="I153" s="15"/>
      <c r="J153" s="16"/>
      <c r="K153" s="14"/>
      <c r="L153" s="17"/>
      <c r="M153" s="18"/>
      <c r="N153" s="17"/>
      <c r="O153" s="18"/>
      <c r="P153" s="19"/>
      <c r="Q153" s="17"/>
      <c r="R153" s="40"/>
      <c r="S153" s="42">
        <v>139</v>
      </c>
      <c r="T153" s="40"/>
      <c r="V153" s="48" t="str">
        <f t="shared" si="41"/>
        <v/>
      </c>
      <c r="W153" s="48">
        <f t="shared" si="30"/>
        <v>0</v>
      </c>
      <c r="Y153" s="48" t="str">
        <f t="shared" si="31"/>
        <v/>
      </c>
      <c r="Z153" s="48" t="str">
        <f t="shared" si="32"/>
        <v/>
      </c>
      <c r="AA153" s="48" t="str">
        <f t="shared" si="33"/>
        <v/>
      </c>
      <c r="AB153" s="48" t="str">
        <f t="shared" si="42"/>
        <v/>
      </c>
      <c r="AC153" s="48" t="str">
        <f t="shared" si="34"/>
        <v/>
      </c>
      <c r="AD153" s="48" t="str">
        <f t="shared" si="35"/>
        <v/>
      </c>
      <c r="AE153" s="48" t="str">
        <f t="shared" si="36"/>
        <v/>
      </c>
      <c r="AF153" s="48" t="str">
        <f t="shared" si="37"/>
        <v/>
      </c>
      <c r="AG153" s="48" t="str">
        <f t="shared" si="38"/>
        <v/>
      </c>
      <c r="AH153" s="48" t="str">
        <f t="shared" si="39"/>
        <v/>
      </c>
      <c r="AI153" s="48" t="str">
        <f t="shared" si="40"/>
        <v/>
      </c>
      <c r="AJ153" s="48" t="str">
        <f t="shared" si="43"/>
        <v/>
      </c>
      <c r="AK153" s="48" t="str">
        <f t="shared" si="44"/>
        <v/>
      </c>
      <c r="AL153" s="48" t="str">
        <f>IF(W153=0,"",_xlfn.CONCAT(DADOS!$A$8,Y153:AK153,"
"))</f>
        <v/>
      </c>
    </row>
    <row r="154" spans="4:38" s="48" customFormat="1" ht="15" customHeight="1" x14ac:dyDescent="0.25">
      <c r="D154" s="49"/>
      <c r="E154" s="43"/>
      <c r="F154" s="20"/>
      <c r="G154" s="14"/>
      <c r="H154" s="20"/>
      <c r="I154" s="15"/>
      <c r="J154" s="16"/>
      <c r="K154" s="14"/>
      <c r="L154" s="17"/>
      <c r="M154" s="18"/>
      <c r="N154" s="17"/>
      <c r="O154" s="18"/>
      <c r="P154" s="19"/>
      <c r="Q154" s="17"/>
      <c r="R154" s="40"/>
      <c r="S154" s="42">
        <v>140</v>
      </c>
      <c r="T154" s="40"/>
      <c r="V154" s="48" t="str">
        <f t="shared" si="41"/>
        <v/>
      </c>
      <c r="W154" s="48">
        <f t="shared" si="30"/>
        <v>0</v>
      </c>
      <c r="Y154" s="48" t="str">
        <f t="shared" si="31"/>
        <v/>
      </c>
      <c r="Z154" s="48" t="str">
        <f t="shared" si="32"/>
        <v/>
      </c>
      <c r="AA154" s="48" t="str">
        <f t="shared" si="33"/>
        <v/>
      </c>
      <c r="AB154" s="48" t="str">
        <f t="shared" si="42"/>
        <v/>
      </c>
      <c r="AC154" s="48" t="str">
        <f t="shared" si="34"/>
        <v/>
      </c>
      <c r="AD154" s="48" t="str">
        <f t="shared" si="35"/>
        <v/>
      </c>
      <c r="AE154" s="48" t="str">
        <f t="shared" si="36"/>
        <v/>
      </c>
      <c r="AF154" s="48" t="str">
        <f t="shared" si="37"/>
        <v/>
      </c>
      <c r="AG154" s="48" t="str">
        <f t="shared" si="38"/>
        <v/>
      </c>
      <c r="AH154" s="48" t="str">
        <f t="shared" si="39"/>
        <v/>
      </c>
      <c r="AI154" s="48" t="str">
        <f t="shared" si="40"/>
        <v/>
      </c>
      <c r="AJ154" s="48" t="str">
        <f t="shared" si="43"/>
        <v/>
      </c>
      <c r="AK154" s="48" t="str">
        <f t="shared" si="44"/>
        <v/>
      </c>
      <c r="AL154" s="48" t="str">
        <f>IF(W154=0,"",_xlfn.CONCAT(DADOS!$A$8,Y154:AK154,"
"))</f>
        <v/>
      </c>
    </row>
    <row r="155" spans="4:38" s="48" customFormat="1" ht="15" customHeight="1" x14ac:dyDescent="0.25">
      <c r="D155" s="49"/>
      <c r="E155" s="43"/>
      <c r="F155" s="20"/>
      <c r="G155" s="14"/>
      <c r="H155" s="20"/>
      <c r="I155" s="15"/>
      <c r="J155" s="16"/>
      <c r="K155" s="14"/>
      <c r="L155" s="17"/>
      <c r="M155" s="18"/>
      <c r="N155" s="17"/>
      <c r="O155" s="18"/>
      <c r="P155" s="19"/>
      <c r="Q155" s="17"/>
      <c r="R155" s="40"/>
      <c r="S155" s="42">
        <v>141</v>
      </c>
      <c r="T155" s="40"/>
      <c r="V155" s="48" t="str">
        <f t="shared" si="41"/>
        <v/>
      </c>
      <c r="W155" s="48">
        <f t="shared" si="30"/>
        <v>0</v>
      </c>
      <c r="Y155" s="48" t="str">
        <f t="shared" si="31"/>
        <v/>
      </c>
      <c r="Z155" s="48" t="str">
        <f t="shared" si="32"/>
        <v/>
      </c>
      <c r="AA155" s="48" t="str">
        <f t="shared" si="33"/>
        <v/>
      </c>
      <c r="AB155" s="48" t="str">
        <f t="shared" si="42"/>
        <v/>
      </c>
      <c r="AC155" s="48" t="str">
        <f t="shared" si="34"/>
        <v/>
      </c>
      <c r="AD155" s="48" t="str">
        <f t="shared" si="35"/>
        <v/>
      </c>
      <c r="AE155" s="48" t="str">
        <f t="shared" si="36"/>
        <v/>
      </c>
      <c r="AF155" s="48" t="str">
        <f t="shared" si="37"/>
        <v/>
      </c>
      <c r="AG155" s="48" t="str">
        <f t="shared" si="38"/>
        <v/>
      </c>
      <c r="AH155" s="48" t="str">
        <f t="shared" si="39"/>
        <v/>
      </c>
      <c r="AI155" s="48" t="str">
        <f t="shared" si="40"/>
        <v/>
      </c>
      <c r="AJ155" s="48" t="str">
        <f t="shared" si="43"/>
        <v/>
      </c>
      <c r="AK155" s="48" t="str">
        <f t="shared" si="44"/>
        <v/>
      </c>
      <c r="AL155" s="48" t="str">
        <f>IF(W155=0,"",_xlfn.CONCAT(DADOS!$A$8,Y155:AK155,"
"))</f>
        <v/>
      </c>
    </row>
    <row r="156" spans="4:38" s="48" customFormat="1" ht="15" customHeight="1" x14ac:dyDescent="0.25">
      <c r="D156" s="49"/>
      <c r="E156" s="43"/>
      <c r="F156" s="20"/>
      <c r="G156" s="14"/>
      <c r="H156" s="20"/>
      <c r="I156" s="15"/>
      <c r="J156" s="16"/>
      <c r="K156" s="14"/>
      <c r="L156" s="17"/>
      <c r="M156" s="18"/>
      <c r="N156" s="17"/>
      <c r="O156" s="18"/>
      <c r="P156" s="19"/>
      <c r="Q156" s="17"/>
      <c r="R156" s="40"/>
      <c r="S156" s="42">
        <v>142</v>
      </c>
      <c r="T156" s="40"/>
      <c r="V156" s="48" t="str">
        <f t="shared" si="41"/>
        <v/>
      </c>
      <c r="W156" s="48">
        <f t="shared" si="30"/>
        <v>0</v>
      </c>
      <c r="Y156" s="48" t="str">
        <f t="shared" si="31"/>
        <v/>
      </c>
      <c r="Z156" s="48" t="str">
        <f t="shared" si="32"/>
        <v/>
      </c>
      <c r="AA156" s="48" t="str">
        <f t="shared" si="33"/>
        <v/>
      </c>
      <c r="AB156" s="48" t="str">
        <f t="shared" si="42"/>
        <v/>
      </c>
      <c r="AC156" s="48" t="str">
        <f t="shared" si="34"/>
        <v/>
      </c>
      <c r="AD156" s="48" t="str">
        <f t="shared" si="35"/>
        <v/>
      </c>
      <c r="AE156" s="48" t="str">
        <f t="shared" si="36"/>
        <v/>
      </c>
      <c r="AF156" s="48" t="str">
        <f t="shared" si="37"/>
        <v/>
      </c>
      <c r="AG156" s="48" t="str">
        <f t="shared" si="38"/>
        <v/>
      </c>
      <c r="AH156" s="48" t="str">
        <f t="shared" si="39"/>
        <v/>
      </c>
      <c r="AI156" s="48" t="str">
        <f t="shared" si="40"/>
        <v/>
      </c>
      <c r="AJ156" s="48" t="str">
        <f t="shared" si="43"/>
        <v/>
      </c>
      <c r="AK156" s="48" t="str">
        <f t="shared" si="44"/>
        <v/>
      </c>
      <c r="AL156" s="48" t="str">
        <f>IF(W156=0,"",_xlfn.CONCAT(DADOS!$A$8,Y156:AK156,"
"))</f>
        <v/>
      </c>
    </row>
    <row r="157" spans="4:38" s="48" customFormat="1" ht="15" customHeight="1" x14ac:dyDescent="0.25">
      <c r="D157" s="49"/>
      <c r="E157" s="43"/>
      <c r="F157" s="20"/>
      <c r="G157" s="14"/>
      <c r="H157" s="20"/>
      <c r="I157" s="15"/>
      <c r="J157" s="16"/>
      <c r="K157" s="14"/>
      <c r="L157" s="17"/>
      <c r="M157" s="18"/>
      <c r="N157" s="17"/>
      <c r="O157" s="18"/>
      <c r="P157" s="19"/>
      <c r="Q157" s="17"/>
      <c r="R157" s="40"/>
      <c r="S157" s="42">
        <v>143</v>
      </c>
      <c r="T157" s="40"/>
      <c r="V157" s="48" t="str">
        <f t="shared" si="41"/>
        <v/>
      </c>
      <c r="W157" s="48">
        <f t="shared" si="30"/>
        <v>0</v>
      </c>
      <c r="Y157" s="48" t="str">
        <f t="shared" si="31"/>
        <v/>
      </c>
      <c r="Z157" s="48" t="str">
        <f t="shared" si="32"/>
        <v/>
      </c>
      <c r="AA157" s="48" t="str">
        <f t="shared" si="33"/>
        <v/>
      </c>
      <c r="AB157" s="48" t="str">
        <f t="shared" si="42"/>
        <v/>
      </c>
      <c r="AC157" s="48" t="str">
        <f t="shared" si="34"/>
        <v/>
      </c>
      <c r="AD157" s="48" t="str">
        <f t="shared" si="35"/>
        <v/>
      </c>
      <c r="AE157" s="48" t="str">
        <f t="shared" si="36"/>
        <v/>
      </c>
      <c r="AF157" s="48" t="str">
        <f t="shared" si="37"/>
        <v/>
      </c>
      <c r="AG157" s="48" t="str">
        <f t="shared" si="38"/>
        <v/>
      </c>
      <c r="AH157" s="48" t="str">
        <f t="shared" si="39"/>
        <v/>
      </c>
      <c r="AI157" s="48" t="str">
        <f t="shared" si="40"/>
        <v/>
      </c>
      <c r="AJ157" s="48" t="str">
        <f t="shared" si="43"/>
        <v/>
      </c>
      <c r="AK157" s="48" t="str">
        <f t="shared" si="44"/>
        <v/>
      </c>
      <c r="AL157" s="48" t="str">
        <f>IF(W157=0,"",_xlfn.CONCAT(DADOS!$A$8,Y157:AK157,"
"))</f>
        <v/>
      </c>
    </row>
    <row r="158" spans="4:38" s="48" customFormat="1" ht="15" customHeight="1" x14ac:dyDescent="0.25">
      <c r="D158" s="49"/>
      <c r="E158" s="43"/>
      <c r="F158" s="20"/>
      <c r="G158" s="14"/>
      <c r="H158" s="20"/>
      <c r="I158" s="15"/>
      <c r="J158" s="16"/>
      <c r="K158" s="14"/>
      <c r="L158" s="17"/>
      <c r="M158" s="18"/>
      <c r="N158" s="17"/>
      <c r="O158" s="18"/>
      <c r="P158" s="19"/>
      <c r="Q158" s="17"/>
      <c r="R158" s="40"/>
      <c r="S158" s="42">
        <v>144</v>
      </c>
      <c r="T158" s="40"/>
      <c r="V158" s="48" t="str">
        <f t="shared" si="41"/>
        <v/>
      </c>
      <c r="W158" s="48">
        <f t="shared" si="30"/>
        <v>0</v>
      </c>
      <c r="Y158" s="48" t="str">
        <f t="shared" si="31"/>
        <v/>
      </c>
      <c r="Z158" s="48" t="str">
        <f t="shared" si="32"/>
        <v/>
      </c>
      <c r="AA158" s="48" t="str">
        <f t="shared" si="33"/>
        <v/>
      </c>
      <c r="AB158" s="48" t="str">
        <f t="shared" si="42"/>
        <v/>
      </c>
      <c r="AC158" s="48" t="str">
        <f t="shared" si="34"/>
        <v/>
      </c>
      <c r="AD158" s="48" t="str">
        <f t="shared" si="35"/>
        <v/>
      </c>
      <c r="AE158" s="48" t="str">
        <f t="shared" si="36"/>
        <v/>
      </c>
      <c r="AF158" s="48" t="str">
        <f t="shared" si="37"/>
        <v/>
      </c>
      <c r="AG158" s="48" t="str">
        <f t="shared" si="38"/>
        <v/>
      </c>
      <c r="AH158" s="48" t="str">
        <f t="shared" si="39"/>
        <v/>
      </c>
      <c r="AI158" s="48" t="str">
        <f t="shared" si="40"/>
        <v/>
      </c>
      <c r="AJ158" s="48" t="str">
        <f t="shared" si="43"/>
        <v/>
      </c>
      <c r="AK158" s="48" t="str">
        <f t="shared" si="44"/>
        <v/>
      </c>
      <c r="AL158" s="48" t="str">
        <f>IF(W158=0,"",_xlfn.CONCAT(DADOS!$A$8,Y158:AK158,"
"))</f>
        <v/>
      </c>
    </row>
    <row r="159" spans="4:38" s="48" customFormat="1" ht="15" customHeight="1" x14ac:dyDescent="0.25">
      <c r="D159" s="49"/>
      <c r="E159" s="43"/>
      <c r="F159" s="20"/>
      <c r="G159" s="14"/>
      <c r="H159" s="20"/>
      <c r="I159" s="15"/>
      <c r="J159" s="16"/>
      <c r="K159" s="14"/>
      <c r="L159" s="17"/>
      <c r="M159" s="18"/>
      <c r="N159" s="17"/>
      <c r="O159" s="18"/>
      <c r="P159" s="19"/>
      <c r="Q159" s="17"/>
      <c r="R159" s="40"/>
      <c r="S159" s="42">
        <v>145</v>
      </c>
      <c r="T159" s="40"/>
      <c r="V159" s="48" t="str">
        <f t="shared" si="41"/>
        <v/>
      </c>
      <c r="W159" s="48">
        <f t="shared" si="30"/>
        <v>0</v>
      </c>
      <c r="Y159" s="48" t="str">
        <f t="shared" si="31"/>
        <v/>
      </c>
      <c r="Z159" s="48" t="str">
        <f t="shared" si="32"/>
        <v/>
      </c>
      <c r="AA159" s="48" t="str">
        <f t="shared" si="33"/>
        <v/>
      </c>
      <c r="AB159" s="48" t="str">
        <f t="shared" si="42"/>
        <v/>
      </c>
      <c r="AC159" s="48" t="str">
        <f t="shared" si="34"/>
        <v/>
      </c>
      <c r="AD159" s="48" t="str">
        <f t="shared" si="35"/>
        <v/>
      </c>
      <c r="AE159" s="48" t="str">
        <f t="shared" si="36"/>
        <v/>
      </c>
      <c r="AF159" s="48" t="str">
        <f t="shared" si="37"/>
        <v/>
      </c>
      <c r="AG159" s="48" t="str">
        <f t="shared" si="38"/>
        <v/>
      </c>
      <c r="AH159" s="48" t="str">
        <f t="shared" si="39"/>
        <v/>
      </c>
      <c r="AI159" s="48" t="str">
        <f t="shared" si="40"/>
        <v/>
      </c>
      <c r="AJ159" s="48" t="str">
        <f t="shared" si="43"/>
        <v/>
      </c>
      <c r="AK159" s="48" t="str">
        <f t="shared" si="44"/>
        <v/>
      </c>
      <c r="AL159" s="48" t="str">
        <f>IF(W159=0,"",_xlfn.CONCAT(DADOS!$A$8,Y159:AK159,"
"))</f>
        <v/>
      </c>
    </row>
    <row r="160" spans="4:38" s="48" customFormat="1" ht="15" customHeight="1" x14ac:dyDescent="0.25">
      <c r="D160" s="49"/>
      <c r="E160" s="43"/>
      <c r="F160" s="20"/>
      <c r="G160" s="14"/>
      <c r="H160" s="20"/>
      <c r="I160" s="15"/>
      <c r="J160" s="16"/>
      <c r="K160" s="14"/>
      <c r="L160" s="17"/>
      <c r="M160" s="18"/>
      <c r="N160" s="17"/>
      <c r="O160" s="18"/>
      <c r="P160" s="19"/>
      <c r="Q160" s="17"/>
      <c r="R160" s="40"/>
      <c r="S160" s="42">
        <v>146</v>
      </c>
      <c r="T160" s="40"/>
      <c r="V160" s="48" t="str">
        <f t="shared" si="41"/>
        <v/>
      </c>
      <c r="W160" s="48">
        <f t="shared" si="30"/>
        <v>0</v>
      </c>
      <c r="Y160" s="48" t="str">
        <f t="shared" si="31"/>
        <v/>
      </c>
      <c r="Z160" s="48" t="str">
        <f t="shared" si="32"/>
        <v/>
      </c>
      <c r="AA160" s="48" t="str">
        <f t="shared" si="33"/>
        <v/>
      </c>
      <c r="AB160" s="48" t="str">
        <f t="shared" si="42"/>
        <v/>
      </c>
      <c r="AC160" s="48" t="str">
        <f t="shared" si="34"/>
        <v/>
      </c>
      <c r="AD160" s="48" t="str">
        <f t="shared" si="35"/>
        <v/>
      </c>
      <c r="AE160" s="48" t="str">
        <f t="shared" si="36"/>
        <v/>
      </c>
      <c r="AF160" s="48" t="str">
        <f t="shared" si="37"/>
        <v/>
      </c>
      <c r="AG160" s="48" t="str">
        <f t="shared" si="38"/>
        <v/>
      </c>
      <c r="AH160" s="48" t="str">
        <f t="shared" si="39"/>
        <v/>
      </c>
      <c r="AI160" s="48" t="str">
        <f t="shared" si="40"/>
        <v/>
      </c>
      <c r="AJ160" s="48" t="str">
        <f t="shared" si="43"/>
        <v/>
      </c>
      <c r="AK160" s="48" t="str">
        <f t="shared" si="44"/>
        <v/>
      </c>
      <c r="AL160" s="48" t="str">
        <f>IF(W160=0,"",_xlfn.CONCAT(DADOS!$A$8,Y160:AK160,"
"))</f>
        <v/>
      </c>
    </row>
    <row r="161" spans="4:38" s="48" customFormat="1" ht="15" customHeight="1" x14ac:dyDescent="0.25">
      <c r="D161" s="49"/>
      <c r="E161" s="43"/>
      <c r="F161" s="20"/>
      <c r="G161" s="14"/>
      <c r="H161" s="20"/>
      <c r="I161" s="15"/>
      <c r="J161" s="16"/>
      <c r="K161" s="14"/>
      <c r="L161" s="17"/>
      <c r="M161" s="18"/>
      <c r="N161" s="17"/>
      <c r="O161" s="18"/>
      <c r="P161" s="19"/>
      <c r="Q161" s="17"/>
      <c r="R161" s="40"/>
      <c r="S161" s="42">
        <v>147</v>
      </c>
      <c r="T161" s="40"/>
      <c r="V161" s="48" t="str">
        <f t="shared" si="41"/>
        <v/>
      </c>
      <c r="W161" s="48">
        <f t="shared" si="30"/>
        <v>0</v>
      </c>
      <c r="Y161" s="48" t="str">
        <f t="shared" si="31"/>
        <v/>
      </c>
      <c r="Z161" s="48" t="str">
        <f t="shared" si="32"/>
        <v/>
      </c>
      <c r="AA161" s="48" t="str">
        <f t="shared" si="33"/>
        <v/>
      </c>
      <c r="AB161" s="48" t="str">
        <f t="shared" si="42"/>
        <v/>
      </c>
      <c r="AC161" s="48" t="str">
        <f t="shared" si="34"/>
        <v/>
      </c>
      <c r="AD161" s="48" t="str">
        <f t="shared" si="35"/>
        <v/>
      </c>
      <c r="AE161" s="48" t="str">
        <f t="shared" si="36"/>
        <v/>
      </c>
      <c r="AF161" s="48" t="str">
        <f t="shared" si="37"/>
        <v/>
      </c>
      <c r="AG161" s="48" t="str">
        <f t="shared" si="38"/>
        <v/>
      </c>
      <c r="AH161" s="48" t="str">
        <f t="shared" si="39"/>
        <v/>
      </c>
      <c r="AI161" s="48" t="str">
        <f t="shared" si="40"/>
        <v/>
      </c>
      <c r="AJ161" s="48" t="str">
        <f t="shared" si="43"/>
        <v/>
      </c>
      <c r="AK161" s="48" t="str">
        <f t="shared" si="44"/>
        <v/>
      </c>
      <c r="AL161" s="48" t="str">
        <f>IF(W161=0,"",_xlfn.CONCAT(DADOS!$A$8,Y161:AK161,"
"))</f>
        <v/>
      </c>
    </row>
    <row r="162" spans="4:38" s="48" customFormat="1" ht="15" customHeight="1" x14ac:dyDescent="0.25">
      <c r="D162" s="49"/>
      <c r="E162" s="43"/>
      <c r="F162" s="20"/>
      <c r="G162" s="14"/>
      <c r="H162" s="20"/>
      <c r="I162" s="15"/>
      <c r="J162" s="16"/>
      <c r="K162" s="14"/>
      <c r="L162" s="17"/>
      <c r="M162" s="18"/>
      <c r="N162" s="17"/>
      <c r="O162" s="18"/>
      <c r="P162" s="19"/>
      <c r="Q162" s="17"/>
      <c r="R162" s="40"/>
      <c r="S162" s="42">
        <v>148</v>
      </c>
      <c r="T162" s="40"/>
      <c r="V162" s="48" t="str">
        <f t="shared" si="41"/>
        <v/>
      </c>
      <c r="W162" s="48">
        <f t="shared" si="30"/>
        <v>0</v>
      </c>
      <c r="Y162" s="48" t="str">
        <f t="shared" si="31"/>
        <v/>
      </c>
      <c r="Z162" s="48" t="str">
        <f t="shared" si="32"/>
        <v/>
      </c>
      <c r="AA162" s="48" t="str">
        <f t="shared" si="33"/>
        <v/>
      </c>
      <c r="AB162" s="48" t="str">
        <f t="shared" si="42"/>
        <v/>
      </c>
      <c r="AC162" s="48" t="str">
        <f t="shared" si="34"/>
        <v/>
      </c>
      <c r="AD162" s="48" t="str">
        <f t="shared" si="35"/>
        <v/>
      </c>
      <c r="AE162" s="48" t="str">
        <f t="shared" si="36"/>
        <v/>
      </c>
      <c r="AF162" s="48" t="str">
        <f t="shared" si="37"/>
        <v/>
      </c>
      <c r="AG162" s="48" t="str">
        <f t="shared" si="38"/>
        <v/>
      </c>
      <c r="AH162" s="48" t="str">
        <f t="shared" si="39"/>
        <v/>
      </c>
      <c r="AI162" s="48" t="str">
        <f t="shared" si="40"/>
        <v/>
      </c>
      <c r="AJ162" s="48" t="str">
        <f t="shared" si="43"/>
        <v/>
      </c>
      <c r="AK162" s="48" t="str">
        <f t="shared" si="44"/>
        <v/>
      </c>
      <c r="AL162" s="48" t="str">
        <f>IF(W162=0,"",_xlfn.CONCAT(DADOS!$A$8,Y162:AK162,"
"))</f>
        <v/>
      </c>
    </row>
    <row r="163" spans="4:38" s="48" customFormat="1" ht="15" customHeight="1" x14ac:dyDescent="0.25">
      <c r="D163" s="49"/>
      <c r="E163" s="43"/>
      <c r="F163" s="20"/>
      <c r="G163" s="14"/>
      <c r="H163" s="20"/>
      <c r="I163" s="15"/>
      <c r="J163" s="16"/>
      <c r="K163" s="14"/>
      <c r="L163" s="17"/>
      <c r="M163" s="18"/>
      <c r="N163" s="17"/>
      <c r="O163" s="18"/>
      <c r="P163" s="19"/>
      <c r="Q163" s="17"/>
      <c r="R163" s="40"/>
      <c r="S163" s="42">
        <v>149</v>
      </c>
      <c r="T163" s="40"/>
      <c r="V163" s="48" t="str">
        <f t="shared" si="41"/>
        <v/>
      </c>
      <c r="W163" s="48">
        <f t="shared" si="30"/>
        <v>0</v>
      </c>
      <c r="Y163" s="48" t="str">
        <f t="shared" si="31"/>
        <v/>
      </c>
      <c r="Z163" s="48" t="str">
        <f t="shared" si="32"/>
        <v/>
      </c>
      <c r="AA163" s="48" t="str">
        <f t="shared" si="33"/>
        <v/>
      </c>
      <c r="AB163" s="48" t="str">
        <f t="shared" si="42"/>
        <v/>
      </c>
      <c r="AC163" s="48" t="str">
        <f t="shared" si="34"/>
        <v/>
      </c>
      <c r="AD163" s="48" t="str">
        <f t="shared" si="35"/>
        <v/>
      </c>
      <c r="AE163" s="48" t="str">
        <f t="shared" si="36"/>
        <v/>
      </c>
      <c r="AF163" s="48" t="str">
        <f t="shared" si="37"/>
        <v/>
      </c>
      <c r="AG163" s="48" t="str">
        <f t="shared" si="38"/>
        <v/>
      </c>
      <c r="AH163" s="48" t="str">
        <f t="shared" si="39"/>
        <v/>
      </c>
      <c r="AI163" s="48" t="str">
        <f t="shared" si="40"/>
        <v/>
      </c>
      <c r="AJ163" s="48" t="str">
        <f t="shared" si="43"/>
        <v/>
      </c>
      <c r="AK163" s="48" t="str">
        <f t="shared" si="44"/>
        <v/>
      </c>
      <c r="AL163" s="48" t="str">
        <f>IF(W163=0,"",_xlfn.CONCAT(DADOS!$A$8,Y163:AK163,"
"))</f>
        <v/>
      </c>
    </row>
    <row r="164" spans="4:38" s="48" customFormat="1" ht="15" customHeight="1" x14ac:dyDescent="0.25">
      <c r="D164" s="49"/>
      <c r="E164" s="43"/>
      <c r="F164" s="20"/>
      <c r="G164" s="14"/>
      <c r="H164" s="20"/>
      <c r="I164" s="15"/>
      <c r="J164" s="16"/>
      <c r="K164" s="14"/>
      <c r="L164" s="17"/>
      <c r="M164" s="18"/>
      <c r="N164" s="17"/>
      <c r="O164" s="18"/>
      <c r="P164" s="19"/>
      <c r="Q164" s="17"/>
      <c r="R164" s="40"/>
      <c r="S164" s="42">
        <v>150</v>
      </c>
      <c r="T164" s="40"/>
      <c r="V164" s="48" t="str">
        <f t="shared" si="41"/>
        <v/>
      </c>
      <c r="W164" s="48">
        <f t="shared" si="30"/>
        <v>0</v>
      </c>
      <c r="Y164" s="48" t="str">
        <f t="shared" si="31"/>
        <v/>
      </c>
      <c r="Z164" s="48" t="str">
        <f t="shared" si="32"/>
        <v/>
      </c>
      <c r="AA164" s="48" t="str">
        <f t="shared" si="33"/>
        <v/>
      </c>
      <c r="AB164" s="48" t="str">
        <f t="shared" si="42"/>
        <v/>
      </c>
      <c r="AC164" s="48" t="str">
        <f t="shared" si="34"/>
        <v/>
      </c>
      <c r="AD164" s="48" t="str">
        <f t="shared" si="35"/>
        <v/>
      </c>
      <c r="AE164" s="48" t="str">
        <f t="shared" si="36"/>
        <v/>
      </c>
      <c r="AF164" s="48" t="str">
        <f t="shared" si="37"/>
        <v/>
      </c>
      <c r="AG164" s="48" t="str">
        <f t="shared" si="38"/>
        <v/>
      </c>
      <c r="AH164" s="48" t="str">
        <f t="shared" si="39"/>
        <v/>
      </c>
      <c r="AI164" s="48" t="str">
        <f t="shared" si="40"/>
        <v/>
      </c>
      <c r="AJ164" s="48" t="str">
        <f t="shared" si="43"/>
        <v/>
      </c>
      <c r="AK164" s="48" t="str">
        <f t="shared" si="44"/>
        <v/>
      </c>
      <c r="AL164" s="48" t="str">
        <f>IF(W164=0,"",_xlfn.CONCAT(DADOS!$A$8,Y164:AK164,"
"))</f>
        <v/>
      </c>
    </row>
    <row r="165" spans="4:38" s="48" customFormat="1" ht="15" customHeight="1" x14ac:dyDescent="0.25">
      <c r="D165" s="49"/>
      <c r="E165" s="43"/>
      <c r="F165" s="20"/>
      <c r="G165" s="14"/>
      <c r="H165" s="20"/>
      <c r="I165" s="15"/>
      <c r="J165" s="16"/>
      <c r="K165" s="14"/>
      <c r="L165" s="17"/>
      <c r="M165" s="18"/>
      <c r="N165" s="17"/>
      <c r="O165" s="18"/>
      <c r="P165" s="19"/>
      <c r="Q165" s="17"/>
      <c r="R165" s="40"/>
      <c r="S165" s="42">
        <v>151</v>
      </c>
      <c r="T165" s="40"/>
      <c r="V165" s="48" t="str">
        <f t="shared" si="41"/>
        <v/>
      </c>
      <c r="W165" s="48">
        <f t="shared" si="30"/>
        <v>0</v>
      </c>
      <c r="Y165" s="48" t="str">
        <f t="shared" si="31"/>
        <v/>
      </c>
      <c r="Z165" s="48" t="str">
        <f t="shared" si="32"/>
        <v/>
      </c>
      <c r="AA165" s="48" t="str">
        <f t="shared" si="33"/>
        <v/>
      </c>
      <c r="AB165" s="48" t="str">
        <f t="shared" si="42"/>
        <v/>
      </c>
      <c r="AC165" s="48" t="str">
        <f t="shared" si="34"/>
        <v/>
      </c>
      <c r="AD165" s="48" t="str">
        <f t="shared" si="35"/>
        <v/>
      </c>
      <c r="AE165" s="48" t="str">
        <f t="shared" si="36"/>
        <v/>
      </c>
      <c r="AF165" s="48" t="str">
        <f t="shared" si="37"/>
        <v/>
      </c>
      <c r="AG165" s="48" t="str">
        <f t="shared" si="38"/>
        <v/>
      </c>
      <c r="AH165" s="48" t="str">
        <f t="shared" si="39"/>
        <v/>
      </c>
      <c r="AI165" s="48" t="str">
        <f t="shared" si="40"/>
        <v/>
      </c>
      <c r="AJ165" s="48" t="str">
        <f t="shared" si="43"/>
        <v/>
      </c>
      <c r="AK165" s="48" t="str">
        <f t="shared" si="44"/>
        <v/>
      </c>
      <c r="AL165" s="48" t="str">
        <f>IF(W165=0,"",_xlfn.CONCAT(DADOS!$A$8,Y165:AK165,"
"))</f>
        <v/>
      </c>
    </row>
    <row r="166" spans="4:38" s="48" customFormat="1" ht="15" customHeight="1" x14ac:dyDescent="0.25">
      <c r="D166" s="49"/>
      <c r="E166" s="43"/>
      <c r="F166" s="20"/>
      <c r="G166" s="14"/>
      <c r="H166" s="20"/>
      <c r="I166" s="15"/>
      <c r="J166" s="16"/>
      <c r="K166" s="14"/>
      <c r="L166" s="17"/>
      <c r="M166" s="18"/>
      <c r="N166" s="17"/>
      <c r="O166" s="18"/>
      <c r="P166" s="19"/>
      <c r="Q166" s="17"/>
      <c r="R166" s="40"/>
      <c r="S166" s="42">
        <v>152</v>
      </c>
      <c r="T166" s="40"/>
      <c r="V166" s="48" t="str">
        <f t="shared" si="41"/>
        <v/>
      </c>
      <c r="W166" s="48">
        <f t="shared" si="30"/>
        <v>0</v>
      </c>
      <c r="Y166" s="48" t="str">
        <f t="shared" si="31"/>
        <v/>
      </c>
      <c r="Z166" s="48" t="str">
        <f t="shared" si="32"/>
        <v/>
      </c>
      <c r="AA166" s="48" t="str">
        <f t="shared" si="33"/>
        <v/>
      </c>
      <c r="AB166" s="48" t="str">
        <f t="shared" si="42"/>
        <v/>
      </c>
      <c r="AC166" s="48" t="str">
        <f t="shared" si="34"/>
        <v/>
      </c>
      <c r="AD166" s="48" t="str">
        <f t="shared" si="35"/>
        <v/>
      </c>
      <c r="AE166" s="48" t="str">
        <f t="shared" si="36"/>
        <v/>
      </c>
      <c r="AF166" s="48" t="str">
        <f t="shared" si="37"/>
        <v/>
      </c>
      <c r="AG166" s="48" t="str">
        <f t="shared" si="38"/>
        <v/>
      </c>
      <c r="AH166" s="48" t="str">
        <f t="shared" si="39"/>
        <v/>
      </c>
      <c r="AI166" s="48" t="str">
        <f t="shared" si="40"/>
        <v/>
      </c>
      <c r="AJ166" s="48" t="str">
        <f t="shared" si="43"/>
        <v/>
      </c>
      <c r="AK166" s="48" t="str">
        <f t="shared" si="44"/>
        <v/>
      </c>
      <c r="AL166" s="48" t="str">
        <f>IF(W166=0,"",_xlfn.CONCAT(DADOS!$A$8,Y166:AK166,"
"))</f>
        <v/>
      </c>
    </row>
    <row r="167" spans="4:38" s="48" customFormat="1" ht="15" customHeight="1" x14ac:dyDescent="0.25">
      <c r="D167" s="49"/>
      <c r="E167" s="43"/>
      <c r="F167" s="20"/>
      <c r="G167" s="14"/>
      <c r="H167" s="20"/>
      <c r="I167" s="15"/>
      <c r="J167" s="16"/>
      <c r="K167" s="14"/>
      <c r="L167" s="17"/>
      <c r="M167" s="18"/>
      <c r="N167" s="17"/>
      <c r="O167" s="18"/>
      <c r="P167" s="19"/>
      <c r="Q167" s="17"/>
      <c r="R167" s="40"/>
      <c r="S167" s="42">
        <v>153</v>
      </c>
      <c r="T167" s="40"/>
      <c r="V167" s="48" t="str">
        <f t="shared" si="41"/>
        <v/>
      </c>
      <c r="W167" s="48">
        <f t="shared" si="30"/>
        <v>0</v>
      </c>
      <c r="Y167" s="48" t="str">
        <f t="shared" si="31"/>
        <v/>
      </c>
      <c r="Z167" s="48" t="str">
        <f t="shared" si="32"/>
        <v/>
      </c>
      <c r="AA167" s="48" t="str">
        <f t="shared" si="33"/>
        <v/>
      </c>
      <c r="AB167" s="48" t="str">
        <f t="shared" si="42"/>
        <v/>
      </c>
      <c r="AC167" s="48" t="str">
        <f t="shared" si="34"/>
        <v/>
      </c>
      <c r="AD167" s="48" t="str">
        <f t="shared" si="35"/>
        <v/>
      </c>
      <c r="AE167" s="48" t="str">
        <f t="shared" si="36"/>
        <v/>
      </c>
      <c r="AF167" s="48" t="str">
        <f t="shared" si="37"/>
        <v/>
      </c>
      <c r="AG167" s="48" t="str">
        <f t="shared" si="38"/>
        <v/>
      </c>
      <c r="AH167" s="48" t="str">
        <f t="shared" si="39"/>
        <v/>
      </c>
      <c r="AI167" s="48" t="str">
        <f t="shared" si="40"/>
        <v/>
      </c>
      <c r="AJ167" s="48" t="str">
        <f t="shared" si="43"/>
        <v/>
      </c>
      <c r="AK167" s="48" t="str">
        <f t="shared" si="44"/>
        <v/>
      </c>
      <c r="AL167" s="48" t="str">
        <f>IF(W167=0,"",_xlfn.CONCAT(DADOS!$A$8,Y167:AK167,"
"))</f>
        <v/>
      </c>
    </row>
    <row r="168" spans="4:38" s="48" customFormat="1" ht="15" customHeight="1" x14ac:dyDescent="0.25">
      <c r="D168" s="49"/>
      <c r="E168" s="43"/>
      <c r="F168" s="20"/>
      <c r="G168" s="14"/>
      <c r="H168" s="20"/>
      <c r="I168" s="15"/>
      <c r="J168" s="16"/>
      <c r="K168" s="14"/>
      <c r="L168" s="17"/>
      <c r="M168" s="18"/>
      <c r="N168" s="17"/>
      <c r="O168" s="18"/>
      <c r="P168" s="19"/>
      <c r="Q168" s="17"/>
      <c r="R168" s="40"/>
      <c r="S168" s="42">
        <v>154</v>
      </c>
      <c r="T168" s="40"/>
      <c r="V168" s="48" t="str">
        <f t="shared" si="41"/>
        <v/>
      </c>
      <c r="W168" s="48">
        <f t="shared" si="30"/>
        <v>0</v>
      </c>
      <c r="Y168" s="48" t="str">
        <f t="shared" si="31"/>
        <v/>
      </c>
      <c r="Z168" s="48" t="str">
        <f t="shared" si="32"/>
        <v/>
      </c>
      <c r="AA168" s="48" t="str">
        <f t="shared" si="33"/>
        <v/>
      </c>
      <c r="AB168" s="48" t="str">
        <f t="shared" si="42"/>
        <v/>
      </c>
      <c r="AC168" s="48" t="str">
        <f t="shared" si="34"/>
        <v/>
      </c>
      <c r="AD168" s="48" t="str">
        <f t="shared" si="35"/>
        <v/>
      </c>
      <c r="AE168" s="48" t="str">
        <f t="shared" si="36"/>
        <v/>
      </c>
      <c r="AF168" s="48" t="str">
        <f t="shared" si="37"/>
        <v/>
      </c>
      <c r="AG168" s="48" t="str">
        <f t="shared" si="38"/>
        <v/>
      </c>
      <c r="AH168" s="48" t="str">
        <f t="shared" si="39"/>
        <v/>
      </c>
      <c r="AI168" s="48" t="str">
        <f t="shared" si="40"/>
        <v/>
      </c>
      <c r="AJ168" s="48" t="str">
        <f t="shared" si="43"/>
        <v/>
      </c>
      <c r="AK168" s="48" t="str">
        <f t="shared" si="44"/>
        <v/>
      </c>
      <c r="AL168" s="48" t="str">
        <f>IF(W168=0,"",_xlfn.CONCAT(DADOS!$A$8,Y168:AK168,"
"))</f>
        <v/>
      </c>
    </row>
    <row r="169" spans="4:38" s="48" customFormat="1" ht="15" customHeight="1" x14ac:dyDescent="0.25">
      <c r="D169" s="49"/>
      <c r="E169" s="43"/>
      <c r="F169" s="20"/>
      <c r="G169" s="14"/>
      <c r="H169" s="20"/>
      <c r="I169" s="15"/>
      <c r="J169" s="16"/>
      <c r="K169" s="14"/>
      <c r="L169" s="17"/>
      <c r="M169" s="18"/>
      <c r="N169" s="17"/>
      <c r="O169" s="18"/>
      <c r="P169" s="19"/>
      <c r="Q169" s="17"/>
      <c r="R169" s="40"/>
      <c r="S169" s="42">
        <v>155</v>
      </c>
      <c r="T169" s="40"/>
      <c r="V169" s="48" t="str">
        <f t="shared" si="41"/>
        <v/>
      </c>
      <c r="W169" s="48">
        <f t="shared" si="30"/>
        <v>0</v>
      </c>
      <c r="Y169" s="48" t="str">
        <f t="shared" si="31"/>
        <v/>
      </c>
      <c r="Z169" s="48" t="str">
        <f t="shared" si="32"/>
        <v/>
      </c>
      <c r="AA169" s="48" t="str">
        <f t="shared" si="33"/>
        <v/>
      </c>
      <c r="AB169" s="48" t="str">
        <f t="shared" si="42"/>
        <v/>
      </c>
      <c r="AC169" s="48" t="str">
        <f t="shared" si="34"/>
        <v/>
      </c>
      <c r="AD169" s="48" t="str">
        <f t="shared" si="35"/>
        <v/>
      </c>
      <c r="AE169" s="48" t="str">
        <f t="shared" si="36"/>
        <v/>
      </c>
      <c r="AF169" s="48" t="str">
        <f t="shared" si="37"/>
        <v/>
      </c>
      <c r="AG169" s="48" t="str">
        <f t="shared" si="38"/>
        <v/>
      </c>
      <c r="AH169" s="48" t="str">
        <f t="shared" si="39"/>
        <v/>
      </c>
      <c r="AI169" s="48" t="str">
        <f t="shared" si="40"/>
        <v/>
      </c>
      <c r="AJ169" s="48" t="str">
        <f t="shared" si="43"/>
        <v/>
      </c>
      <c r="AK169" s="48" t="str">
        <f t="shared" si="44"/>
        <v/>
      </c>
      <c r="AL169" s="48" t="str">
        <f>IF(W169=0,"",_xlfn.CONCAT(DADOS!$A$8,Y169:AK169,"
"))</f>
        <v/>
      </c>
    </row>
    <row r="170" spans="4:38" s="48" customFormat="1" ht="15" customHeight="1" x14ac:dyDescent="0.25">
      <c r="D170" s="49"/>
      <c r="E170" s="43"/>
      <c r="F170" s="20"/>
      <c r="G170" s="14"/>
      <c r="H170" s="20"/>
      <c r="I170" s="15"/>
      <c r="J170" s="16"/>
      <c r="K170" s="14"/>
      <c r="L170" s="17"/>
      <c r="M170" s="18"/>
      <c r="N170" s="17"/>
      <c r="O170" s="18"/>
      <c r="P170" s="19"/>
      <c r="Q170" s="17"/>
      <c r="R170" s="40"/>
      <c r="S170" s="42">
        <v>156</v>
      </c>
      <c r="T170" s="40"/>
      <c r="V170" s="48" t="str">
        <f t="shared" si="41"/>
        <v/>
      </c>
      <c r="W170" s="48">
        <f t="shared" si="30"/>
        <v>0</v>
      </c>
      <c r="Y170" s="48" t="str">
        <f t="shared" si="31"/>
        <v/>
      </c>
      <c r="Z170" s="48" t="str">
        <f t="shared" si="32"/>
        <v/>
      </c>
      <c r="AA170" s="48" t="str">
        <f t="shared" si="33"/>
        <v/>
      </c>
      <c r="AB170" s="48" t="str">
        <f t="shared" si="42"/>
        <v/>
      </c>
      <c r="AC170" s="48" t="str">
        <f t="shared" si="34"/>
        <v/>
      </c>
      <c r="AD170" s="48" t="str">
        <f t="shared" si="35"/>
        <v/>
      </c>
      <c r="AE170" s="48" t="str">
        <f t="shared" si="36"/>
        <v/>
      </c>
      <c r="AF170" s="48" t="str">
        <f t="shared" si="37"/>
        <v/>
      </c>
      <c r="AG170" s="48" t="str">
        <f t="shared" si="38"/>
        <v/>
      </c>
      <c r="AH170" s="48" t="str">
        <f t="shared" si="39"/>
        <v/>
      </c>
      <c r="AI170" s="48" t="str">
        <f t="shared" si="40"/>
        <v/>
      </c>
      <c r="AJ170" s="48" t="str">
        <f t="shared" si="43"/>
        <v/>
      </c>
      <c r="AK170" s="48" t="str">
        <f t="shared" si="44"/>
        <v/>
      </c>
      <c r="AL170" s="48" t="str">
        <f>IF(W170=0,"",_xlfn.CONCAT(DADOS!$A$8,Y170:AK170,"
"))</f>
        <v/>
      </c>
    </row>
    <row r="171" spans="4:38" s="48" customFormat="1" ht="15" customHeight="1" x14ac:dyDescent="0.25">
      <c r="D171" s="49"/>
      <c r="E171" s="43"/>
      <c r="F171" s="20"/>
      <c r="G171" s="14"/>
      <c r="H171" s="20"/>
      <c r="I171" s="15"/>
      <c r="J171" s="16"/>
      <c r="K171" s="14"/>
      <c r="L171" s="17"/>
      <c r="M171" s="18"/>
      <c r="N171" s="17"/>
      <c r="O171" s="18"/>
      <c r="P171" s="19"/>
      <c r="Q171" s="17"/>
      <c r="R171" s="40"/>
      <c r="S171" s="42">
        <v>157</v>
      </c>
      <c r="T171" s="40"/>
      <c r="V171" s="48" t="str">
        <f t="shared" si="41"/>
        <v/>
      </c>
      <c r="W171" s="48">
        <f t="shared" si="30"/>
        <v>0</v>
      </c>
      <c r="Y171" s="48" t="str">
        <f t="shared" si="31"/>
        <v/>
      </c>
      <c r="Z171" s="48" t="str">
        <f t="shared" si="32"/>
        <v/>
      </c>
      <c r="AA171" s="48" t="str">
        <f t="shared" si="33"/>
        <v/>
      </c>
      <c r="AB171" s="48" t="str">
        <f t="shared" si="42"/>
        <v/>
      </c>
      <c r="AC171" s="48" t="str">
        <f t="shared" si="34"/>
        <v/>
      </c>
      <c r="AD171" s="48" t="str">
        <f t="shared" si="35"/>
        <v/>
      </c>
      <c r="AE171" s="48" t="str">
        <f t="shared" si="36"/>
        <v/>
      </c>
      <c r="AF171" s="48" t="str">
        <f t="shared" si="37"/>
        <v/>
      </c>
      <c r="AG171" s="48" t="str">
        <f t="shared" si="38"/>
        <v/>
      </c>
      <c r="AH171" s="48" t="str">
        <f t="shared" si="39"/>
        <v/>
      </c>
      <c r="AI171" s="48" t="str">
        <f t="shared" si="40"/>
        <v/>
      </c>
      <c r="AJ171" s="48" t="str">
        <f t="shared" si="43"/>
        <v/>
      </c>
      <c r="AK171" s="48" t="str">
        <f t="shared" si="44"/>
        <v/>
      </c>
      <c r="AL171" s="48" t="str">
        <f>IF(W171=0,"",_xlfn.CONCAT(DADOS!$A$8,Y171:AK171,"
"))</f>
        <v/>
      </c>
    </row>
    <row r="172" spans="4:38" s="48" customFormat="1" ht="15" customHeight="1" x14ac:dyDescent="0.25">
      <c r="D172" s="49"/>
      <c r="E172" s="43"/>
      <c r="F172" s="20"/>
      <c r="G172" s="14"/>
      <c r="H172" s="20"/>
      <c r="I172" s="15"/>
      <c r="J172" s="16"/>
      <c r="K172" s="14"/>
      <c r="L172" s="17"/>
      <c r="M172" s="18"/>
      <c r="N172" s="17"/>
      <c r="O172" s="18"/>
      <c r="P172" s="19"/>
      <c r="Q172" s="17"/>
      <c r="R172" s="40"/>
      <c r="S172" s="42">
        <v>158</v>
      </c>
      <c r="T172" s="40"/>
      <c r="V172" s="48" t="str">
        <f t="shared" si="41"/>
        <v/>
      </c>
      <c r="W172" s="48">
        <f t="shared" si="30"/>
        <v>0</v>
      </c>
      <c r="Y172" s="48" t="str">
        <f t="shared" si="31"/>
        <v/>
      </c>
      <c r="Z172" s="48" t="str">
        <f t="shared" si="32"/>
        <v/>
      </c>
      <c r="AA172" s="48" t="str">
        <f t="shared" si="33"/>
        <v/>
      </c>
      <c r="AB172" s="48" t="str">
        <f t="shared" si="42"/>
        <v/>
      </c>
      <c r="AC172" s="48" t="str">
        <f t="shared" si="34"/>
        <v/>
      </c>
      <c r="AD172" s="48" t="str">
        <f t="shared" si="35"/>
        <v/>
      </c>
      <c r="AE172" s="48" t="str">
        <f t="shared" si="36"/>
        <v/>
      </c>
      <c r="AF172" s="48" t="str">
        <f t="shared" si="37"/>
        <v/>
      </c>
      <c r="AG172" s="48" t="str">
        <f t="shared" si="38"/>
        <v/>
      </c>
      <c r="AH172" s="48" t="str">
        <f t="shared" si="39"/>
        <v/>
      </c>
      <c r="AI172" s="48" t="str">
        <f t="shared" si="40"/>
        <v/>
      </c>
      <c r="AJ172" s="48" t="str">
        <f t="shared" si="43"/>
        <v/>
      </c>
      <c r="AK172" s="48" t="str">
        <f t="shared" si="44"/>
        <v/>
      </c>
      <c r="AL172" s="48" t="str">
        <f>IF(W172=0,"",_xlfn.CONCAT(DADOS!$A$8,Y172:AK172,"
"))</f>
        <v/>
      </c>
    </row>
    <row r="173" spans="4:38" s="48" customFormat="1" ht="15" customHeight="1" x14ac:dyDescent="0.25">
      <c r="D173" s="49"/>
      <c r="E173" s="43"/>
      <c r="F173" s="20"/>
      <c r="G173" s="14"/>
      <c r="H173" s="20"/>
      <c r="I173" s="15"/>
      <c r="J173" s="16"/>
      <c r="K173" s="14"/>
      <c r="L173" s="17"/>
      <c r="M173" s="18"/>
      <c r="N173" s="17"/>
      <c r="O173" s="18"/>
      <c r="P173" s="19"/>
      <c r="Q173" s="17"/>
      <c r="R173" s="40"/>
      <c r="S173" s="42">
        <v>159</v>
      </c>
      <c r="T173" s="40"/>
      <c r="V173" s="48" t="str">
        <f t="shared" si="41"/>
        <v/>
      </c>
      <c r="W173" s="48">
        <f t="shared" si="30"/>
        <v>0</v>
      </c>
      <c r="Y173" s="48" t="str">
        <f t="shared" si="31"/>
        <v/>
      </c>
      <c r="Z173" s="48" t="str">
        <f t="shared" si="32"/>
        <v/>
      </c>
      <c r="AA173" s="48" t="str">
        <f t="shared" si="33"/>
        <v/>
      </c>
      <c r="AB173" s="48" t="str">
        <f t="shared" si="42"/>
        <v/>
      </c>
      <c r="AC173" s="48" t="str">
        <f t="shared" si="34"/>
        <v/>
      </c>
      <c r="AD173" s="48" t="str">
        <f t="shared" si="35"/>
        <v/>
      </c>
      <c r="AE173" s="48" t="str">
        <f t="shared" si="36"/>
        <v/>
      </c>
      <c r="AF173" s="48" t="str">
        <f t="shared" si="37"/>
        <v/>
      </c>
      <c r="AG173" s="48" t="str">
        <f t="shared" si="38"/>
        <v/>
      </c>
      <c r="AH173" s="48" t="str">
        <f t="shared" si="39"/>
        <v/>
      </c>
      <c r="AI173" s="48" t="str">
        <f t="shared" si="40"/>
        <v/>
      </c>
      <c r="AJ173" s="48" t="str">
        <f t="shared" si="43"/>
        <v/>
      </c>
      <c r="AK173" s="48" t="str">
        <f t="shared" si="44"/>
        <v/>
      </c>
      <c r="AL173" s="48" t="str">
        <f>IF(W173=0,"",_xlfn.CONCAT(DADOS!$A$8,Y173:AK173,"
"))</f>
        <v/>
      </c>
    </row>
    <row r="174" spans="4:38" s="48" customFormat="1" ht="15" customHeight="1" x14ac:dyDescent="0.25">
      <c r="D174" s="49"/>
      <c r="E174" s="43"/>
      <c r="F174" s="20"/>
      <c r="G174" s="14"/>
      <c r="H174" s="20"/>
      <c r="I174" s="15"/>
      <c r="J174" s="16"/>
      <c r="K174" s="14"/>
      <c r="L174" s="17"/>
      <c r="M174" s="18"/>
      <c r="N174" s="17"/>
      <c r="O174" s="18"/>
      <c r="P174" s="19"/>
      <c r="Q174" s="17"/>
      <c r="R174" s="40"/>
      <c r="S174" s="42">
        <v>160</v>
      </c>
      <c r="T174" s="40"/>
      <c r="V174" s="48" t="str">
        <f t="shared" si="41"/>
        <v/>
      </c>
      <c r="W174" s="48">
        <f t="shared" si="30"/>
        <v>0</v>
      </c>
      <c r="Y174" s="48" t="str">
        <f t="shared" si="31"/>
        <v/>
      </c>
      <c r="Z174" s="48" t="str">
        <f t="shared" si="32"/>
        <v/>
      </c>
      <c r="AA174" s="48" t="str">
        <f t="shared" si="33"/>
        <v/>
      </c>
      <c r="AB174" s="48" t="str">
        <f t="shared" si="42"/>
        <v/>
      </c>
      <c r="AC174" s="48" t="str">
        <f t="shared" si="34"/>
        <v/>
      </c>
      <c r="AD174" s="48" t="str">
        <f t="shared" si="35"/>
        <v/>
      </c>
      <c r="AE174" s="48" t="str">
        <f t="shared" si="36"/>
        <v/>
      </c>
      <c r="AF174" s="48" t="str">
        <f t="shared" si="37"/>
        <v/>
      </c>
      <c r="AG174" s="48" t="str">
        <f t="shared" si="38"/>
        <v/>
      </c>
      <c r="AH174" s="48" t="str">
        <f t="shared" si="39"/>
        <v/>
      </c>
      <c r="AI174" s="48" t="str">
        <f t="shared" si="40"/>
        <v/>
      </c>
      <c r="AJ174" s="48" t="str">
        <f t="shared" si="43"/>
        <v/>
      </c>
      <c r="AK174" s="48" t="str">
        <f t="shared" si="44"/>
        <v/>
      </c>
      <c r="AL174" s="48" t="str">
        <f>IF(W174=0,"",_xlfn.CONCAT(DADOS!$A$8,Y174:AK174,"
"))</f>
        <v/>
      </c>
    </row>
    <row r="175" spans="4:38" s="48" customFormat="1" ht="15" customHeight="1" x14ac:dyDescent="0.25">
      <c r="D175" s="49"/>
      <c r="E175" s="43"/>
      <c r="F175" s="20"/>
      <c r="G175" s="14"/>
      <c r="H175" s="20"/>
      <c r="I175" s="15"/>
      <c r="J175" s="16"/>
      <c r="K175" s="14"/>
      <c r="L175" s="17"/>
      <c r="M175" s="18"/>
      <c r="N175" s="17"/>
      <c r="O175" s="18"/>
      <c r="P175" s="19"/>
      <c r="Q175" s="17"/>
      <c r="R175" s="40"/>
      <c r="S175" s="42">
        <v>161</v>
      </c>
      <c r="T175" s="40"/>
      <c r="V175" s="48" t="str">
        <f t="shared" si="41"/>
        <v/>
      </c>
      <c r="W175" s="48">
        <f t="shared" si="30"/>
        <v>0</v>
      </c>
      <c r="Y175" s="48" t="str">
        <f t="shared" si="31"/>
        <v/>
      </c>
      <c r="Z175" s="48" t="str">
        <f t="shared" si="32"/>
        <v/>
      </c>
      <c r="AA175" s="48" t="str">
        <f t="shared" si="33"/>
        <v/>
      </c>
      <c r="AB175" s="48" t="str">
        <f t="shared" si="42"/>
        <v/>
      </c>
      <c r="AC175" s="48" t="str">
        <f t="shared" si="34"/>
        <v/>
      </c>
      <c r="AD175" s="48" t="str">
        <f t="shared" si="35"/>
        <v/>
      </c>
      <c r="AE175" s="48" t="str">
        <f t="shared" si="36"/>
        <v/>
      </c>
      <c r="AF175" s="48" t="str">
        <f t="shared" si="37"/>
        <v/>
      </c>
      <c r="AG175" s="48" t="str">
        <f t="shared" si="38"/>
        <v/>
      </c>
      <c r="AH175" s="48" t="str">
        <f t="shared" si="39"/>
        <v/>
      </c>
      <c r="AI175" s="48" t="str">
        <f t="shared" si="40"/>
        <v/>
      </c>
      <c r="AJ175" s="48" t="str">
        <f t="shared" si="43"/>
        <v/>
      </c>
      <c r="AK175" s="48" t="str">
        <f t="shared" si="44"/>
        <v/>
      </c>
      <c r="AL175" s="48" t="str">
        <f>IF(W175=0,"",_xlfn.CONCAT(DADOS!$A$8,Y175:AK175,"
"))</f>
        <v/>
      </c>
    </row>
    <row r="176" spans="4:38" s="48" customFormat="1" ht="15" customHeight="1" x14ac:dyDescent="0.25">
      <c r="D176" s="49"/>
      <c r="E176" s="43"/>
      <c r="F176" s="20"/>
      <c r="G176" s="14"/>
      <c r="H176" s="20"/>
      <c r="I176" s="15"/>
      <c r="J176" s="16"/>
      <c r="K176" s="14"/>
      <c r="L176" s="17"/>
      <c r="M176" s="18"/>
      <c r="N176" s="17"/>
      <c r="O176" s="18"/>
      <c r="P176" s="19"/>
      <c r="Q176" s="17"/>
      <c r="R176" s="40"/>
      <c r="S176" s="42">
        <v>162</v>
      </c>
      <c r="T176" s="40"/>
      <c r="V176" s="48" t="str">
        <f t="shared" si="41"/>
        <v/>
      </c>
      <c r="W176" s="48">
        <f t="shared" si="30"/>
        <v>0</v>
      </c>
      <c r="Y176" s="48" t="str">
        <f t="shared" si="31"/>
        <v/>
      </c>
      <c r="Z176" s="48" t="str">
        <f t="shared" si="32"/>
        <v/>
      </c>
      <c r="AA176" s="48" t="str">
        <f t="shared" si="33"/>
        <v/>
      </c>
      <c r="AB176" s="48" t="str">
        <f t="shared" si="42"/>
        <v/>
      </c>
      <c r="AC176" s="48" t="str">
        <f t="shared" si="34"/>
        <v/>
      </c>
      <c r="AD176" s="48" t="str">
        <f t="shared" si="35"/>
        <v/>
      </c>
      <c r="AE176" s="48" t="str">
        <f t="shared" si="36"/>
        <v/>
      </c>
      <c r="AF176" s="48" t="str">
        <f t="shared" si="37"/>
        <v/>
      </c>
      <c r="AG176" s="48" t="str">
        <f t="shared" si="38"/>
        <v/>
      </c>
      <c r="AH176" s="48" t="str">
        <f t="shared" si="39"/>
        <v/>
      </c>
      <c r="AI176" s="48" t="str">
        <f t="shared" si="40"/>
        <v/>
      </c>
      <c r="AJ176" s="48" t="str">
        <f t="shared" si="43"/>
        <v/>
      </c>
      <c r="AK176" s="48" t="str">
        <f t="shared" si="44"/>
        <v/>
      </c>
      <c r="AL176" s="48" t="str">
        <f>IF(W176=0,"",_xlfn.CONCAT(DADOS!$A$8,Y176:AK176,"
"))</f>
        <v/>
      </c>
    </row>
    <row r="177" spans="4:38" s="48" customFormat="1" ht="15" customHeight="1" x14ac:dyDescent="0.25">
      <c r="D177" s="49"/>
      <c r="E177" s="43"/>
      <c r="F177" s="20"/>
      <c r="G177" s="14"/>
      <c r="H177" s="20"/>
      <c r="I177" s="15"/>
      <c r="J177" s="16"/>
      <c r="K177" s="14"/>
      <c r="L177" s="17"/>
      <c r="M177" s="18"/>
      <c r="N177" s="17"/>
      <c r="O177" s="18"/>
      <c r="P177" s="19"/>
      <c r="Q177" s="17"/>
      <c r="R177" s="40"/>
      <c r="S177" s="42">
        <v>163</v>
      </c>
      <c r="T177" s="40"/>
      <c r="V177" s="48" t="str">
        <f t="shared" si="41"/>
        <v/>
      </c>
      <c r="W177" s="48">
        <f t="shared" si="30"/>
        <v>0</v>
      </c>
      <c r="Y177" s="48" t="str">
        <f t="shared" si="31"/>
        <v/>
      </c>
      <c r="Z177" s="48" t="str">
        <f t="shared" si="32"/>
        <v/>
      </c>
      <c r="AA177" s="48" t="str">
        <f t="shared" si="33"/>
        <v/>
      </c>
      <c r="AB177" s="48" t="str">
        <f t="shared" si="42"/>
        <v/>
      </c>
      <c r="AC177" s="48" t="str">
        <f t="shared" si="34"/>
        <v/>
      </c>
      <c r="AD177" s="48" t="str">
        <f t="shared" si="35"/>
        <v/>
      </c>
      <c r="AE177" s="48" t="str">
        <f t="shared" si="36"/>
        <v/>
      </c>
      <c r="AF177" s="48" t="str">
        <f t="shared" si="37"/>
        <v/>
      </c>
      <c r="AG177" s="48" t="str">
        <f t="shared" si="38"/>
        <v/>
      </c>
      <c r="AH177" s="48" t="str">
        <f t="shared" si="39"/>
        <v/>
      </c>
      <c r="AI177" s="48" t="str">
        <f t="shared" si="40"/>
        <v/>
      </c>
      <c r="AJ177" s="48" t="str">
        <f t="shared" si="43"/>
        <v/>
      </c>
      <c r="AK177" s="48" t="str">
        <f t="shared" si="44"/>
        <v/>
      </c>
      <c r="AL177" s="48" t="str">
        <f>IF(W177=0,"",_xlfn.CONCAT(DADOS!$A$8,Y177:AK177,"
"))</f>
        <v/>
      </c>
    </row>
    <row r="178" spans="4:38" s="48" customFormat="1" ht="15" customHeight="1" x14ac:dyDescent="0.25">
      <c r="D178" s="49"/>
      <c r="E178" s="43"/>
      <c r="F178" s="20"/>
      <c r="G178" s="14"/>
      <c r="H178" s="20"/>
      <c r="I178" s="15"/>
      <c r="J178" s="16"/>
      <c r="K178" s="14"/>
      <c r="L178" s="17"/>
      <c r="M178" s="18"/>
      <c r="N178" s="17"/>
      <c r="O178" s="18"/>
      <c r="P178" s="19"/>
      <c r="Q178" s="17"/>
      <c r="R178" s="40"/>
      <c r="S178" s="42">
        <v>164</v>
      </c>
      <c r="T178" s="40"/>
      <c r="V178" s="48" t="str">
        <f t="shared" si="41"/>
        <v/>
      </c>
      <c r="W178" s="48">
        <f t="shared" si="30"/>
        <v>0</v>
      </c>
      <c r="Y178" s="48" t="str">
        <f t="shared" si="31"/>
        <v/>
      </c>
      <c r="Z178" s="48" t="str">
        <f t="shared" si="32"/>
        <v/>
      </c>
      <c r="AA178" s="48" t="str">
        <f t="shared" si="33"/>
        <v/>
      </c>
      <c r="AB178" s="48" t="str">
        <f t="shared" si="42"/>
        <v/>
      </c>
      <c r="AC178" s="48" t="str">
        <f t="shared" si="34"/>
        <v/>
      </c>
      <c r="AD178" s="48" t="str">
        <f t="shared" si="35"/>
        <v/>
      </c>
      <c r="AE178" s="48" t="str">
        <f t="shared" si="36"/>
        <v/>
      </c>
      <c r="AF178" s="48" t="str">
        <f t="shared" si="37"/>
        <v/>
      </c>
      <c r="AG178" s="48" t="str">
        <f t="shared" si="38"/>
        <v/>
      </c>
      <c r="AH178" s="48" t="str">
        <f t="shared" si="39"/>
        <v/>
      </c>
      <c r="AI178" s="48" t="str">
        <f t="shared" si="40"/>
        <v/>
      </c>
      <c r="AJ178" s="48" t="str">
        <f t="shared" si="43"/>
        <v/>
      </c>
      <c r="AK178" s="48" t="str">
        <f t="shared" si="44"/>
        <v/>
      </c>
      <c r="AL178" s="48" t="str">
        <f>IF(W178=0,"",_xlfn.CONCAT(DADOS!$A$8,Y178:AK178,"
"))</f>
        <v/>
      </c>
    </row>
    <row r="179" spans="4:38" s="48" customFormat="1" ht="15" customHeight="1" x14ac:dyDescent="0.25">
      <c r="D179" s="49"/>
      <c r="E179" s="43"/>
      <c r="F179" s="20"/>
      <c r="G179" s="14"/>
      <c r="H179" s="20"/>
      <c r="I179" s="15"/>
      <c r="J179" s="16"/>
      <c r="K179" s="14"/>
      <c r="L179" s="17"/>
      <c r="M179" s="18"/>
      <c r="N179" s="17"/>
      <c r="O179" s="18"/>
      <c r="P179" s="19"/>
      <c r="Q179" s="17"/>
      <c r="R179" s="40"/>
      <c r="S179" s="42">
        <v>165</v>
      </c>
      <c r="T179" s="40"/>
      <c r="V179" s="48" t="str">
        <f t="shared" si="41"/>
        <v/>
      </c>
      <c r="W179" s="48">
        <f t="shared" si="30"/>
        <v>0</v>
      </c>
      <c r="Y179" s="48" t="str">
        <f t="shared" si="31"/>
        <v/>
      </c>
      <c r="Z179" s="48" t="str">
        <f t="shared" si="32"/>
        <v/>
      </c>
      <c r="AA179" s="48" t="str">
        <f t="shared" si="33"/>
        <v/>
      </c>
      <c r="AB179" s="48" t="str">
        <f t="shared" si="42"/>
        <v/>
      </c>
      <c r="AC179" s="48" t="str">
        <f t="shared" si="34"/>
        <v/>
      </c>
      <c r="AD179" s="48" t="str">
        <f t="shared" si="35"/>
        <v/>
      </c>
      <c r="AE179" s="48" t="str">
        <f t="shared" si="36"/>
        <v/>
      </c>
      <c r="AF179" s="48" t="str">
        <f t="shared" si="37"/>
        <v/>
      </c>
      <c r="AG179" s="48" t="str">
        <f t="shared" si="38"/>
        <v/>
      </c>
      <c r="AH179" s="48" t="str">
        <f t="shared" si="39"/>
        <v/>
      </c>
      <c r="AI179" s="48" t="str">
        <f t="shared" si="40"/>
        <v/>
      </c>
      <c r="AJ179" s="48" t="str">
        <f t="shared" si="43"/>
        <v/>
      </c>
      <c r="AK179" s="48" t="str">
        <f t="shared" si="44"/>
        <v/>
      </c>
      <c r="AL179" s="48" t="str">
        <f>IF(W179=0,"",_xlfn.CONCAT(DADOS!$A$8,Y179:AK179,"
"))</f>
        <v/>
      </c>
    </row>
    <row r="180" spans="4:38" s="48" customFormat="1" ht="15" customHeight="1" x14ac:dyDescent="0.25">
      <c r="D180" s="49"/>
      <c r="E180" s="43"/>
      <c r="F180" s="20"/>
      <c r="G180" s="14"/>
      <c r="H180" s="20"/>
      <c r="I180" s="15"/>
      <c r="J180" s="16"/>
      <c r="K180" s="14"/>
      <c r="L180" s="17"/>
      <c r="M180" s="18"/>
      <c r="N180" s="17"/>
      <c r="O180" s="18"/>
      <c r="P180" s="19"/>
      <c r="Q180" s="17"/>
      <c r="R180" s="40"/>
      <c r="S180" s="42">
        <v>166</v>
      </c>
      <c r="T180" s="40"/>
      <c r="V180" s="48" t="str">
        <f t="shared" si="41"/>
        <v/>
      </c>
      <c r="W180" s="48">
        <f t="shared" si="30"/>
        <v>0</v>
      </c>
      <c r="Y180" s="48" t="str">
        <f t="shared" si="31"/>
        <v/>
      </c>
      <c r="Z180" s="48" t="str">
        <f t="shared" si="32"/>
        <v/>
      </c>
      <c r="AA180" s="48" t="str">
        <f t="shared" si="33"/>
        <v/>
      </c>
      <c r="AB180" s="48" t="str">
        <f t="shared" si="42"/>
        <v/>
      </c>
      <c r="AC180" s="48" t="str">
        <f t="shared" si="34"/>
        <v/>
      </c>
      <c r="AD180" s="48" t="str">
        <f t="shared" si="35"/>
        <v/>
      </c>
      <c r="AE180" s="48" t="str">
        <f t="shared" si="36"/>
        <v/>
      </c>
      <c r="AF180" s="48" t="str">
        <f t="shared" si="37"/>
        <v/>
      </c>
      <c r="AG180" s="48" t="str">
        <f t="shared" si="38"/>
        <v/>
      </c>
      <c r="AH180" s="48" t="str">
        <f t="shared" si="39"/>
        <v/>
      </c>
      <c r="AI180" s="48" t="str">
        <f t="shared" si="40"/>
        <v/>
      </c>
      <c r="AJ180" s="48" t="str">
        <f t="shared" si="43"/>
        <v/>
      </c>
      <c r="AK180" s="48" t="str">
        <f t="shared" si="44"/>
        <v/>
      </c>
      <c r="AL180" s="48" t="str">
        <f>IF(W180=0,"",_xlfn.CONCAT(DADOS!$A$8,Y180:AK180,"
"))</f>
        <v/>
      </c>
    </row>
    <row r="181" spans="4:38" s="48" customFormat="1" ht="15" customHeight="1" x14ac:dyDescent="0.25">
      <c r="D181" s="49"/>
      <c r="E181" s="43"/>
      <c r="F181" s="20"/>
      <c r="G181" s="14"/>
      <c r="H181" s="20"/>
      <c r="I181" s="15"/>
      <c r="J181" s="16"/>
      <c r="K181" s="14"/>
      <c r="L181" s="17"/>
      <c r="M181" s="18"/>
      <c r="N181" s="17"/>
      <c r="O181" s="18"/>
      <c r="P181" s="19"/>
      <c r="Q181" s="17"/>
      <c r="R181" s="40"/>
      <c r="S181" s="42">
        <v>167</v>
      </c>
      <c r="T181" s="40"/>
      <c r="V181" s="48" t="str">
        <f t="shared" si="41"/>
        <v/>
      </c>
      <c r="W181" s="48">
        <f t="shared" si="30"/>
        <v>0</v>
      </c>
      <c r="Y181" s="48" t="str">
        <f t="shared" si="31"/>
        <v/>
      </c>
      <c r="Z181" s="48" t="str">
        <f t="shared" si="32"/>
        <v/>
      </c>
      <c r="AA181" s="48" t="str">
        <f t="shared" si="33"/>
        <v/>
      </c>
      <c r="AB181" s="48" t="str">
        <f t="shared" si="42"/>
        <v/>
      </c>
      <c r="AC181" s="48" t="str">
        <f t="shared" si="34"/>
        <v/>
      </c>
      <c r="AD181" s="48" t="str">
        <f t="shared" si="35"/>
        <v/>
      </c>
      <c r="AE181" s="48" t="str">
        <f t="shared" si="36"/>
        <v/>
      </c>
      <c r="AF181" s="48" t="str">
        <f t="shared" si="37"/>
        <v/>
      </c>
      <c r="AG181" s="48" t="str">
        <f t="shared" si="38"/>
        <v/>
      </c>
      <c r="AH181" s="48" t="str">
        <f t="shared" si="39"/>
        <v/>
      </c>
      <c r="AI181" s="48" t="str">
        <f t="shared" si="40"/>
        <v/>
      </c>
      <c r="AJ181" s="48" t="str">
        <f t="shared" si="43"/>
        <v/>
      </c>
      <c r="AK181" s="48" t="str">
        <f t="shared" si="44"/>
        <v/>
      </c>
      <c r="AL181" s="48" t="str">
        <f>IF(W181=0,"",_xlfn.CONCAT(DADOS!$A$8,Y181:AK181,"
"))</f>
        <v/>
      </c>
    </row>
    <row r="182" spans="4:38" s="48" customFormat="1" ht="15" customHeight="1" x14ac:dyDescent="0.25">
      <c r="D182" s="49"/>
      <c r="E182" s="43"/>
      <c r="F182" s="20"/>
      <c r="G182" s="14"/>
      <c r="H182" s="20"/>
      <c r="I182" s="15"/>
      <c r="J182" s="16"/>
      <c r="K182" s="14"/>
      <c r="L182" s="17"/>
      <c r="M182" s="18"/>
      <c r="N182" s="17"/>
      <c r="O182" s="18"/>
      <c r="P182" s="19"/>
      <c r="Q182" s="17"/>
      <c r="R182" s="40"/>
      <c r="S182" s="42">
        <v>168</v>
      </c>
      <c r="T182" s="40"/>
      <c r="V182" s="48" t="str">
        <f t="shared" si="41"/>
        <v/>
      </c>
      <c r="W182" s="48">
        <f t="shared" si="30"/>
        <v>0</v>
      </c>
      <c r="Y182" s="48" t="str">
        <f t="shared" si="31"/>
        <v/>
      </c>
      <c r="Z182" s="48" t="str">
        <f t="shared" si="32"/>
        <v/>
      </c>
      <c r="AA182" s="48" t="str">
        <f t="shared" si="33"/>
        <v/>
      </c>
      <c r="AB182" s="48" t="str">
        <f t="shared" si="42"/>
        <v/>
      </c>
      <c r="AC182" s="48" t="str">
        <f t="shared" si="34"/>
        <v/>
      </c>
      <c r="AD182" s="48" t="str">
        <f t="shared" si="35"/>
        <v/>
      </c>
      <c r="AE182" s="48" t="str">
        <f t="shared" si="36"/>
        <v/>
      </c>
      <c r="AF182" s="48" t="str">
        <f t="shared" si="37"/>
        <v/>
      </c>
      <c r="AG182" s="48" t="str">
        <f t="shared" si="38"/>
        <v/>
      </c>
      <c r="AH182" s="48" t="str">
        <f t="shared" si="39"/>
        <v/>
      </c>
      <c r="AI182" s="48" t="str">
        <f t="shared" si="40"/>
        <v/>
      </c>
      <c r="AJ182" s="48" t="str">
        <f t="shared" si="43"/>
        <v/>
      </c>
      <c r="AK182" s="48" t="str">
        <f t="shared" si="44"/>
        <v/>
      </c>
      <c r="AL182" s="48" t="str">
        <f>IF(W182=0,"",_xlfn.CONCAT(DADOS!$A$8,Y182:AK182,"
"))</f>
        <v/>
      </c>
    </row>
    <row r="183" spans="4:38" s="48" customFormat="1" ht="15" customHeight="1" x14ac:dyDescent="0.25">
      <c r="D183" s="49"/>
      <c r="E183" s="43"/>
      <c r="F183" s="20"/>
      <c r="G183" s="14"/>
      <c r="H183" s="20"/>
      <c r="I183" s="15"/>
      <c r="J183" s="16"/>
      <c r="K183" s="14"/>
      <c r="L183" s="17"/>
      <c r="M183" s="18"/>
      <c r="N183" s="17"/>
      <c r="O183" s="18"/>
      <c r="P183" s="19"/>
      <c r="Q183" s="17"/>
      <c r="R183" s="40"/>
      <c r="S183" s="42">
        <v>169</v>
      </c>
      <c r="T183" s="40"/>
      <c r="V183" s="48" t="str">
        <f t="shared" si="41"/>
        <v/>
      </c>
      <c r="W183" s="48">
        <f t="shared" si="30"/>
        <v>0</v>
      </c>
      <c r="Y183" s="48" t="str">
        <f t="shared" si="31"/>
        <v/>
      </c>
      <c r="Z183" s="48" t="str">
        <f t="shared" si="32"/>
        <v/>
      </c>
      <c r="AA183" s="48" t="str">
        <f t="shared" si="33"/>
        <v/>
      </c>
      <c r="AB183" s="48" t="str">
        <f t="shared" si="42"/>
        <v/>
      </c>
      <c r="AC183" s="48" t="str">
        <f t="shared" si="34"/>
        <v/>
      </c>
      <c r="AD183" s="48" t="str">
        <f t="shared" si="35"/>
        <v/>
      </c>
      <c r="AE183" s="48" t="str">
        <f t="shared" si="36"/>
        <v/>
      </c>
      <c r="AF183" s="48" t="str">
        <f t="shared" si="37"/>
        <v/>
      </c>
      <c r="AG183" s="48" t="str">
        <f t="shared" si="38"/>
        <v/>
      </c>
      <c r="AH183" s="48" t="str">
        <f t="shared" si="39"/>
        <v/>
      </c>
      <c r="AI183" s="48" t="str">
        <f t="shared" si="40"/>
        <v/>
      </c>
      <c r="AJ183" s="48" t="str">
        <f t="shared" si="43"/>
        <v/>
      </c>
      <c r="AK183" s="48" t="str">
        <f t="shared" si="44"/>
        <v/>
      </c>
      <c r="AL183" s="48" t="str">
        <f>IF(W183=0,"",_xlfn.CONCAT(DADOS!$A$8,Y183:AK183,"
"))</f>
        <v/>
      </c>
    </row>
    <row r="184" spans="4:38" s="48" customFormat="1" ht="15" customHeight="1" x14ac:dyDescent="0.25">
      <c r="D184" s="49"/>
      <c r="E184" s="43"/>
      <c r="F184" s="20"/>
      <c r="G184" s="14"/>
      <c r="H184" s="20"/>
      <c r="I184" s="15"/>
      <c r="J184" s="16"/>
      <c r="K184" s="14"/>
      <c r="L184" s="17"/>
      <c r="M184" s="18"/>
      <c r="N184" s="17"/>
      <c r="O184" s="18"/>
      <c r="P184" s="19"/>
      <c r="Q184" s="17"/>
      <c r="R184" s="40"/>
      <c r="S184" s="42">
        <v>170</v>
      </c>
      <c r="T184" s="40"/>
      <c r="V184" s="48" t="str">
        <f t="shared" si="41"/>
        <v/>
      </c>
      <c r="W184" s="48">
        <f t="shared" si="30"/>
        <v>0</v>
      </c>
      <c r="Y184" s="48" t="str">
        <f t="shared" si="31"/>
        <v/>
      </c>
      <c r="Z184" s="48" t="str">
        <f t="shared" si="32"/>
        <v/>
      </c>
      <c r="AA184" s="48" t="str">
        <f t="shared" si="33"/>
        <v/>
      </c>
      <c r="AB184" s="48" t="str">
        <f t="shared" si="42"/>
        <v/>
      </c>
      <c r="AC184" s="48" t="str">
        <f t="shared" si="34"/>
        <v/>
      </c>
      <c r="AD184" s="48" t="str">
        <f t="shared" si="35"/>
        <v/>
      </c>
      <c r="AE184" s="48" t="str">
        <f t="shared" si="36"/>
        <v/>
      </c>
      <c r="AF184" s="48" t="str">
        <f t="shared" si="37"/>
        <v/>
      </c>
      <c r="AG184" s="48" t="str">
        <f t="shared" si="38"/>
        <v/>
      </c>
      <c r="AH184" s="48" t="str">
        <f t="shared" si="39"/>
        <v/>
      </c>
      <c r="AI184" s="48" t="str">
        <f t="shared" si="40"/>
        <v/>
      </c>
      <c r="AJ184" s="48" t="str">
        <f t="shared" si="43"/>
        <v/>
      </c>
      <c r="AK184" s="48" t="str">
        <f t="shared" si="44"/>
        <v/>
      </c>
      <c r="AL184" s="48" t="str">
        <f>IF(W184=0,"",_xlfn.CONCAT(DADOS!$A$8,Y184:AK184,"
"))</f>
        <v/>
      </c>
    </row>
    <row r="185" spans="4:38" s="48" customFormat="1" ht="15" customHeight="1" x14ac:dyDescent="0.25">
      <c r="D185" s="49"/>
      <c r="E185" s="43"/>
      <c r="F185" s="20"/>
      <c r="G185" s="14"/>
      <c r="H185" s="20"/>
      <c r="I185" s="15"/>
      <c r="J185" s="16"/>
      <c r="K185" s="14"/>
      <c r="L185" s="17"/>
      <c r="M185" s="18"/>
      <c r="N185" s="17"/>
      <c r="O185" s="18"/>
      <c r="P185" s="19"/>
      <c r="Q185" s="17"/>
      <c r="R185" s="40"/>
      <c r="S185" s="42">
        <v>171</v>
      </c>
      <c r="T185" s="40"/>
      <c r="V185" s="48" t="str">
        <f t="shared" si="41"/>
        <v/>
      </c>
      <c r="W185" s="48">
        <f t="shared" si="30"/>
        <v>0</v>
      </c>
      <c r="Y185" s="48" t="str">
        <f t="shared" si="31"/>
        <v/>
      </c>
      <c r="Z185" s="48" t="str">
        <f t="shared" si="32"/>
        <v/>
      </c>
      <c r="AA185" s="48" t="str">
        <f t="shared" si="33"/>
        <v/>
      </c>
      <c r="AB185" s="48" t="str">
        <f t="shared" si="42"/>
        <v/>
      </c>
      <c r="AC185" s="48" t="str">
        <f t="shared" si="34"/>
        <v/>
      </c>
      <c r="AD185" s="48" t="str">
        <f t="shared" si="35"/>
        <v/>
      </c>
      <c r="AE185" s="48" t="str">
        <f t="shared" si="36"/>
        <v/>
      </c>
      <c r="AF185" s="48" t="str">
        <f t="shared" si="37"/>
        <v/>
      </c>
      <c r="AG185" s="48" t="str">
        <f t="shared" si="38"/>
        <v/>
      </c>
      <c r="AH185" s="48" t="str">
        <f t="shared" si="39"/>
        <v/>
      </c>
      <c r="AI185" s="48" t="str">
        <f t="shared" si="40"/>
        <v/>
      </c>
      <c r="AJ185" s="48" t="str">
        <f t="shared" si="43"/>
        <v/>
      </c>
      <c r="AK185" s="48" t="str">
        <f t="shared" si="44"/>
        <v/>
      </c>
      <c r="AL185" s="48" t="str">
        <f>IF(W185=0,"",_xlfn.CONCAT(DADOS!$A$8,Y185:AK185,"
"))</f>
        <v/>
      </c>
    </row>
    <row r="186" spans="4:38" s="48" customFormat="1" ht="15" customHeight="1" x14ac:dyDescent="0.25">
      <c r="D186" s="49"/>
      <c r="E186" s="43"/>
      <c r="F186" s="20"/>
      <c r="G186" s="14"/>
      <c r="H186" s="20"/>
      <c r="I186" s="15"/>
      <c r="J186" s="16"/>
      <c r="K186" s="14"/>
      <c r="L186" s="17"/>
      <c r="M186" s="18"/>
      <c r="N186" s="17"/>
      <c r="O186" s="18"/>
      <c r="P186" s="19"/>
      <c r="Q186" s="17"/>
      <c r="R186" s="40"/>
      <c r="S186" s="42">
        <v>172</v>
      </c>
      <c r="T186" s="40"/>
      <c r="V186" s="48" t="str">
        <f t="shared" si="41"/>
        <v/>
      </c>
      <c r="W186" s="48">
        <f t="shared" si="30"/>
        <v>0</v>
      </c>
      <c r="Y186" s="48" t="str">
        <f t="shared" si="31"/>
        <v/>
      </c>
      <c r="Z186" s="48" t="str">
        <f t="shared" si="32"/>
        <v/>
      </c>
      <c r="AA186" s="48" t="str">
        <f t="shared" si="33"/>
        <v/>
      </c>
      <c r="AB186" s="48" t="str">
        <f t="shared" si="42"/>
        <v/>
      </c>
      <c r="AC186" s="48" t="str">
        <f t="shared" si="34"/>
        <v/>
      </c>
      <c r="AD186" s="48" t="str">
        <f t="shared" si="35"/>
        <v/>
      </c>
      <c r="AE186" s="48" t="str">
        <f t="shared" si="36"/>
        <v/>
      </c>
      <c r="AF186" s="48" t="str">
        <f t="shared" si="37"/>
        <v/>
      </c>
      <c r="AG186" s="48" t="str">
        <f t="shared" si="38"/>
        <v/>
      </c>
      <c r="AH186" s="48" t="str">
        <f t="shared" si="39"/>
        <v/>
      </c>
      <c r="AI186" s="48" t="str">
        <f t="shared" si="40"/>
        <v/>
      </c>
      <c r="AJ186" s="48" t="str">
        <f t="shared" si="43"/>
        <v/>
      </c>
      <c r="AK186" s="48" t="str">
        <f t="shared" si="44"/>
        <v/>
      </c>
      <c r="AL186" s="48" t="str">
        <f>IF(W186=0,"",_xlfn.CONCAT(DADOS!$A$8,Y186:AK186,"
"))</f>
        <v/>
      </c>
    </row>
    <row r="187" spans="4:38" s="48" customFormat="1" ht="15" customHeight="1" x14ac:dyDescent="0.25">
      <c r="D187" s="49"/>
      <c r="E187" s="43"/>
      <c r="F187" s="20"/>
      <c r="G187" s="14"/>
      <c r="H187" s="20"/>
      <c r="I187" s="15"/>
      <c r="J187" s="16"/>
      <c r="K187" s="14"/>
      <c r="L187" s="17"/>
      <c r="M187" s="18"/>
      <c r="N187" s="17"/>
      <c r="O187" s="18"/>
      <c r="P187" s="19"/>
      <c r="Q187" s="17"/>
      <c r="R187" s="40"/>
      <c r="S187" s="42">
        <v>173</v>
      </c>
      <c r="T187" s="40"/>
      <c r="V187" s="48" t="str">
        <f t="shared" si="41"/>
        <v/>
      </c>
      <c r="W187" s="48">
        <f t="shared" si="30"/>
        <v>0</v>
      </c>
      <c r="Y187" s="48" t="str">
        <f t="shared" si="31"/>
        <v/>
      </c>
      <c r="Z187" s="48" t="str">
        <f t="shared" si="32"/>
        <v/>
      </c>
      <c r="AA187" s="48" t="str">
        <f t="shared" si="33"/>
        <v/>
      </c>
      <c r="AB187" s="48" t="str">
        <f t="shared" si="42"/>
        <v/>
      </c>
      <c r="AC187" s="48" t="str">
        <f t="shared" si="34"/>
        <v/>
      </c>
      <c r="AD187" s="48" t="str">
        <f t="shared" si="35"/>
        <v/>
      </c>
      <c r="AE187" s="48" t="str">
        <f t="shared" si="36"/>
        <v/>
      </c>
      <c r="AF187" s="48" t="str">
        <f t="shared" si="37"/>
        <v/>
      </c>
      <c r="AG187" s="48" t="str">
        <f t="shared" si="38"/>
        <v/>
      </c>
      <c r="AH187" s="48" t="str">
        <f t="shared" si="39"/>
        <v/>
      </c>
      <c r="AI187" s="48" t="str">
        <f t="shared" si="40"/>
        <v/>
      </c>
      <c r="AJ187" s="48" t="str">
        <f t="shared" si="43"/>
        <v/>
      </c>
      <c r="AK187" s="48" t="str">
        <f t="shared" si="44"/>
        <v/>
      </c>
      <c r="AL187" s="48" t="str">
        <f>IF(W187=0,"",_xlfn.CONCAT(DADOS!$A$8,Y187:AK187,"
"))</f>
        <v/>
      </c>
    </row>
    <row r="188" spans="4:38" s="48" customFormat="1" ht="15" customHeight="1" x14ac:dyDescent="0.25">
      <c r="D188" s="49"/>
      <c r="E188" s="43"/>
      <c r="F188" s="20"/>
      <c r="G188" s="14"/>
      <c r="H188" s="20"/>
      <c r="I188" s="15"/>
      <c r="J188" s="16"/>
      <c r="K188" s="14"/>
      <c r="L188" s="17"/>
      <c r="M188" s="18"/>
      <c r="N188" s="17"/>
      <c r="O188" s="18"/>
      <c r="P188" s="19"/>
      <c r="Q188" s="17"/>
      <c r="R188" s="40"/>
      <c r="S188" s="42">
        <v>174</v>
      </c>
      <c r="T188" s="40"/>
      <c r="V188" s="48" t="str">
        <f t="shared" si="41"/>
        <v/>
      </c>
      <c r="W188" s="48">
        <f t="shared" si="30"/>
        <v>0</v>
      </c>
      <c r="Y188" s="48" t="str">
        <f t="shared" si="31"/>
        <v/>
      </c>
      <c r="Z188" s="48" t="str">
        <f t="shared" si="32"/>
        <v/>
      </c>
      <c r="AA188" s="48" t="str">
        <f t="shared" si="33"/>
        <v/>
      </c>
      <c r="AB188" s="48" t="str">
        <f t="shared" si="42"/>
        <v/>
      </c>
      <c r="AC188" s="48" t="str">
        <f t="shared" si="34"/>
        <v/>
      </c>
      <c r="AD188" s="48" t="str">
        <f t="shared" si="35"/>
        <v/>
      </c>
      <c r="AE188" s="48" t="str">
        <f t="shared" si="36"/>
        <v/>
      </c>
      <c r="AF188" s="48" t="str">
        <f t="shared" si="37"/>
        <v/>
      </c>
      <c r="AG188" s="48" t="str">
        <f t="shared" si="38"/>
        <v/>
      </c>
      <c r="AH188" s="48" t="str">
        <f t="shared" si="39"/>
        <v/>
      </c>
      <c r="AI188" s="48" t="str">
        <f t="shared" si="40"/>
        <v/>
      </c>
      <c r="AJ188" s="48" t="str">
        <f t="shared" si="43"/>
        <v/>
      </c>
      <c r="AK188" s="48" t="str">
        <f t="shared" si="44"/>
        <v/>
      </c>
      <c r="AL188" s="48" t="str">
        <f>IF(W188=0,"",_xlfn.CONCAT(DADOS!$A$8,Y188:AK188,"
"))</f>
        <v/>
      </c>
    </row>
    <row r="189" spans="4:38" s="48" customFormat="1" ht="15" customHeight="1" x14ac:dyDescent="0.25">
      <c r="D189" s="49"/>
      <c r="E189" s="43"/>
      <c r="F189" s="20"/>
      <c r="G189" s="14"/>
      <c r="H189" s="20"/>
      <c r="I189" s="15"/>
      <c r="J189" s="16"/>
      <c r="K189" s="14"/>
      <c r="L189" s="17"/>
      <c r="M189" s="18"/>
      <c r="N189" s="17"/>
      <c r="O189" s="18"/>
      <c r="P189" s="19"/>
      <c r="Q189" s="17"/>
      <c r="R189" s="40"/>
      <c r="S189" s="42">
        <v>175</v>
      </c>
      <c r="T189" s="40"/>
      <c r="V189" s="48" t="str">
        <f t="shared" si="41"/>
        <v/>
      </c>
      <c r="W189" s="48">
        <f t="shared" si="30"/>
        <v>0</v>
      </c>
      <c r="Y189" s="48" t="str">
        <f t="shared" si="31"/>
        <v/>
      </c>
      <c r="Z189" s="48" t="str">
        <f t="shared" si="32"/>
        <v/>
      </c>
      <c r="AA189" s="48" t="str">
        <f t="shared" si="33"/>
        <v/>
      </c>
      <c r="AB189" s="48" t="str">
        <f t="shared" si="42"/>
        <v/>
      </c>
      <c r="AC189" s="48" t="str">
        <f t="shared" si="34"/>
        <v/>
      </c>
      <c r="AD189" s="48" t="str">
        <f t="shared" si="35"/>
        <v/>
      </c>
      <c r="AE189" s="48" t="str">
        <f t="shared" si="36"/>
        <v/>
      </c>
      <c r="AF189" s="48" t="str">
        <f t="shared" si="37"/>
        <v/>
      </c>
      <c r="AG189" s="48" t="str">
        <f t="shared" si="38"/>
        <v/>
      </c>
      <c r="AH189" s="48" t="str">
        <f t="shared" si="39"/>
        <v/>
      </c>
      <c r="AI189" s="48" t="str">
        <f t="shared" si="40"/>
        <v/>
      </c>
      <c r="AJ189" s="48" t="str">
        <f t="shared" si="43"/>
        <v/>
      </c>
      <c r="AK189" s="48" t="str">
        <f t="shared" si="44"/>
        <v/>
      </c>
      <c r="AL189" s="48" t="str">
        <f>IF(W189=0,"",_xlfn.CONCAT(DADOS!$A$8,Y189:AK189,"
"))</f>
        <v/>
      </c>
    </row>
    <row r="190" spans="4:38" s="48" customFormat="1" ht="15" customHeight="1" x14ac:dyDescent="0.25">
      <c r="D190" s="49"/>
      <c r="E190" s="43"/>
      <c r="F190" s="20"/>
      <c r="G190" s="14"/>
      <c r="H190" s="20"/>
      <c r="I190" s="15"/>
      <c r="J190" s="16"/>
      <c r="K190" s="14"/>
      <c r="L190" s="17"/>
      <c r="M190" s="18"/>
      <c r="N190" s="17"/>
      <c r="O190" s="18"/>
      <c r="P190" s="19"/>
      <c r="Q190" s="17"/>
      <c r="R190" s="40"/>
      <c r="S190" s="42">
        <v>176</v>
      </c>
      <c r="T190" s="40"/>
      <c r="V190" s="48" t="str">
        <f t="shared" si="41"/>
        <v/>
      </c>
      <c r="W190" s="48">
        <f t="shared" si="30"/>
        <v>0</v>
      </c>
      <c r="Y190" s="48" t="str">
        <f t="shared" si="31"/>
        <v/>
      </c>
      <c r="Z190" s="48" t="str">
        <f t="shared" si="32"/>
        <v/>
      </c>
      <c r="AA190" s="48" t="str">
        <f t="shared" si="33"/>
        <v/>
      </c>
      <c r="AB190" s="48" t="str">
        <f t="shared" si="42"/>
        <v/>
      </c>
      <c r="AC190" s="48" t="str">
        <f t="shared" si="34"/>
        <v/>
      </c>
      <c r="AD190" s="48" t="str">
        <f t="shared" si="35"/>
        <v/>
      </c>
      <c r="AE190" s="48" t="str">
        <f t="shared" si="36"/>
        <v/>
      </c>
      <c r="AF190" s="48" t="str">
        <f t="shared" si="37"/>
        <v/>
      </c>
      <c r="AG190" s="48" t="str">
        <f t="shared" si="38"/>
        <v/>
      </c>
      <c r="AH190" s="48" t="str">
        <f t="shared" si="39"/>
        <v/>
      </c>
      <c r="AI190" s="48" t="str">
        <f t="shared" si="40"/>
        <v/>
      </c>
      <c r="AJ190" s="48" t="str">
        <f t="shared" si="43"/>
        <v/>
      </c>
      <c r="AK190" s="48" t="str">
        <f t="shared" si="44"/>
        <v/>
      </c>
      <c r="AL190" s="48" t="str">
        <f>IF(W190=0,"",_xlfn.CONCAT(DADOS!$A$8,Y190:AK190,"
"))</f>
        <v/>
      </c>
    </row>
    <row r="191" spans="4:38" s="48" customFormat="1" ht="15" customHeight="1" x14ac:dyDescent="0.25">
      <c r="D191" s="49"/>
      <c r="E191" s="43"/>
      <c r="F191" s="20"/>
      <c r="G191" s="14"/>
      <c r="H191" s="20"/>
      <c r="I191" s="15"/>
      <c r="J191" s="16"/>
      <c r="K191" s="14"/>
      <c r="L191" s="17"/>
      <c r="M191" s="18"/>
      <c r="N191" s="17"/>
      <c r="O191" s="18"/>
      <c r="P191" s="19"/>
      <c r="Q191" s="17"/>
      <c r="R191" s="40"/>
      <c r="S191" s="42">
        <v>177</v>
      </c>
      <c r="T191" s="40"/>
      <c r="V191" s="48" t="str">
        <f t="shared" si="41"/>
        <v/>
      </c>
      <c r="W191" s="48">
        <f t="shared" si="30"/>
        <v>0</v>
      </c>
      <c r="Y191" s="48" t="str">
        <f t="shared" si="31"/>
        <v/>
      </c>
      <c r="Z191" s="48" t="str">
        <f t="shared" si="32"/>
        <v/>
      </c>
      <c r="AA191" s="48" t="str">
        <f t="shared" si="33"/>
        <v/>
      </c>
      <c r="AB191" s="48" t="str">
        <f t="shared" si="42"/>
        <v/>
      </c>
      <c r="AC191" s="48" t="str">
        <f t="shared" si="34"/>
        <v/>
      </c>
      <c r="AD191" s="48" t="str">
        <f t="shared" si="35"/>
        <v/>
      </c>
      <c r="AE191" s="48" t="str">
        <f t="shared" si="36"/>
        <v/>
      </c>
      <c r="AF191" s="48" t="str">
        <f t="shared" si="37"/>
        <v/>
      </c>
      <c r="AG191" s="48" t="str">
        <f t="shared" si="38"/>
        <v/>
      </c>
      <c r="AH191" s="48" t="str">
        <f t="shared" si="39"/>
        <v/>
      </c>
      <c r="AI191" s="48" t="str">
        <f t="shared" si="40"/>
        <v/>
      </c>
      <c r="AJ191" s="48" t="str">
        <f t="shared" si="43"/>
        <v/>
      </c>
      <c r="AK191" s="48" t="str">
        <f t="shared" si="44"/>
        <v/>
      </c>
      <c r="AL191" s="48" t="str">
        <f>IF(W191=0,"",_xlfn.CONCAT(DADOS!$A$8,Y191:AK191,"
"))</f>
        <v/>
      </c>
    </row>
    <row r="192" spans="4:38" s="48" customFormat="1" ht="15" customHeight="1" x14ac:dyDescent="0.25">
      <c r="D192" s="49"/>
      <c r="E192" s="43"/>
      <c r="F192" s="20"/>
      <c r="G192" s="14"/>
      <c r="H192" s="20"/>
      <c r="I192" s="15"/>
      <c r="J192" s="16"/>
      <c r="K192" s="14"/>
      <c r="L192" s="17"/>
      <c r="M192" s="18"/>
      <c r="N192" s="17"/>
      <c r="O192" s="18"/>
      <c r="P192" s="19"/>
      <c r="Q192" s="17"/>
      <c r="R192" s="40"/>
      <c r="S192" s="42">
        <v>178</v>
      </c>
      <c r="T192" s="40"/>
      <c r="V192" s="48" t="str">
        <f t="shared" si="41"/>
        <v/>
      </c>
      <c r="W192" s="48">
        <f t="shared" si="30"/>
        <v>0</v>
      </c>
      <c r="Y192" s="48" t="str">
        <f t="shared" si="31"/>
        <v/>
      </c>
      <c r="Z192" s="48" t="str">
        <f t="shared" si="32"/>
        <v/>
      </c>
      <c r="AA192" s="48" t="str">
        <f t="shared" si="33"/>
        <v/>
      </c>
      <c r="AB192" s="48" t="str">
        <f t="shared" si="42"/>
        <v/>
      </c>
      <c r="AC192" s="48" t="str">
        <f t="shared" si="34"/>
        <v/>
      </c>
      <c r="AD192" s="48" t="str">
        <f t="shared" si="35"/>
        <v/>
      </c>
      <c r="AE192" s="48" t="str">
        <f t="shared" si="36"/>
        <v/>
      </c>
      <c r="AF192" s="48" t="str">
        <f t="shared" si="37"/>
        <v/>
      </c>
      <c r="AG192" s="48" t="str">
        <f t="shared" si="38"/>
        <v/>
      </c>
      <c r="AH192" s="48" t="str">
        <f t="shared" si="39"/>
        <v/>
      </c>
      <c r="AI192" s="48" t="str">
        <f t="shared" si="40"/>
        <v/>
      </c>
      <c r="AJ192" s="48" t="str">
        <f t="shared" si="43"/>
        <v/>
      </c>
      <c r="AK192" s="48" t="str">
        <f t="shared" si="44"/>
        <v/>
      </c>
      <c r="AL192" s="48" t="str">
        <f>IF(W192=0,"",_xlfn.CONCAT(DADOS!$A$8,Y192:AK192,"
"))</f>
        <v/>
      </c>
    </row>
    <row r="193" spans="4:38" s="48" customFormat="1" ht="15" customHeight="1" x14ac:dyDescent="0.25">
      <c r="D193" s="49"/>
      <c r="E193" s="43"/>
      <c r="F193" s="20"/>
      <c r="G193" s="14"/>
      <c r="H193" s="20"/>
      <c r="I193" s="15"/>
      <c r="J193" s="16"/>
      <c r="K193" s="14"/>
      <c r="L193" s="17"/>
      <c r="M193" s="18"/>
      <c r="N193" s="17"/>
      <c r="O193" s="18"/>
      <c r="P193" s="19"/>
      <c r="Q193" s="17"/>
      <c r="R193" s="40"/>
      <c r="S193" s="42">
        <v>179</v>
      </c>
      <c r="T193" s="40"/>
      <c r="V193" s="48" t="str">
        <f t="shared" si="41"/>
        <v/>
      </c>
      <c r="W193" s="48">
        <f t="shared" si="30"/>
        <v>0</v>
      </c>
      <c r="Y193" s="48" t="str">
        <f t="shared" si="31"/>
        <v/>
      </c>
      <c r="Z193" s="48" t="str">
        <f t="shared" si="32"/>
        <v/>
      </c>
      <c r="AA193" s="48" t="str">
        <f t="shared" si="33"/>
        <v/>
      </c>
      <c r="AB193" s="48" t="str">
        <f t="shared" si="42"/>
        <v/>
      </c>
      <c r="AC193" s="48" t="str">
        <f t="shared" si="34"/>
        <v/>
      </c>
      <c r="AD193" s="48" t="str">
        <f t="shared" si="35"/>
        <v/>
      </c>
      <c r="AE193" s="48" t="str">
        <f t="shared" si="36"/>
        <v/>
      </c>
      <c r="AF193" s="48" t="str">
        <f t="shared" si="37"/>
        <v/>
      </c>
      <c r="AG193" s="48" t="str">
        <f t="shared" si="38"/>
        <v/>
      </c>
      <c r="AH193" s="48" t="str">
        <f t="shared" si="39"/>
        <v/>
      </c>
      <c r="AI193" s="48" t="str">
        <f t="shared" si="40"/>
        <v/>
      </c>
      <c r="AJ193" s="48" t="str">
        <f t="shared" si="43"/>
        <v/>
      </c>
      <c r="AK193" s="48" t="str">
        <f t="shared" si="44"/>
        <v/>
      </c>
      <c r="AL193" s="48" t="str">
        <f>IF(W193=0,"",_xlfn.CONCAT(DADOS!$A$8,Y193:AK193,"
"))</f>
        <v/>
      </c>
    </row>
    <row r="194" spans="4:38" s="48" customFormat="1" ht="15" customHeight="1" x14ac:dyDescent="0.25">
      <c r="D194" s="49"/>
      <c r="E194" s="43"/>
      <c r="F194" s="20"/>
      <c r="G194" s="14"/>
      <c r="H194" s="20"/>
      <c r="I194" s="15"/>
      <c r="J194" s="16"/>
      <c r="K194" s="14"/>
      <c r="L194" s="17"/>
      <c r="M194" s="18"/>
      <c r="N194" s="17"/>
      <c r="O194" s="18"/>
      <c r="P194" s="19"/>
      <c r="Q194" s="17"/>
      <c r="R194" s="40"/>
      <c r="S194" s="42">
        <v>180</v>
      </c>
      <c r="T194" s="40"/>
      <c r="V194" s="48" t="str">
        <f t="shared" si="41"/>
        <v/>
      </c>
      <c r="W194" s="48">
        <f t="shared" si="30"/>
        <v>0</v>
      </c>
      <c r="Y194" s="48" t="str">
        <f t="shared" si="31"/>
        <v/>
      </c>
      <c r="Z194" s="48" t="str">
        <f t="shared" si="32"/>
        <v/>
      </c>
      <c r="AA194" s="48" t="str">
        <f t="shared" si="33"/>
        <v/>
      </c>
      <c r="AB194" s="48" t="str">
        <f t="shared" si="42"/>
        <v/>
      </c>
      <c r="AC194" s="48" t="str">
        <f t="shared" si="34"/>
        <v/>
      </c>
      <c r="AD194" s="48" t="str">
        <f t="shared" si="35"/>
        <v/>
      </c>
      <c r="AE194" s="48" t="str">
        <f t="shared" si="36"/>
        <v/>
      </c>
      <c r="AF194" s="48" t="str">
        <f t="shared" si="37"/>
        <v/>
      </c>
      <c r="AG194" s="48" t="str">
        <f t="shared" si="38"/>
        <v/>
      </c>
      <c r="AH194" s="48" t="str">
        <f t="shared" si="39"/>
        <v/>
      </c>
      <c r="AI194" s="48" t="str">
        <f t="shared" si="40"/>
        <v/>
      </c>
      <c r="AJ194" s="48" t="str">
        <f t="shared" si="43"/>
        <v/>
      </c>
      <c r="AK194" s="48" t="str">
        <f t="shared" si="44"/>
        <v/>
      </c>
      <c r="AL194" s="48" t="str">
        <f>IF(W194=0,"",_xlfn.CONCAT(DADOS!$A$8,Y194:AK194,"
"))</f>
        <v/>
      </c>
    </row>
    <row r="195" spans="4:38" s="48" customFormat="1" ht="15" customHeight="1" x14ac:dyDescent="0.25">
      <c r="D195" s="49"/>
      <c r="E195" s="43"/>
      <c r="F195" s="20"/>
      <c r="G195" s="14"/>
      <c r="H195" s="20"/>
      <c r="I195" s="15"/>
      <c r="J195" s="16"/>
      <c r="K195" s="14"/>
      <c r="L195" s="17"/>
      <c r="M195" s="18"/>
      <c r="N195" s="17"/>
      <c r="O195" s="18"/>
      <c r="P195" s="19"/>
      <c r="Q195" s="17"/>
      <c r="R195" s="40"/>
      <c r="S195" s="42">
        <v>181</v>
      </c>
      <c r="T195" s="40"/>
      <c r="V195" s="48" t="str">
        <f t="shared" si="41"/>
        <v/>
      </c>
      <c r="W195" s="48">
        <f t="shared" si="30"/>
        <v>0</v>
      </c>
      <c r="Y195" s="48" t="str">
        <f t="shared" si="31"/>
        <v/>
      </c>
      <c r="Z195" s="48" t="str">
        <f t="shared" si="32"/>
        <v/>
      </c>
      <c r="AA195" s="48" t="str">
        <f t="shared" si="33"/>
        <v/>
      </c>
      <c r="AB195" s="48" t="str">
        <f t="shared" si="42"/>
        <v/>
      </c>
      <c r="AC195" s="48" t="str">
        <f t="shared" si="34"/>
        <v/>
      </c>
      <c r="AD195" s="48" t="str">
        <f t="shared" si="35"/>
        <v/>
      </c>
      <c r="AE195" s="48" t="str">
        <f t="shared" si="36"/>
        <v/>
      </c>
      <c r="AF195" s="48" t="str">
        <f t="shared" si="37"/>
        <v/>
      </c>
      <c r="AG195" s="48" t="str">
        <f t="shared" si="38"/>
        <v/>
      </c>
      <c r="AH195" s="48" t="str">
        <f t="shared" si="39"/>
        <v/>
      </c>
      <c r="AI195" s="48" t="str">
        <f t="shared" si="40"/>
        <v/>
      </c>
      <c r="AJ195" s="48" t="str">
        <f t="shared" si="43"/>
        <v/>
      </c>
      <c r="AK195" s="48" t="str">
        <f t="shared" si="44"/>
        <v/>
      </c>
      <c r="AL195" s="48" t="str">
        <f>IF(W195=0,"",_xlfn.CONCAT(DADOS!$A$8,Y195:AK195,"
"))</f>
        <v/>
      </c>
    </row>
    <row r="196" spans="4:38" s="48" customFormat="1" ht="15" customHeight="1" x14ac:dyDescent="0.25">
      <c r="D196" s="49"/>
      <c r="E196" s="43"/>
      <c r="F196" s="20"/>
      <c r="G196" s="14"/>
      <c r="H196" s="20"/>
      <c r="I196" s="15"/>
      <c r="J196" s="16"/>
      <c r="K196" s="14"/>
      <c r="L196" s="17"/>
      <c r="M196" s="18"/>
      <c r="N196" s="17"/>
      <c r="O196" s="18"/>
      <c r="P196" s="19"/>
      <c r="Q196" s="17"/>
      <c r="R196" s="40"/>
      <c r="S196" s="42">
        <v>182</v>
      </c>
      <c r="T196" s="40"/>
      <c r="V196" s="48" t="str">
        <f t="shared" si="41"/>
        <v/>
      </c>
      <c r="W196" s="48">
        <f t="shared" si="30"/>
        <v>0</v>
      </c>
      <c r="Y196" s="48" t="str">
        <f t="shared" si="31"/>
        <v/>
      </c>
      <c r="Z196" s="48" t="str">
        <f t="shared" si="32"/>
        <v/>
      </c>
      <c r="AA196" s="48" t="str">
        <f t="shared" si="33"/>
        <v/>
      </c>
      <c r="AB196" s="48" t="str">
        <f t="shared" si="42"/>
        <v/>
      </c>
      <c r="AC196" s="48" t="str">
        <f t="shared" si="34"/>
        <v/>
      </c>
      <c r="AD196" s="48" t="str">
        <f t="shared" si="35"/>
        <v/>
      </c>
      <c r="AE196" s="48" t="str">
        <f t="shared" si="36"/>
        <v/>
      </c>
      <c r="AF196" s="48" t="str">
        <f t="shared" si="37"/>
        <v/>
      </c>
      <c r="AG196" s="48" t="str">
        <f t="shared" si="38"/>
        <v/>
      </c>
      <c r="AH196" s="48" t="str">
        <f t="shared" si="39"/>
        <v/>
      </c>
      <c r="AI196" s="48" t="str">
        <f t="shared" si="40"/>
        <v/>
      </c>
      <c r="AJ196" s="48" t="str">
        <f t="shared" si="43"/>
        <v/>
      </c>
      <c r="AK196" s="48" t="str">
        <f t="shared" si="44"/>
        <v/>
      </c>
      <c r="AL196" s="48" t="str">
        <f>IF(W196=0,"",_xlfn.CONCAT(DADOS!$A$8,Y196:AK196,"
"))</f>
        <v/>
      </c>
    </row>
    <row r="197" spans="4:38" s="48" customFormat="1" ht="15" customHeight="1" x14ac:dyDescent="0.25">
      <c r="D197" s="49"/>
      <c r="E197" s="43"/>
      <c r="F197" s="20"/>
      <c r="G197" s="14"/>
      <c r="H197" s="20"/>
      <c r="I197" s="15"/>
      <c r="J197" s="16"/>
      <c r="K197" s="14"/>
      <c r="L197" s="17"/>
      <c r="M197" s="18"/>
      <c r="N197" s="17"/>
      <c r="O197" s="18"/>
      <c r="P197" s="19"/>
      <c r="Q197" s="17"/>
      <c r="R197" s="40"/>
      <c r="S197" s="42">
        <v>183</v>
      </c>
      <c r="T197" s="40"/>
      <c r="V197" s="48" t="str">
        <f t="shared" si="41"/>
        <v/>
      </c>
      <c r="W197" s="48">
        <f t="shared" si="30"/>
        <v>0</v>
      </c>
      <c r="Y197" s="48" t="str">
        <f t="shared" si="31"/>
        <v/>
      </c>
      <c r="Z197" s="48" t="str">
        <f t="shared" si="32"/>
        <v/>
      </c>
      <c r="AA197" s="48" t="str">
        <f t="shared" si="33"/>
        <v/>
      </c>
      <c r="AB197" s="48" t="str">
        <f t="shared" si="42"/>
        <v/>
      </c>
      <c r="AC197" s="48" t="str">
        <f t="shared" si="34"/>
        <v/>
      </c>
      <c r="AD197" s="48" t="str">
        <f t="shared" si="35"/>
        <v/>
      </c>
      <c r="AE197" s="48" t="str">
        <f t="shared" si="36"/>
        <v/>
      </c>
      <c r="AF197" s="48" t="str">
        <f t="shared" si="37"/>
        <v/>
      </c>
      <c r="AG197" s="48" t="str">
        <f t="shared" si="38"/>
        <v/>
      </c>
      <c r="AH197" s="48" t="str">
        <f t="shared" si="39"/>
        <v/>
      </c>
      <c r="AI197" s="48" t="str">
        <f t="shared" si="40"/>
        <v/>
      </c>
      <c r="AJ197" s="48" t="str">
        <f t="shared" si="43"/>
        <v/>
      </c>
      <c r="AK197" s="48" t="str">
        <f t="shared" si="44"/>
        <v/>
      </c>
      <c r="AL197" s="48" t="str">
        <f>IF(W197=0,"",_xlfn.CONCAT(DADOS!$A$8,Y197:AK197,"
"))</f>
        <v/>
      </c>
    </row>
    <row r="198" spans="4:38" s="48" customFormat="1" ht="15" customHeight="1" x14ac:dyDescent="0.25">
      <c r="D198" s="49"/>
      <c r="E198" s="43"/>
      <c r="F198" s="20"/>
      <c r="G198" s="14"/>
      <c r="H198" s="20"/>
      <c r="I198" s="15"/>
      <c r="J198" s="16"/>
      <c r="K198" s="14"/>
      <c r="L198" s="17"/>
      <c r="M198" s="18"/>
      <c r="N198" s="17"/>
      <c r="O198" s="18"/>
      <c r="P198" s="19"/>
      <c r="Q198" s="17"/>
      <c r="R198" s="40"/>
      <c r="S198" s="42">
        <v>184</v>
      </c>
      <c r="T198" s="40"/>
      <c r="V198" s="48" t="str">
        <f t="shared" si="41"/>
        <v/>
      </c>
      <c r="W198" s="48">
        <f t="shared" si="30"/>
        <v>0</v>
      </c>
      <c r="Y198" s="48" t="str">
        <f t="shared" si="31"/>
        <v/>
      </c>
      <c r="Z198" s="48" t="str">
        <f t="shared" si="32"/>
        <v/>
      </c>
      <c r="AA198" s="48" t="str">
        <f t="shared" si="33"/>
        <v/>
      </c>
      <c r="AB198" s="48" t="str">
        <f t="shared" si="42"/>
        <v/>
      </c>
      <c r="AC198" s="48" t="str">
        <f t="shared" si="34"/>
        <v/>
      </c>
      <c r="AD198" s="48" t="str">
        <f t="shared" si="35"/>
        <v/>
      </c>
      <c r="AE198" s="48" t="str">
        <f t="shared" si="36"/>
        <v/>
      </c>
      <c r="AF198" s="48" t="str">
        <f t="shared" si="37"/>
        <v/>
      </c>
      <c r="AG198" s="48" t="str">
        <f t="shared" si="38"/>
        <v/>
      </c>
      <c r="AH198" s="48" t="str">
        <f t="shared" si="39"/>
        <v/>
      </c>
      <c r="AI198" s="48" t="str">
        <f t="shared" si="40"/>
        <v/>
      </c>
      <c r="AJ198" s="48" t="str">
        <f t="shared" si="43"/>
        <v/>
      </c>
      <c r="AK198" s="48" t="str">
        <f t="shared" si="44"/>
        <v/>
      </c>
      <c r="AL198" s="48" t="str">
        <f>IF(W198=0,"",_xlfn.CONCAT(DADOS!$A$8,Y198:AK198,"
"))</f>
        <v/>
      </c>
    </row>
    <row r="199" spans="4:38" s="48" customFormat="1" ht="15" customHeight="1" x14ac:dyDescent="0.25">
      <c r="D199" s="49"/>
      <c r="E199" s="43"/>
      <c r="F199" s="20"/>
      <c r="G199" s="14"/>
      <c r="H199" s="20"/>
      <c r="I199" s="15"/>
      <c r="J199" s="16"/>
      <c r="K199" s="14"/>
      <c r="L199" s="17"/>
      <c r="M199" s="18"/>
      <c r="N199" s="17"/>
      <c r="O199" s="18"/>
      <c r="P199" s="19"/>
      <c r="Q199" s="17"/>
      <c r="R199" s="40"/>
      <c r="S199" s="42">
        <v>185</v>
      </c>
      <c r="T199" s="40"/>
      <c r="V199" s="48" t="str">
        <f t="shared" si="41"/>
        <v/>
      </c>
      <c r="W199" s="48">
        <f t="shared" si="30"/>
        <v>0</v>
      </c>
      <c r="Y199" s="48" t="str">
        <f t="shared" si="31"/>
        <v/>
      </c>
      <c r="Z199" s="48" t="str">
        <f t="shared" si="32"/>
        <v/>
      </c>
      <c r="AA199" s="48" t="str">
        <f t="shared" si="33"/>
        <v/>
      </c>
      <c r="AB199" s="48" t="str">
        <f t="shared" si="42"/>
        <v/>
      </c>
      <c r="AC199" s="48" t="str">
        <f t="shared" si="34"/>
        <v/>
      </c>
      <c r="AD199" s="48" t="str">
        <f t="shared" si="35"/>
        <v/>
      </c>
      <c r="AE199" s="48" t="str">
        <f t="shared" si="36"/>
        <v/>
      </c>
      <c r="AF199" s="48" t="str">
        <f t="shared" si="37"/>
        <v/>
      </c>
      <c r="AG199" s="48" t="str">
        <f t="shared" si="38"/>
        <v/>
      </c>
      <c r="AH199" s="48" t="str">
        <f t="shared" si="39"/>
        <v/>
      </c>
      <c r="AI199" s="48" t="str">
        <f t="shared" si="40"/>
        <v/>
      </c>
      <c r="AJ199" s="48" t="str">
        <f t="shared" si="43"/>
        <v/>
      </c>
      <c r="AK199" s="48" t="str">
        <f t="shared" si="44"/>
        <v/>
      </c>
      <c r="AL199" s="48" t="str">
        <f>IF(W199=0,"",_xlfn.CONCAT(DADOS!$A$8,Y199:AK199,"
"))</f>
        <v/>
      </c>
    </row>
    <row r="200" spans="4:38" s="48" customFormat="1" ht="15" customHeight="1" x14ac:dyDescent="0.25">
      <c r="D200" s="49"/>
      <c r="E200" s="43"/>
      <c r="F200" s="20"/>
      <c r="G200" s="14"/>
      <c r="H200" s="20"/>
      <c r="I200" s="15"/>
      <c r="J200" s="16"/>
      <c r="K200" s="14"/>
      <c r="L200" s="17"/>
      <c r="M200" s="18"/>
      <c r="N200" s="17"/>
      <c r="O200" s="18"/>
      <c r="P200" s="19"/>
      <c r="Q200" s="17"/>
      <c r="R200" s="40"/>
      <c r="S200" s="42">
        <v>186</v>
      </c>
      <c r="T200" s="40"/>
      <c r="V200" s="48" t="str">
        <f t="shared" si="41"/>
        <v/>
      </c>
      <c r="W200" s="48">
        <f t="shared" si="30"/>
        <v>0</v>
      </c>
      <c r="Y200" s="48" t="str">
        <f t="shared" si="31"/>
        <v/>
      </c>
      <c r="Z200" s="48" t="str">
        <f t="shared" si="32"/>
        <v/>
      </c>
      <c r="AA200" s="48" t="str">
        <f t="shared" si="33"/>
        <v/>
      </c>
      <c r="AB200" s="48" t="str">
        <f t="shared" si="42"/>
        <v/>
      </c>
      <c r="AC200" s="48" t="str">
        <f t="shared" si="34"/>
        <v/>
      </c>
      <c r="AD200" s="48" t="str">
        <f t="shared" si="35"/>
        <v/>
      </c>
      <c r="AE200" s="48" t="str">
        <f t="shared" si="36"/>
        <v/>
      </c>
      <c r="AF200" s="48" t="str">
        <f t="shared" si="37"/>
        <v/>
      </c>
      <c r="AG200" s="48" t="str">
        <f t="shared" si="38"/>
        <v/>
      </c>
      <c r="AH200" s="48" t="str">
        <f t="shared" si="39"/>
        <v/>
      </c>
      <c r="AI200" s="48" t="str">
        <f t="shared" si="40"/>
        <v/>
      </c>
      <c r="AJ200" s="48" t="str">
        <f t="shared" si="43"/>
        <v/>
      </c>
      <c r="AK200" s="48" t="str">
        <f t="shared" si="44"/>
        <v/>
      </c>
      <c r="AL200" s="48" t="str">
        <f>IF(W200=0,"",_xlfn.CONCAT(DADOS!$A$8,Y200:AK200,"
"))</f>
        <v/>
      </c>
    </row>
    <row r="201" spans="4:38" s="48" customFormat="1" ht="15" customHeight="1" x14ac:dyDescent="0.25">
      <c r="D201" s="49"/>
      <c r="E201" s="43"/>
      <c r="F201" s="20"/>
      <c r="G201" s="14"/>
      <c r="H201" s="20"/>
      <c r="I201" s="15"/>
      <c r="J201" s="16"/>
      <c r="K201" s="14"/>
      <c r="L201" s="17"/>
      <c r="M201" s="18"/>
      <c r="N201" s="17"/>
      <c r="O201" s="18"/>
      <c r="P201" s="19"/>
      <c r="Q201" s="17"/>
      <c r="R201" s="40"/>
      <c r="S201" s="42">
        <v>187</v>
      </c>
      <c r="T201" s="40"/>
      <c r="V201" s="48" t="str">
        <f t="shared" si="41"/>
        <v/>
      </c>
      <c r="W201" s="48">
        <f t="shared" si="30"/>
        <v>0</v>
      </c>
      <c r="Y201" s="48" t="str">
        <f t="shared" si="31"/>
        <v/>
      </c>
      <c r="Z201" s="48" t="str">
        <f t="shared" si="32"/>
        <v/>
      </c>
      <c r="AA201" s="48" t="str">
        <f t="shared" si="33"/>
        <v/>
      </c>
      <c r="AB201" s="48" t="str">
        <f t="shared" si="42"/>
        <v/>
      </c>
      <c r="AC201" s="48" t="str">
        <f t="shared" si="34"/>
        <v/>
      </c>
      <c r="AD201" s="48" t="str">
        <f t="shared" si="35"/>
        <v/>
      </c>
      <c r="AE201" s="48" t="str">
        <f t="shared" si="36"/>
        <v/>
      </c>
      <c r="AF201" s="48" t="str">
        <f t="shared" si="37"/>
        <v/>
      </c>
      <c r="AG201" s="48" t="str">
        <f t="shared" si="38"/>
        <v/>
      </c>
      <c r="AH201" s="48" t="str">
        <f t="shared" si="39"/>
        <v/>
      </c>
      <c r="AI201" s="48" t="str">
        <f t="shared" si="40"/>
        <v/>
      </c>
      <c r="AJ201" s="48" t="str">
        <f t="shared" si="43"/>
        <v/>
      </c>
      <c r="AK201" s="48" t="str">
        <f t="shared" si="44"/>
        <v/>
      </c>
      <c r="AL201" s="48" t="str">
        <f>IF(W201=0,"",_xlfn.CONCAT(DADOS!$A$8,Y201:AK201,"
"))</f>
        <v/>
      </c>
    </row>
    <row r="202" spans="4:38" s="48" customFormat="1" ht="15" customHeight="1" x14ac:dyDescent="0.25">
      <c r="D202" s="49"/>
      <c r="E202" s="43"/>
      <c r="F202" s="20"/>
      <c r="G202" s="14"/>
      <c r="H202" s="20"/>
      <c r="I202" s="15"/>
      <c r="J202" s="16"/>
      <c r="K202" s="14"/>
      <c r="L202" s="17"/>
      <c r="M202" s="18"/>
      <c r="N202" s="17"/>
      <c r="O202" s="18"/>
      <c r="P202" s="19"/>
      <c r="Q202" s="17"/>
      <c r="R202" s="40"/>
      <c r="S202" s="42">
        <v>188</v>
      </c>
      <c r="T202" s="40"/>
      <c r="V202" s="48" t="str">
        <f t="shared" si="41"/>
        <v/>
      </c>
      <c r="W202" s="48">
        <f t="shared" si="30"/>
        <v>0</v>
      </c>
      <c r="Y202" s="48" t="str">
        <f t="shared" si="31"/>
        <v/>
      </c>
      <c r="Z202" s="48" t="str">
        <f t="shared" si="32"/>
        <v/>
      </c>
      <c r="AA202" s="48" t="str">
        <f t="shared" si="33"/>
        <v/>
      </c>
      <c r="AB202" s="48" t="str">
        <f t="shared" si="42"/>
        <v/>
      </c>
      <c r="AC202" s="48" t="str">
        <f t="shared" si="34"/>
        <v/>
      </c>
      <c r="AD202" s="48" t="str">
        <f t="shared" si="35"/>
        <v/>
      </c>
      <c r="AE202" s="48" t="str">
        <f t="shared" si="36"/>
        <v/>
      </c>
      <c r="AF202" s="48" t="str">
        <f t="shared" si="37"/>
        <v/>
      </c>
      <c r="AG202" s="48" t="str">
        <f t="shared" si="38"/>
        <v/>
      </c>
      <c r="AH202" s="48" t="str">
        <f t="shared" si="39"/>
        <v/>
      </c>
      <c r="AI202" s="48" t="str">
        <f t="shared" si="40"/>
        <v/>
      </c>
      <c r="AJ202" s="48" t="str">
        <f t="shared" si="43"/>
        <v/>
      </c>
      <c r="AK202" s="48" t="str">
        <f t="shared" si="44"/>
        <v/>
      </c>
      <c r="AL202" s="48" t="str">
        <f>IF(W202=0,"",_xlfn.CONCAT(DADOS!$A$8,Y202:AK202,"
"))</f>
        <v/>
      </c>
    </row>
    <row r="203" spans="4:38" s="48" customFormat="1" ht="15" customHeight="1" x14ac:dyDescent="0.25">
      <c r="D203" s="49"/>
      <c r="E203" s="43"/>
      <c r="F203" s="20"/>
      <c r="G203" s="14"/>
      <c r="H203" s="20"/>
      <c r="I203" s="15"/>
      <c r="J203" s="16"/>
      <c r="K203" s="14"/>
      <c r="L203" s="17"/>
      <c r="M203" s="18"/>
      <c r="N203" s="17"/>
      <c r="O203" s="18"/>
      <c r="P203" s="19"/>
      <c r="Q203" s="17"/>
      <c r="R203" s="40"/>
      <c r="S203" s="42">
        <v>189</v>
      </c>
      <c r="T203" s="40"/>
      <c r="V203" s="48" t="str">
        <f t="shared" si="41"/>
        <v/>
      </c>
      <c r="W203" s="48">
        <f t="shared" si="30"/>
        <v>0</v>
      </c>
      <c r="Y203" s="48" t="str">
        <f t="shared" si="31"/>
        <v/>
      </c>
      <c r="Z203" s="48" t="str">
        <f t="shared" si="32"/>
        <v/>
      </c>
      <c r="AA203" s="48" t="str">
        <f t="shared" si="33"/>
        <v/>
      </c>
      <c r="AB203" s="48" t="str">
        <f t="shared" si="42"/>
        <v/>
      </c>
      <c r="AC203" s="48" t="str">
        <f t="shared" si="34"/>
        <v/>
      </c>
      <c r="AD203" s="48" t="str">
        <f t="shared" si="35"/>
        <v/>
      </c>
      <c r="AE203" s="48" t="str">
        <f t="shared" si="36"/>
        <v/>
      </c>
      <c r="AF203" s="48" t="str">
        <f t="shared" si="37"/>
        <v/>
      </c>
      <c r="AG203" s="48" t="str">
        <f t="shared" si="38"/>
        <v/>
      </c>
      <c r="AH203" s="48" t="str">
        <f t="shared" si="39"/>
        <v/>
      </c>
      <c r="AI203" s="48" t="str">
        <f t="shared" si="40"/>
        <v/>
      </c>
      <c r="AJ203" s="48" t="str">
        <f t="shared" si="43"/>
        <v/>
      </c>
      <c r="AK203" s="48" t="str">
        <f t="shared" si="44"/>
        <v/>
      </c>
      <c r="AL203" s="48" t="str">
        <f>IF(W203=0,"",_xlfn.CONCAT(DADOS!$A$8,Y203:AK203,"
"))</f>
        <v/>
      </c>
    </row>
    <row r="204" spans="4:38" s="48" customFormat="1" ht="15" customHeight="1" x14ac:dyDescent="0.25">
      <c r="D204" s="49"/>
      <c r="E204" s="43"/>
      <c r="F204" s="20"/>
      <c r="G204" s="14"/>
      <c r="H204" s="20"/>
      <c r="I204" s="15"/>
      <c r="J204" s="16"/>
      <c r="K204" s="14"/>
      <c r="L204" s="17"/>
      <c r="M204" s="18"/>
      <c r="N204" s="17"/>
      <c r="O204" s="18"/>
      <c r="P204" s="19"/>
      <c r="Q204" s="17"/>
      <c r="R204" s="40"/>
      <c r="S204" s="42">
        <v>190</v>
      </c>
      <c r="T204" s="40"/>
      <c r="V204" s="48" t="str">
        <f t="shared" si="41"/>
        <v/>
      </c>
      <c r="W204" s="48">
        <f t="shared" si="30"/>
        <v>0</v>
      </c>
      <c r="Y204" s="48" t="str">
        <f t="shared" si="31"/>
        <v/>
      </c>
      <c r="Z204" s="48" t="str">
        <f t="shared" si="32"/>
        <v/>
      </c>
      <c r="AA204" s="48" t="str">
        <f t="shared" si="33"/>
        <v/>
      </c>
      <c r="AB204" s="48" t="str">
        <f t="shared" si="42"/>
        <v/>
      </c>
      <c r="AC204" s="48" t="str">
        <f t="shared" si="34"/>
        <v/>
      </c>
      <c r="AD204" s="48" t="str">
        <f t="shared" si="35"/>
        <v/>
      </c>
      <c r="AE204" s="48" t="str">
        <f t="shared" si="36"/>
        <v/>
      </c>
      <c r="AF204" s="48" t="str">
        <f t="shared" si="37"/>
        <v/>
      </c>
      <c r="AG204" s="48" t="str">
        <f t="shared" si="38"/>
        <v/>
      </c>
      <c r="AH204" s="48" t="str">
        <f t="shared" si="39"/>
        <v/>
      </c>
      <c r="AI204" s="48" t="str">
        <f t="shared" si="40"/>
        <v/>
      </c>
      <c r="AJ204" s="48" t="str">
        <f t="shared" si="43"/>
        <v/>
      </c>
      <c r="AK204" s="48" t="str">
        <f t="shared" si="44"/>
        <v/>
      </c>
      <c r="AL204" s="48" t="str">
        <f>IF(W204=0,"",_xlfn.CONCAT(DADOS!$A$8,Y204:AK204,"
"))</f>
        <v/>
      </c>
    </row>
    <row r="205" spans="4:38" s="48" customFormat="1" ht="15" customHeight="1" x14ac:dyDescent="0.25">
      <c r="D205" s="49"/>
      <c r="E205" s="43"/>
      <c r="F205" s="20"/>
      <c r="G205" s="14"/>
      <c r="H205" s="20"/>
      <c r="I205" s="15"/>
      <c r="J205" s="16"/>
      <c r="K205" s="14"/>
      <c r="L205" s="17"/>
      <c r="M205" s="18"/>
      <c r="N205" s="17"/>
      <c r="O205" s="18"/>
      <c r="P205" s="19"/>
      <c r="Q205" s="17"/>
      <c r="R205" s="40"/>
      <c r="S205" s="42">
        <v>191</v>
      </c>
      <c r="T205" s="40"/>
      <c r="V205" s="48" t="str">
        <f t="shared" si="41"/>
        <v/>
      </c>
      <c r="W205" s="48">
        <f t="shared" si="30"/>
        <v>0</v>
      </c>
      <c r="Y205" s="48" t="str">
        <f t="shared" si="31"/>
        <v/>
      </c>
      <c r="Z205" s="48" t="str">
        <f t="shared" si="32"/>
        <v/>
      </c>
      <c r="AA205" s="48" t="str">
        <f t="shared" si="33"/>
        <v/>
      </c>
      <c r="AB205" s="48" t="str">
        <f t="shared" si="42"/>
        <v/>
      </c>
      <c r="AC205" s="48" t="str">
        <f t="shared" si="34"/>
        <v/>
      </c>
      <c r="AD205" s="48" t="str">
        <f t="shared" si="35"/>
        <v/>
      </c>
      <c r="AE205" s="48" t="str">
        <f t="shared" si="36"/>
        <v/>
      </c>
      <c r="AF205" s="48" t="str">
        <f t="shared" si="37"/>
        <v/>
      </c>
      <c r="AG205" s="48" t="str">
        <f t="shared" si="38"/>
        <v/>
      </c>
      <c r="AH205" s="48" t="str">
        <f t="shared" si="39"/>
        <v/>
      </c>
      <c r="AI205" s="48" t="str">
        <f t="shared" si="40"/>
        <v/>
      </c>
      <c r="AJ205" s="48" t="str">
        <f t="shared" si="43"/>
        <v/>
      </c>
      <c r="AK205" s="48" t="str">
        <f t="shared" si="44"/>
        <v/>
      </c>
      <c r="AL205" s="48" t="str">
        <f>IF(W205=0,"",_xlfn.CONCAT(DADOS!$A$8,Y205:AK205,"
"))</f>
        <v/>
      </c>
    </row>
    <row r="206" spans="4:38" s="48" customFormat="1" ht="15" customHeight="1" x14ac:dyDescent="0.25">
      <c r="D206" s="49"/>
      <c r="E206" s="43"/>
      <c r="F206" s="20"/>
      <c r="G206" s="14"/>
      <c r="H206" s="20"/>
      <c r="I206" s="15"/>
      <c r="J206" s="16"/>
      <c r="K206" s="14"/>
      <c r="L206" s="17"/>
      <c r="M206" s="18"/>
      <c r="N206" s="17"/>
      <c r="O206" s="18"/>
      <c r="P206" s="19"/>
      <c r="Q206" s="17"/>
      <c r="R206" s="40"/>
      <c r="S206" s="42">
        <v>192</v>
      </c>
      <c r="T206" s="40"/>
      <c r="V206" s="48" t="str">
        <f t="shared" si="41"/>
        <v/>
      </c>
      <c r="W206" s="48">
        <f t="shared" si="30"/>
        <v>0</v>
      </c>
      <c r="Y206" s="48" t="str">
        <f t="shared" si="31"/>
        <v/>
      </c>
      <c r="Z206" s="48" t="str">
        <f t="shared" si="32"/>
        <v/>
      </c>
      <c r="AA206" s="48" t="str">
        <f t="shared" si="33"/>
        <v/>
      </c>
      <c r="AB206" s="48" t="str">
        <f t="shared" si="42"/>
        <v/>
      </c>
      <c r="AC206" s="48" t="str">
        <f t="shared" si="34"/>
        <v/>
      </c>
      <c r="AD206" s="48" t="str">
        <f t="shared" si="35"/>
        <v/>
      </c>
      <c r="AE206" s="48" t="str">
        <f t="shared" si="36"/>
        <v/>
      </c>
      <c r="AF206" s="48" t="str">
        <f t="shared" si="37"/>
        <v/>
      </c>
      <c r="AG206" s="48" t="str">
        <f t="shared" si="38"/>
        <v/>
      </c>
      <c r="AH206" s="48" t="str">
        <f t="shared" si="39"/>
        <v/>
      </c>
      <c r="AI206" s="48" t="str">
        <f t="shared" si="40"/>
        <v/>
      </c>
      <c r="AJ206" s="48" t="str">
        <f t="shared" si="43"/>
        <v/>
      </c>
      <c r="AK206" s="48" t="str">
        <f t="shared" si="44"/>
        <v/>
      </c>
      <c r="AL206" s="48" t="str">
        <f>IF(W206=0,"",_xlfn.CONCAT(DADOS!$A$8,Y206:AK206,"
"))</f>
        <v/>
      </c>
    </row>
    <row r="207" spans="4:38" s="48" customFormat="1" ht="15" customHeight="1" x14ac:dyDescent="0.25">
      <c r="D207" s="49"/>
      <c r="E207" s="43"/>
      <c r="F207" s="20"/>
      <c r="G207" s="14"/>
      <c r="H207" s="20"/>
      <c r="I207" s="15"/>
      <c r="J207" s="16"/>
      <c r="K207" s="14"/>
      <c r="L207" s="17"/>
      <c r="M207" s="18"/>
      <c r="N207" s="17"/>
      <c r="O207" s="18"/>
      <c r="P207" s="19"/>
      <c r="Q207" s="17"/>
      <c r="R207" s="40"/>
      <c r="S207" s="42">
        <v>193</v>
      </c>
      <c r="T207" s="40"/>
      <c r="V207" s="48" t="str">
        <f t="shared" si="41"/>
        <v/>
      </c>
      <c r="W207" s="48">
        <f t="shared" ref="W207:W270" si="45">IF(E207="",0,1)</f>
        <v>0</v>
      </c>
      <c r="Y207" s="48" t="str">
        <f t="shared" ref="Y207:Y270" si="46">_xlfn.CONCAT(E207,IF(LEN(E207)=1,"  ",IF(LEN(E207)=2," ","")))</f>
        <v/>
      </c>
      <c r="Z207" s="48" t="str">
        <f t="shared" ref="Z207:Z270" si="47">_xlfn.CONCAT(F207,IF(LEN(F207)=1,"  ",IF(LEN(F207)=2," ","")))</f>
        <v/>
      </c>
      <c r="AA207" s="48" t="str">
        <f t="shared" ref="AA207:AA270" si="48">IF(W207=0,"",G207)</f>
        <v/>
      </c>
      <c r="AB207" s="48" t="str">
        <f t="shared" si="42"/>
        <v/>
      </c>
      <c r="AC207" s="48" t="str">
        <f t="shared" ref="AC207:AC270" si="49">IF(W207=0,"",IF(LEN(I207)=1,_xlfn.CONCAT(0,I207),I207))</f>
        <v/>
      </c>
      <c r="AD207" s="48" t="str">
        <f t="shared" ref="AD207:AD270" si="50">IF(I207=20,"",(IF(I207=8,IF(LEN(J207)=1,_xlfn.CONCAT("00",J207),IF(LEN(J207)=2,_xlfn.CONCAT("0",J207),J207)),"")))</f>
        <v/>
      </c>
      <c r="AE207" s="48" t="str">
        <f t="shared" ref="AE207:AE270" si="51">IF(I207=20,"",IF(I207=8,IF(LEN(K207)=1,_xlfn.CONCAT(0,K207),K207),""))</f>
        <v/>
      </c>
      <c r="AF207" s="48" t="str">
        <f t="shared" ref="AF207:AF270" si="52">IF(I207=8,L207,"")</f>
        <v/>
      </c>
      <c r="AG207" s="48" t="str">
        <f t="shared" ref="AG207:AG270" si="53">IF(W207=0,"",IF($I207=20,"",IF(LEN(M207)=1,_xlfn.CONCAT("00",M207),IF(LEN(M207)=2,_xlfn.CONCAT("0",M207),M207))))</f>
        <v/>
      </c>
      <c r="AH207" s="48" t="str">
        <f t="shared" ref="AH207:AH270" si="54">IF(W207=0,"",IF($I207=20,"",IF(LEN(N207)=1,_xlfn.CONCAT(0,N207),N207)))</f>
        <v/>
      </c>
      <c r="AI207" s="48" t="str">
        <f t="shared" ref="AI207:AI270" si="55">IF(W207=0,"",IF($I207=20,"",IF(LEN(P207)=3,_xlfn.CONCAT("00",P207),_xlfn.CONCAT("0",P207))))</f>
        <v/>
      </c>
      <c r="AJ207" s="48" t="str">
        <f t="shared" si="43"/>
        <v/>
      </c>
      <c r="AK207" s="48" t="str">
        <f t="shared" si="44"/>
        <v/>
      </c>
      <c r="AL207" s="48" t="str">
        <f>IF(W207=0,"",_xlfn.CONCAT(DADOS!$A$8,Y207:AK207,"
"))</f>
        <v/>
      </c>
    </row>
    <row r="208" spans="4:38" s="48" customFormat="1" ht="15" customHeight="1" x14ac:dyDescent="0.25">
      <c r="D208" s="49"/>
      <c r="E208" s="43"/>
      <c r="F208" s="20"/>
      <c r="G208" s="14"/>
      <c r="H208" s="20"/>
      <c r="I208" s="15"/>
      <c r="J208" s="16"/>
      <c r="K208" s="14"/>
      <c r="L208" s="17"/>
      <c r="M208" s="18"/>
      <c r="N208" s="17"/>
      <c r="O208" s="18"/>
      <c r="P208" s="19"/>
      <c r="Q208" s="17"/>
      <c r="R208" s="40"/>
      <c r="S208" s="42">
        <v>194</v>
      </c>
      <c r="T208" s="40"/>
      <c r="V208" s="48" t="str">
        <f t="shared" ref="V208:V271" si="56">IF(E208="","",IF(R209="",IF(R208&lt;21,1,0),0))</f>
        <v/>
      </c>
      <c r="W208" s="48">
        <f t="shared" si="45"/>
        <v>0</v>
      </c>
      <c r="Y208" s="48" t="str">
        <f t="shared" si="46"/>
        <v/>
      </c>
      <c r="Z208" s="48" t="str">
        <f t="shared" si="47"/>
        <v/>
      </c>
      <c r="AA208" s="48" t="str">
        <f t="shared" si="48"/>
        <v/>
      </c>
      <c r="AB208" s="48" t="str">
        <f t="shared" ref="AB208:AB271" si="57">IF(OR(G208=0,G208=4),"",H208)</f>
        <v/>
      </c>
      <c r="AC208" s="48" t="str">
        <f t="shared" si="49"/>
        <v/>
      </c>
      <c r="AD208" s="48" t="str">
        <f t="shared" si="50"/>
        <v/>
      </c>
      <c r="AE208" s="48" t="str">
        <f t="shared" si="51"/>
        <v/>
      </c>
      <c r="AF208" s="48" t="str">
        <f t="shared" si="52"/>
        <v/>
      </c>
      <c r="AG208" s="48" t="str">
        <f t="shared" si="53"/>
        <v/>
      </c>
      <c r="AH208" s="48" t="str">
        <f t="shared" si="54"/>
        <v/>
      </c>
      <c r="AI208" s="48" t="str">
        <f t="shared" si="55"/>
        <v/>
      </c>
      <c r="AJ208" s="48" t="str">
        <f t="shared" ref="AJ208:AJ271" si="58">IF(W208=0,"",IF(I208=20,"",_xlfn.CONCAT(ROUNDUP(R208*10,0),$AK$14)))</f>
        <v/>
      </c>
      <c r="AK208" s="48" t="str">
        <f t="shared" ref="AK208:AK271" si="59">IF(W208=0,"",IF(R208&lt;999,$AK$14,""))</f>
        <v/>
      </c>
      <c r="AL208" s="48" t="str">
        <f>IF(W208=0,"",_xlfn.CONCAT(DADOS!$A$8,Y208:AK208,"
"))</f>
        <v/>
      </c>
    </row>
    <row r="209" spans="4:38" s="48" customFormat="1" ht="15" customHeight="1" x14ac:dyDescent="0.25">
      <c r="D209" s="49"/>
      <c r="E209" s="43"/>
      <c r="F209" s="20"/>
      <c r="G209" s="14"/>
      <c r="H209" s="20"/>
      <c r="I209" s="15"/>
      <c r="J209" s="16"/>
      <c r="K209" s="14"/>
      <c r="L209" s="17"/>
      <c r="M209" s="18"/>
      <c r="N209" s="17"/>
      <c r="O209" s="18"/>
      <c r="P209" s="19"/>
      <c r="Q209" s="17"/>
      <c r="R209" s="40"/>
      <c r="S209" s="42">
        <v>195</v>
      </c>
      <c r="T209" s="40"/>
      <c r="V209" s="48" t="str">
        <f t="shared" si="56"/>
        <v/>
      </c>
      <c r="W209" s="48">
        <f t="shared" si="45"/>
        <v>0</v>
      </c>
      <c r="Y209" s="48" t="str">
        <f t="shared" si="46"/>
        <v/>
      </c>
      <c r="Z209" s="48" t="str">
        <f t="shared" si="47"/>
        <v/>
      </c>
      <c r="AA209" s="48" t="str">
        <f t="shared" si="48"/>
        <v/>
      </c>
      <c r="AB209" s="48" t="str">
        <f t="shared" si="57"/>
        <v/>
      </c>
      <c r="AC209" s="48" t="str">
        <f t="shared" si="49"/>
        <v/>
      </c>
      <c r="AD209" s="48" t="str">
        <f t="shared" si="50"/>
        <v/>
      </c>
      <c r="AE209" s="48" t="str">
        <f t="shared" si="51"/>
        <v/>
      </c>
      <c r="AF209" s="48" t="str">
        <f t="shared" si="52"/>
        <v/>
      </c>
      <c r="AG209" s="48" t="str">
        <f t="shared" si="53"/>
        <v/>
      </c>
      <c r="AH209" s="48" t="str">
        <f t="shared" si="54"/>
        <v/>
      </c>
      <c r="AI209" s="48" t="str">
        <f t="shared" si="55"/>
        <v/>
      </c>
      <c r="AJ209" s="48" t="str">
        <f t="shared" si="58"/>
        <v/>
      </c>
      <c r="AK209" s="48" t="str">
        <f t="shared" si="59"/>
        <v/>
      </c>
      <c r="AL209" s="48" t="str">
        <f>IF(W209=0,"",_xlfn.CONCAT(DADOS!$A$8,Y209:AK209,"
"))</f>
        <v/>
      </c>
    </row>
    <row r="210" spans="4:38" s="48" customFormat="1" ht="15" customHeight="1" x14ac:dyDescent="0.25">
      <c r="D210" s="49"/>
      <c r="E210" s="43"/>
      <c r="F210" s="20"/>
      <c r="G210" s="14"/>
      <c r="H210" s="20"/>
      <c r="I210" s="15"/>
      <c r="J210" s="16"/>
      <c r="K210" s="14"/>
      <c r="L210" s="17"/>
      <c r="M210" s="18"/>
      <c r="N210" s="17"/>
      <c r="O210" s="18"/>
      <c r="P210" s="19"/>
      <c r="Q210" s="17"/>
      <c r="R210" s="40"/>
      <c r="S210" s="42">
        <v>196</v>
      </c>
      <c r="T210" s="40"/>
      <c r="V210" s="48" t="str">
        <f t="shared" si="56"/>
        <v/>
      </c>
      <c r="W210" s="48">
        <f t="shared" si="45"/>
        <v>0</v>
      </c>
      <c r="Y210" s="48" t="str">
        <f t="shared" si="46"/>
        <v/>
      </c>
      <c r="Z210" s="48" t="str">
        <f t="shared" si="47"/>
        <v/>
      </c>
      <c r="AA210" s="48" t="str">
        <f t="shared" si="48"/>
        <v/>
      </c>
      <c r="AB210" s="48" t="str">
        <f t="shared" si="57"/>
        <v/>
      </c>
      <c r="AC210" s="48" t="str">
        <f t="shared" si="49"/>
        <v/>
      </c>
      <c r="AD210" s="48" t="str">
        <f t="shared" si="50"/>
        <v/>
      </c>
      <c r="AE210" s="48" t="str">
        <f t="shared" si="51"/>
        <v/>
      </c>
      <c r="AF210" s="48" t="str">
        <f t="shared" si="52"/>
        <v/>
      </c>
      <c r="AG210" s="48" t="str">
        <f t="shared" si="53"/>
        <v/>
      </c>
      <c r="AH210" s="48" t="str">
        <f t="shared" si="54"/>
        <v/>
      </c>
      <c r="AI210" s="48" t="str">
        <f t="shared" si="55"/>
        <v/>
      </c>
      <c r="AJ210" s="48" t="str">
        <f t="shared" si="58"/>
        <v/>
      </c>
      <c r="AK210" s="48" t="str">
        <f t="shared" si="59"/>
        <v/>
      </c>
      <c r="AL210" s="48" t="str">
        <f>IF(W210=0,"",_xlfn.CONCAT(DADOS!$A$8,Y210:AK210,"
"))</f>
        <v/>
      </c>
    </row>
    <row r="211" spans="4:38" s="48" customFormat="1" ht="15" customHeight="1" x14ac:dyDescent="0.25">
      <c r="D211" s="49"/>
      <c r="E211" s="43"/>
      <c r="F211" s="20"/>
      <c r="G211" s="14"/>
      <c r="H211" s="20"/>
      <c r="I211" s="15"/>
      <c r="J211" s="16"/>
      <c r="K211" s="14"/>
      <c r="L211" s="17"/>
      <c r="M211" s="18"/>
      <c r="N211" s="17"/>
      <c r="O211" s="18"/>
      <c r="P211" s="19"/>
      <c r="Q211" s="17"/>
      <c r="R211" s="40"/>
      <c r="S211" s="42">
        <v>197</v>
      </c>
      <c r="T211" s="40"/>
      <c r="V211" s="48" t="str">
        <f t="shared" si="56"/>
        <v/>
      </c>
      <c r="W211" s="48">
        <f t="shared" si="45"/>
        <v>0</v>
      </c>
      <c r="Y211" s="48" t="str">
        <f t="shared" si="46"/>
        <v/>
      </c>
      <c r="Z211" s="48" t="str">
        <f t="shared" si="47"/>
        <v/>
      </c>
      <c r="AA211" s="48" t="str">
        <f t="shared" si="48"/>
        <v/>
      </c>
      <c r="AB211" s="48" t="str">
        <f t="shared" si="57"/>
        <v/>
      </c>
      <c r="AC211" s="48" t="str">
        <f t="shared" si="49"/>
        <v/>
      </c>
      <c r="AD211" s="48" t="str">
        <f t="shared" si="50"/>
        <v/>
      </c>
      <c r="AE211" s="48" t="str">
        <f t="shared" si="51"/>
        <v/>
      </c>
      <c r="AF211" s="48" t="str">
        <f t="shared" si="52"/>
        <v/>
      </c>
      <c r="AG211" s="48" t="str">
        <f t="shared" si="53"/>
        <v/>
      </c>
      <c r="AH211" s="48" t="str">
        <f t="shared" si="54"/>
        <v/>
      </c>
      <c r="AI211" s="48" t="str">
        <f t="shared" si="55"/>
        <v/>
      </c>
      <c r="AJ211" s="48" t="str">
        <f t="shared" si="58"/>
        <v/>
      </c>
      <c r="AK211" s="48" t="str">
        <f t="shared" si="59"/>
        <v/>
      </c>
      <c r="AL211" s="48" t="str">
        <f>IF(W211=0,"",_xlfn.CONCAT(DADOS!$A$8,Y211:AK211,"
"))</f>
        <v/>
      </c>
    </row>
    <row r="212" spans="4:38" s="48" customFormat="1" ht="15" customHeight="1" x14ac:dyDescent="0.25">
      <c r="D212" s="49"/>
      <c r="E212" s="43"/>
      <c r="F212" s="20"/>
      <c r="G212" s="14"/>
      <c r="H212" s="20"/>
      <c r="I212" s="15"/>
      <c r="J212" s="16"/>
      <c r="K212" s="14"/>
      <c r="L212" s="17"/>
      <c r="M212" s="18"/>
      <c r="N212" s="17"/>
      <c r="O212" s="18"/>
      <c r="P212" s="19"/>
      <c r="Q212" s="17"/>
      <c r="R212" s="40"/>
      <c r="S212" s="42">
        <v>198</v>
      </c>
      <c r="T212" s="40"/>
      <c r="V212" s="48" t="str">
        <f t="shared" si="56"/>
        <v/>
      </c>
      <c r="W212" s="48">
        <f t="shared" si="45"/>
        <v>0</v>
      </c>
      <c r="Y212" s="48" t="str">
        <f t="shared" si="46"/>
        <v/>
      </c>
      <c r="Z212" s="48" t="str">
        <f t="shared" si="47"/>
        <v/>
      </c>
      <c r="AA212" s="48" t="str">
        <f t="shared" si="48"/>
        <v/>
      </c>
      <c r="AB212" s="48" t="str">
        <f t="shared" si="57"/>
        <v/>
      </c>
      <c r="AC212" s="48" t="str">
        <f t="shared" si="49"/>
        <v/>
      </c>
      <c r="AD212" s="48" t="str">
        <f t="shared" si="50"/>
        <v/>
      </c>
      <c r="AE212" s="48" t="str">
        <f t="shared" si="51"/>
        <v/>
      </c>
      <c r="AF212" s="48" t="str">
        <f t="shared" si="52"/>
        <v/>
      </c>
      <c r="AG212" s="48" t="str">
        <f t="shared" si="53"/>
        <v/>
      </c>
      <c r="AH212" s="48" t="str">
        <f t="shared" si="54"/>
        <v/>
      </c>
      <c r="AI212" s="48" t="str">
        <f t="shared" si="55"/>
        <v/>
      </c>
      <c r="AJ212" s="48" t="str">
        <f t="shared" si="58"/>
        <v/>
      </c>
      <c r="AK212" s="48" t="str">
        <f t="shared" si="59"/>
        <v/>
      </c>
      <c r="AL212" s="48" t="str">
        <f>IF(W212=0,"",_xlfn.CONCAT(DADOS!$A$8,Y212:AK212,"
"))</f>
        <v/>
      </c>
    </row>
    <row r="213" spans="4:38" s="48" customFormat="1" ht="15" customHeight="1" x14ac:dyDescent="0.25">
      <c r="D213" s="49"/>
      <c r="E213" s="43"/>
      <c r="F213" s="20"/>
      <c r="G213" s="14"/>
      <c r="H213" s="20"/>
      <c r="I213" s="15"/>
      <c r="J213" s="16"/>
      <c r="K213" s="14"/>
      <c r="L213" s="17"/>
      <c r="M213" s="18"/>
      <c r="N213" s="17"/>
      <c r="O213" s="18"/>
      <c r="P213" s="19"/>
      <c r="Q213" s="17"/>
      <c r="R213" s="40"/>
      <c r="S213" s="42">
        <v>199</v>
      </c>
      <c r="T213" s="40"/>
      <c r="V213" s="48" t="str">
        <f t="shared" si="56"/>
        <v/>
      </c>
      <c r="W213" s="48">
        <f t="shared" si="45"/>
        <v>0</v>
      </c>
      <c r="Y213" s="48" t="str">
        <f t="shared" si="46"/>
        <v/>
      </c>
      <c r="Z213" s="48" t="str">
        <f t="shared" si="47"/>
        <v/>
      </c>
      <c r="AA213" s="48" t="str">
        <f t="shared" si="48"/>
        <v/>
      </c>
      <c r="AB213" s="48" t="str">
        <f t="shared" si="57"/>
        <v/>
      </c>
      <c r="AC213" s="48" t="str">
        <f t="shared" si="49"/>
        <v/>
      </c>
      <c r="AD213" s="48" t="str">
        <f t="shared" si="50"/>
        <v/>
      </c>
      <c r="AE213" s="48" t="str">
        <f t="shared" si="51"/>
        <v/>
      </c>
      <c r="AF213" s="48" t="str">
        <f t="shared" si="52"/>
        <v/>
      </c>
      <c r="AG213" s="48" t="str">
        <f t="shared" si="53"/>
        <v/>
      </c>
      <c r="AH213" s="48" t="str">
        <f t="shared" si="54"/>
        <v/>
      </c>
      <c r="AI213" s="48" t="str">
        <f t="shared" si="55"/>
        <v/>
      </c>
      <c r="AJ213" s="48" t="str">
        <f t="shared" si="58"/>
        <v/>
      </c>
      <c r="AK213" s="48" t="str">
        <f t="shared" si="59"/>
        <v/>
      </c>
      <c r="AL213" s="48" t="str">
        <f>IF(W213=0,"",_xlfn.CONCAT(DADOS!$A$8,Y213:AK213,"
"))</f>
        <v/>
      </c>
    </row>
    <row r="214" spans="4:38" s="48" customFormat="1" ht="15" customHeight="1" x14ac:dyDescent="0.25">
      <c r="D214" s="49"/>
      <c r="E214" s="43"/>
      <c r="F214" s="20"/>
      <c r="G214" s="14"/>
      <c r="H214" s="20"/>
      <c r="I214" s="15"/>
      <c r="J214" s="16"/>
      <c r="K214" s="14"/>
      <c r="L214" s="17"/>
      <c r="M214" s="18"/>
      <c r="N214" s="17"/>
      <c r="O214" s="18"/>
      <c r="P214" s="19"/>
      <c r="Q214" s="17"/>
      <c r="R214" s="40"/>
      <c r="S214" s="42">
        <v>200</v>
      </c>
      <c r="T214" s="40"/>
      <c r="V214" s="48" t="str">
        <f t="shared" si="56"/>
        <v/>
      </c>
      <c r="W214" s="48">
        <f t="shared" si="45"/>
        <v>0</v>
      </c>
      <c r="Y214" s="48" t="str">
        <f t="shared" si="46"/>
        <v/>
      </c>
      <c r="Z214" s="48" t="str">
        <f t="shared" si="47"/>
        <v/>
      </c>
      <c r="AA214" s="48" t="str">
        <f t="shared" si="48"/>
        <v/>
      </c>
      <c r="AB214" s="48" t="str">
        <f t="shared" si="57"/>
        <v/>
      </c>
      <c r="AC214" s="48" t="str">
        <f t="shared" si="49"/>
        <v/>
      </c>
      <c r="AD214" s="48" t="str">
        <f t="shared" si="50"/>
        <v/>
      </c>
      <c r="AE214" s="48" t="str">
        <f t="shared" si="51"/>
        <v/>
      </c>
      <c r="AF214" s="48" t="str">
        <f t="shared" si="52"/>
        <v/>
      </c>
      <c r="AG214" s="48" t="str">
        <f t="shared" si="53"/>
        <v/>
      </c>
      <c r="AH214" s="48" t="str">
        <f t="shared" si="54"/>
        <v/>
      </c>
      <c r="AI214" s="48" t="str">
        <f t="shared" si="55"/>
        <v/>
      </c>
      <c r="AJ214" s="48" t="str">
        <f t="shared" si="58"/>
        <v/>
      </c>
      <c r="AK214" s="48" t="str">
        <f t="shared" si="59"/>
        <v/>
      </c>
      <c r="AL214" s="48" t="str">
        <f>IF(W214=0,"",_xlfn.CONCAT(DADOS!$A$8,Y214:AK214,"
"))</f>
        <v/>
      </c>
    </row>
    <row r="215" spans="4:38" s="48" customFormat="1" ht="15" customHeight="1" x14ac:dyDescent="0.25">
      <c r="D215" s="49"/>
      <c r="E215" s="43"/>
      <c r="F215" s="20"/>
      <c r="G215" s="14"/>
      <c r="H215" s="20"/>
      <c r="I215" s="15"/>
      <c r="J215" s="16"/>
      <c r="K215" s="14"/>
      <c r="L215" s="17"/>
      <c r="M215" s="18"/>
      <c r="N215" s="17"/>
      <c r="O215" s="18"/>
      <c r="P215" s="19"/>
      <c r="Q215" s="17"/>
      <c r="R215" s="40"/>
      <c r="S215" s="42">
        <v>201</v>
      </c>
      <c r="T215" s="40"/>
      <c r="V215" s="48" t="str">
        <f t="shared" si="56"/>
        <v/>
      </c>
      <c r="W215" s="48">
        <f t="shared" si="45"/>
        <v>0</v>
      </c>
      <c r="Y215" s="48" t="str">
        <f t="shared" si="46"/>
        <v/>
      </c>
      <c r="Z215" s="48" t="str">
        <f t="shared" si="47"/>
        <v/>
      </c>
      <c r="AA215" s="48" t="str">
        <f t="shared" si="48"/>
        <v/>
      </c>
      <c r="AB215" s="48" t="str">
        <f t="shared" si="57"/>
        <v/>
      </c>
      <c r="AC215" s="48" t="str">
        <f t="shared" si="49"/>
        <v/>
      </c>
      <c r="AD215" s="48" t="str">
        <f t="shared" si="50"/>
        <v/>
      </c>
      <c r="AE215" s="48" t="str">
        <f t="shared" si="51"/>
        <v/>
      </c>
      <c r="AF215" s="48" t="str">
        <f t="shared" si="52"/>
        <v/>
      </c>
      <c r="AG215" s="48" t="str">
        <f t="shared" si="53"/>
        <v/>
      </c>
      <c r="AH215" s="48" t="str">
        <f t="shared" si="54"/>
        <v/>
      </c>
      <c r="AI215" s="48" t="str">
        <f t="shared" si="55"/>
        <v/>
      </c>
      <c r="AJ215" s="48" t="str">
        <f t="shared" si="58"/>
        <v/>
      </c>
      <c r="AK215" s="48" t="str">
        <f t="shared" si="59"/>
        <v/>
      </c>
      <c r="AL215" s="48" t="str">
        <f>IF(W215=0,"",_xlfn.CONCAT(DADOS!$A$8,Y215:AK215,"
"))</f>
        <v/>
      </c>
    </row>
    <row r="216" spans="4:38" s="48" customFormat="1" ht="15" customHeight="1" x14ac:dyDescent="0.25">
      <c r="D216" s="49"/>
      <c r="E216" s="43"/>
      <c r="F216" s="20"/>
      <c r="G216" s="14"/>
      <c r="H216" s="20"/>
      <c r="I216" s="15"/>
      <c r="J216" s="16"/>
      <c r="K216" s="14"/>
      <c r="L216" s="17"/>
      <c r="M216" s="18"/>
      <c r="N216" s="17"/>
      <c r="O216" s="18"/>
      <c r="P216" s="19"/>
      <c r="Q216" s="17"/>
      <c r="R216" s="40"/>
      <c r="S216" s="42">
        <v>202</v>
      </c>
      <c r="T216" s="40"/>
      <c r="V216" s="48" t="str">
        <f t="shared" si="56"/>
        <v/>
      </c>
      <c r="W216" s="48">
        <f t="shared" si="45"/>
        <v>0</v>
      </c>
      <c r="Y216" s="48" t="str">
        <f t="shared" si="46"/>
        <v/>
      </c>
      <c r="Z216" s="48" t="str">
        <f t="shared" si="47"/>
        <v/>
      </c>
      <c r="AA216" s="48" t="str">
        <f t="shared" si="48"/>
        <v/>
      </c>
      <c r="AB216" s="48" t="str">
        <f t="shared" si="57"/>
        <v/>
      </c>
      <c r="AC216" s="48" t="str">
        <f t="shared" si="49"/>
        <v/>
      </c>
      <c r="AD216" s="48" t="str">
        <f t="shared" si="50"/>
        <v/>
      </c>
      <c r="AE216" s="48" t="str">
        <f t="shared" si="51"/>
        <v/>
      </c>
      <c r="AF216" s="48" t="str">
        <f t="shared" si="52"/>
        <v/>
      </c>
      <c r="AG216" s="48" t="str">
        <f t="shared" si="53"/>
        <v/>
      </c>
      <c r="AH216" s="48" t="str">
        <f t="shared" si="54"/>
        <v/>
      </c>
      <c r="AI216" s="48" t="str">
        <f t="shared" si="55"/>
        <v/>
      </c>
      <c r="AJ216" s="48" t="str">
        <f t="shared" si="58"/>
        <v/>
      </c>
      <c r="AK216" s="48" t="str">
        <f t="shared" si="59"/>
        <v/>
      </c>
      <c r="AL216" s="48" t="str">
        <f>IF(W216=0,"",_xlfn.CONCAT(DADOS!$A$8,Y216:AK216,"
"))</f>
        <v/>
      </c>
    </row>
    <row r="217" spans="4:38" s="48" customFormat="1" ht="15" customHeight="1" x14ac:dyDescent="0.25">
      <c r="D217" s="49"/>
      <c r="E217" s="43"/>
      <c r="F217" s="20"/>
      <c r="G217" s="14"/>
      <c r="H217" s="20"/>
      <c r="I217" s="15"/>
      <c r="J217" s="16"/>
      <c r="K217" s="14"/>
      <c r="L217" s="17"/>
      <c r="M217" s="18"/>
      <c r="N217" s="17"/>
      <c r="O217" s="18"/>
      <c r="P217" s="19"/>
      <c r="Q217" s="17"/>
      <c r="R217" s="40"/>
      <c r="S217" s="42">
        <v>203</v>
      </c>
      <c r="T217" s="40"/>
      <c r="V217" s="48" t="str">
        <f t="shared" si="56"/>
        <v/>
      </c>
      <c r="W217" s="48">
        <f t="shared" si="45"/>
        <v>0</v>
      </c>
      <c r="Y217" s="48" t="str">
        <f t="shared" si="46"/>
        <v/>
      </c>
      <c r="Z217" s="48" t="str">
        <f t="shared" si="47"/>
        <v/>
      </c>
      <c r="AA217" s="48" t="str">
        <f t="shared" si="48"/>
        <v/>
      </c>
      <c r="AB217" s="48" t="str">
        <f t="shared" si="57"/>
        <v/>
      </c>
      <c r="AC217" s="48" t="str">
        <f t="shared" si="49"/>
        <v/>
      </c>
      <c r="AD217" s="48" t="str">
        <f t="shared" si="50"/>
        <v/>
      </c>
      <c r="AE217" s="48" t="str">
        <f t="shared" si="51"/>
        <v/>
      </c>
      <c r="AF217" s="48" t="str">
        <f t="shared" si="52"/>
        <v/>
      </c>
      <c r="AG217" s="48" t="str">
        <f t="shared" si="53"/>
        <v/>
      </c>
      <c r="AH217" s="48" t="str">
        <f t="shared" si="54"/>
        <v/>
      </c>
      <c r="AI217" s="48" t="str">
        <f t="shared" si="55"/>
        <v/>
      </c>
      <c r="AJ217" s="48" t="str">
        <f t="shared" si="58"/>
        <v/>
      </c>
      <c r="AK217" s="48" t="str">
        <f t="shared" si="59"/>
        <v/>
      </c>
      <c r="AL217" s="48" t="str">
        <f>IF(W217=0,"",_xlfn.CONCAT(DADOS!$A$8,Y217:AK217,"
"))</f>
        <v/>
      </c>
    </row>
    <row r="218" spans="4:38" s="48" customFormat="1" ht="15" customHeight="1" x14ac:dyDescent="0.25">
      <c r="D218" s="49"/>
      <c r="E218" s="43"/>
      <c r="F218" s="20"/>
      <c r="G218" s="14"/>
      <c r="H218" s="20"/>
      <c r="I218" s="15"/>
      <c r="J218" s="16"/>
      <c r="K218" s="14"/>
      <c r="L218" s="17"/>
      <c r="M218" s="18"/>
      <c r="N218" s="17"/>
      <c r="O218" s="18"/>
      <c r="P218" s="19"/>
      <c r="Q218" s="17"/>
      <c r="R218" s="40"/>
      <c r="S218" s="42">
        <v>204</v>
      </c>
      <c r="T218" s="40"/>
      <c r="V218" s="48" t="str">
        <f t="shared" si="56"/>
        <v/>
      </c>
      <c r="W218" s="48">
        <f t="shared" si="45"/>
        <v>0</v>
      </c>
      <c r="Y218" s="48" t="str">
        <f t="shared" si="46"/>
        <v/>
      </c>
      <c r="Z218" s="48" t="str">
        <f t="shared" si="47"/>
        <v/>
      </c>
      <c r="AA218" s="48" t="str">
        <f t="shared" si="48"/>
        <v/>
      </c>
      <c r="AB218" s="48" t="str">
        <f t="shared" si="57"/>
        <v/>
      </c>
      <c r="AC218" s="48" t="str">
        <f t="shared" si="49"/>
        <v/>
      </c>
      <c r="AD218" s="48" t="str">
        <f t="shared" si="50"/>
        <v/>
      </c>
      <c r="AE218" s="48" t="str">
        <f t="shared" si="51"/>
        <v/>
      </c>
      <c r="AF218" s="48" t="str">
        <f t="shared" si="52"/>
        <v/>
      </c>
      <c r="AG218" s="48" t="str">
        <f t="shared" si="53"/>
        <v/>
      </c>
      <c r="AH218" s="48" t="str">
        <f t="shared" si="54"/>
        <v/>
      </c>
      <c r="AI218" s="48" t="str">
        <f t="shared" si="55"/>
        <v/>
      </c>
      <c r="AJ218" s="48" t="str">
        <f t="shared" si="58"/>
        <v/>
      </c>
      <c r="AK218" s="48" t="str">
        <f t="shared" si="59"/>
        <v/>
      </c>
      <c r="AL218" s="48" t="str">
        <f>IF(W218=0,"",_xlfn.CONCAT(DADOS!$A$8,Y218:AK218,"
"))</f>
        <v/>
      </c>
    </row>
    <row r="219" spans="4:38" s="48" customFormat="1" ht="15" customHeight="1" x14ac:dyDescent="0.25">
      <c r="D219" s="49"/>
      <c r="E219" s="43"/>
      <c r="F219" s="20"/>
      <c r="G219" s="14"/>
      <c r="H219" s="20"/>
      <c r="I219" s="15"/>
      <c r="J219" s="16"/>
      <c r="K219" s="14"/>
      <c r="L219" s="17"/>
      <c r="M219" s="18"/>
      <c r="N219" s="17"/>
      <c r="O219" s="18"/>
      <c r="P219" s="19"/>
      <c r="Q219" s="17"/>
      <c r="R219" s="40"/>
      <c r="S219" s="42">
        <v>205</v>
      </c>
      <c r="T219" s="40"/>
      <c r="V219" s="48" t="str">
        <f t="shared" si="56"/>
        <v/>
      </c>
      <c r="W219" s="48">
        <f t="shared" si="45"/>
        <v>0</v>
      </c>
      <c r="Y219" s="48" t="str">
        <f t="shared" si="46"/>
        <v/>
      </c>
      <c r="Z219" s="48" t="str">
        <f t="shared" si="47"/>
        <v/>
      </c>
      <c r="AA219" s="48" t="str">
        <f t="shared" si="48"/>
        <v/>
      </c>
      <c r="AB219" s="48" t="str">
        <f t="shared" si="57"/>
        <v/>
      </c>
      <c r="AC219" s="48" t="str">
        <f t="shared" si="49"/>
        <v/>
      </c>
      <c r="AD219" s="48" t="str">
        <f t="shared" si="50"/>
        <v/>
      </c>
      <c r="AE219" s="48" t="str">
        <f t="shared" si="51"/>
        <v/>
      </c>
      <c r="AF219" s="48" t="str">
        <f t="shared" si="52"/>
        <v/>
      </c>
      <c r="AG219" s="48" t="str">
        <f t="shared" si="53"/>
        <v/>
      </c>
      <c r="AH219" s="48" t="str">
        <f t="shared" si="54"/>
        <v/>
      </c>
      <c r="AI219" s="48" t="str">
        <f t="shared" si="55"/>
        <v/>
      </c>
      <c r="AJ219" s="48" t="str">
        <f t="shared" si="58"/>
        <v/>
      </c>
      <c r="AK219" s="48" t="str">
        <f t="shared" si="59"/>
        <v/>
      </c>
      <c r="AL219" s="48" t="str">
        <f>IF(W219=0,"",_xlfn.CONCAT(DADOS!$A$8,Y219:AK219,"
"))</f>
        <v/>
      </c>
    </row>
    <row r="220" spans="4:38" s="48" customFormat="1" ht="15" customHeight="1" x14ac:dyDescent="0.25">
      <c r="D220" s="49"/>
      <c r="E220" s="43"/>
      <c r="F220" s="20"/>
      <c r="G220" s="14"/>
      <c r="H220" s="20"/>
      <c r="I220" s="15"/>
      <c r="J220" s="16"/>
      <c r="K220" s="14"/>
      <c r="L220" s="17"/>
      <c r="M220" s="18"/>
      <c r="N220" s="17"/>
      <c r="O220" s="18"/>
      <c r="P220" s="19"/>
      <c r="Q220" s="17"/>
      <c r="R220" s="40"/>
      <c r="S220" s="42">
        <v>206</v>
      </c>
      <c r="T220" s="40"/>
      <c r="V220" s="48" t="str">
        <f t="shared" si="56"/>
        <v/>
      </c>
      <c r="W220" s="48">
        <f t="shared" si="45"/>
        <v>0</v>
      </c>
      <c r="Y220" s="48" t="str">
        <f t="shared" si="46"/>
        <v/>
      </c>
      <c r="Z220" s="48" t="str">
        <f t="shared" si="47"/>
        <v/>
      </c>
      <c r="AA220" s="48" t="str">
        <f t="shared" si="48"/>
        <v/>
      </c>
      <c r="AB220" s="48" t="str">
        <f t="shared" si="57"/>
        <v/>
      </c>
      <c r="AC220" s="48" t="str">
        <f t="shared" si="49"/>
        <v/>
      </c>
      <c r="AD220" s="48" t="str">
        <f t="shared" si="50"/>
        <v/>
      </c>
      <c r="AE220" s="48" t="str">
        <f t="shared" si="51"/>
        <v/>
      </c>
      <c r="AF220" s="48" t="str">
        <f t="shared" si="52"/>
        <v/>
      </c>
      <c r="AG220" s="48" t="str">
        <f t="shared" si="53"/>
        <v/>
      </c>
      <c r="AH220" s="48" t="str">
        <f t="shared" si="54"/>
        <v/>
      </c>
      <c r="AI220" s="48" t="str">
        <f t="shared" si="55"/>
        <v/>
      </c>
      <c r="AJ220" s="48" t="str">
        <f t="shared" si="58"/>
        <v/>
      </c>
      <c r="AK220" s="48" t="str">
        <f t="shared" si="59"/>
        <v/>
      </c>
      <c r="AL220" s="48" t="str">
        <f>IF(W220=0,"",_xlfn.CONCAT(DADOS!$A$8,Y220:AK220,"
"))</f>
        <v/>
      </c>
    </row>
    <row r="221" spans="4:38" s="48" customFormat="1" ht="15" customHeight="1" x14ac:dyDescent="0.25">
      <c r="D221" s="49"/>
      <c r="E221" s="43"/>
      <c r="F221" s="20"/>
      <c r="G221" s="14"/>
      <c r="H221" s="20"/>
      <c r="I221" s="15"/>
      <c r="J221" s="16"/>
      <c r="K221" s="14"/>
      <c r="L221" s="17"/>
      <c r="M221" s="18"/>
      <c r="N221" s="17"/>
      <c r="O221" s="18"/>
      <c r="P221" s="19"/>
      <c r="Q221" s="17"/>
      <c r="R221" s="40"/>
      <c r="S221" s="42">
        <v>207</v>
      </c>
      <c r="T221" s="40"/>
      <c r="V221" s="48" t="str">
        <f t="shared" si="56"/>
        <v/>
      </c>
      <c r="W221" s="48">
        <f t="shared" si="45"/>
        <v>0</v>
      </c>
      <c r="Y221" s="48" t="str">
        <f t="shared" si="46"/>
        <v/>
      </c>
      <c r="Z221" s="48" t="str">
        <f t="shared" si="47"/>
        <v/>
      </c>
      <c r="AA221" s="48" t="str">
        <f t="shared" si="48"/>
        <v/>
      </c>
      <c r="AB221" s="48" t="str">
        <f t="shared" si="57"/>
        <v/>
      </c>
      <c r="AC221" s="48" t="str">
        <f t="shared" si="49"/>
        <v/>
      </c>
      <c r="AD221" s="48" t="str">
        <f t="shared" si="50"/>
        <v/>
      </c>
      <c r="AE221" s="48" t="str">
        <f t="shared" si="51"/>
        <v/>
      </c>
      <c r="AF221" s="48" t="str">
        <f t="shared" si="52"/>
        <v/>
      </c>
      <c r="AG221" s="48" t="str">
        <f t="shared" si="53"/>
        <v/>
      </c>
      <c r="AH221" s="48" t="str">
        <f t="shared" si="54"/>
        <v/>
      </c>
      <c r="AI221" s="48" t="str">
        <f t="shared" si="55"/>
        <v/>
      </c>
      <c r="AJ221" s="48" t="str">
        <f t="shared" si="58"/>
        <v/>
      </c>
      <c r="AK221" s="48" t="str">
        <f t="shared" si="59"/>
        <v/>
      </c>
      <c r="AL221" s="48" t="str">
        <f>IF(W221=0,"",_xlfn.CONCAT(DADOS!$A$8,Y221:AK221,"
"))</f>
        <v/>
      </c>
    </row>
    <row r="222" spans="4:38" s="48" customFormat="1" ht="15" customHeight="1" x14ac:dyDescent="0.25">
      <c r="D222" s="49"/>
      <c r="E222" s="43"/>
      <c r="F222" s="20"/>
      <c r="G222" s="14"/>
      <c r="H222" s="20"/>
      <c r="I222" s="15"/>
      <c r="J222" s="16"/>
      <c r="K222" s="14"/>
      <c r="L222" s="17"/>
      <c r="M222" s="18"/>
      <c r="N222" s="17"/>
      <c r="O222" s="18"/>
      <c r="P222" s="19"/>
      <c r="Q222" s="17"/>
      <c r="R222" s="40"/>
      <c r="S222" s="42">
        <v>208</v>
      </c>
      <c r="T222" s="40"/>
      <c r="V222" s="48" t="str">
        <f t="shared" si="56"/>
        <v/>
      </c>
      <c r="W222" s="48">
        <f t="shared" si="45"/>
        <v>0</v>
      </c>
      <c r="Y222" s="48" t="str">
        <f t="shared" si="46"/>
        <v/>
      </c>
      <c r="Z222" s="48" t="str">
        <f t="shared" si="47"/>
        <v/>
      </c>
      <c r="AA222" s="48" t="str">
        <f t="shared" si="48"/>
        <v/>
      </c>
      <c r="AB222" s="48" t="str">
        <f t="shared" si="57"/>
        <v/>
      </c>
      <c r="AC222" s="48" t="str">
        <f t="shared" si="49"/>
        <v/>
      </c>
      <c r="AD222" s="48" t="str">
        <f t="shared" si="50"/>
        <v/>
      </c>
      <c r="AE222" s="48" t="str">
        <f t="shared" si="51"/>
        <v/>
      </c>
      <c r="AF222" s="48" t="str">
        <f t="shared" si="52"/>
        <v/>
      </c>
      <c r="AG222" s="48" t="str">
        <f t="shared" si="53"/>
        <v/>
      </c>
      <c r="AH222" s="48" t="str">
        <f t="shared" si="54"/>
        <v/>
      </c>
      <c r="AI222" s="48" t="str">
        <f t="shared" si="55"/>
        <v/>
      </c>
      <c r="AJ222" s="48" t="str">
        <f t="shared" si="58"/>
        <v/>
      </c>
      <c r="AK222" s="48" t="str">
        <f t="shared" si="59"/>
        <v/>
      </c>
      <c r="AL222" s="48" t="str">
        <f>IF(W222=0,"",_xlfn.CONCAT(DADOS!$A$8,Y222:AK222,"
"))</f>
        <v/>
      </c>
    </row>
    <row r="223" spans="4:38" s="48" customFormat="1" ht="15" customHeight="1" x14ac:dyDescent="0.25">
      <c r="D223" s="49"/>
      <c r="E223" s="43"/>
      <c r="F223" s="20"/>
      <c r="G223" s="14"/>
      <c r="H223" s="20"/>
      <c r="I223" s="15"/>
      <c r="J223" s="16"/>
      <c r="K223" s="14"/>
      <c r="L223" s="17"/>
      <c r="M223" s="18"/>
      <c r="N223" s="17"/>
      <c r="O223" s="18"/>
      <c r="P223" s="19"/>
      <c r="Q223" s="17"/>
      <c r="R223" s="40"/>
      <c r="S223" s="42">
        <v>209</v>
      </c>
      <c r="T223" s="40"/>
      <c r="V223" s="48" t="str">
        <f t="shared" si="56"/>
        <v/>
      </c>
      <c r="W223" s="48">
        <f t="shared" si="45"/>
        <v>0</v>
      </c>
      <c r="Y223" s="48" t="str">
        <f t="shared" si="46"/>
        <v/>
      </c>
      <c r="Z223" s="48" t="str">
        <f t="shared" si="47"/>
        <v/>
      </c>
      <c r="AA223" s="48" t="str">
        <f t="shared" si="48"/>
        <v/>
      </c>
      <c r="AB223" s="48" t="str">
        <f t="shared" si="57"/>
        <v/>
      </c>
      <c r="AC223" s="48" t="str">
        <f t="shared" si="49"/>
        <v/>
      </c>
      <c r="AD223" s="48" t="str">
        <f t="shared" si="50"/>
        <v/>
      </c>
      <c r="AE223" s="48" t="str">
        <f t="shared" si="51"/>
        <v/>
      </c>
      <c r="AF223" s="48" t="str">
        <f t="shared" si="52"/>
        <v/>
      </c>
      <c r="AG223" s="48" t="str">
        <f t="shared" si="53"/>
        <v/>
      </c>
      <c r="AH223" s="48" t="str">
        <f t="shared" si="54"/>
        <v/>
      </c>
      <c r="AI223" s="48" t="str">
        <f t="shared" si="55"/>
        <v/>
      </c>
      <c r="AJ223" s="48" t="str">
        <f t="shared" si="58"/>
        <v/>
      </c>
      <c r="AK223" s="48" t="str">
        <f t="shared" si="59"/>
        <v/>
      </c>
      <c r="AL223" s="48" t="str">
        <f>IF(W223=0,"",_xlfn.CONCAT(DADOS!$A$8,Y223:AK223,"
"))</f>
        <v/>
      </c>
    </row>
    <row r="224" spans="4:38" s="48" customFormat="1" ht="15" customHeight="1" x14ac:dyDescent="0.25">
      <c r="D224" s="49"/>
      <c r="E224" s="43"/>
      <c r="F224" s="20"/>
      <c r="G224" s="14"/>
      <c r="H224" s="20"/>
      <c r="I224" s="15"/>
      <c r="J224" s="16"/>
      <c r="K224" s="14"/>
      <c r="L224" s="17"/>
      <c r="M224" s="18"/>
      <c r="N224" s="17"/>
      <c r="O224" s="18"/>
      <c r="P224" s="19"/>
      <c r="Q224" s="17"/>
      <c r="R224" s="40"/>
      <c r="S224" s="42">
        <v>210</v>
      </c>
      <c r="T224" s="40"/>
      <c r="V224" s="48" t="str">
        <f t="shared" si="56"/>
        <v/>
      </c>
      <c r="W224" s="48">
        <f t="shared" si="45"/>
        <v>0</v>
      </c>
      <c r="Y224" s="48" t="str">
        <f t="shared" si="46"/>
        <v/>
      </c>
      <c r="Z224" s="48" t="str">
        <f t="shared" si="47"/>
        <v/>
      </c>
      <c r="AA224" s="48" t="str">
        <f t="shared" si="48"/>
        <v/>
      </c>
      <c r="AB224" s="48" t="str">
        <f t="shared" si="57"/>
        <v/>
      </c>
      <c r="AC224" s="48" t="str">
        <f t="shared" si="49"/>
        <v/>
      </c>
      <c r="AD224" s="48" t="str">
        <f t="shared" si="50"/>
        <v/>
      </c>
      <c r="AE224" s="48" t="str">
        <f t="shared" si="51"/>
        <v/>
      </c>
      <c r="AF224" s="48" t="str">
        <f t="shared" si="52"/>
        <v/>
      </c>
      <c r="AG224" s="48" t="str">
        <f t="shared" si="53"/>
        <v/>
      </c>
      <c r="AH224" s="48" t="str">
        <f t="shared" si="54"/>
        <v/>
      </c>
      <c r="AI224" s="48" t="str">
        <f t="shared" si="55"/>
        <v/>
      </c>
      <c r="AJ224" s="48" t="str">
        <f t="shared" si="58"/>
        <v/>
      </c>
      <c r="AK224" s="48" t="str">
        <f t="shared" si="59"/>
        <v/>
      </c>
      <c r="AL224" s="48" t="str">
        <f>IF(W224=0,"",_xlfn.CONCAT(DADOS!$A$8,Y224:AK224,"
"))</f>
        <v/>
      </c>
    </row>
    <row r="225" spans="4:38" s="48" customFormat="1" ht="15" customHeight="1" x14ac:dyDescent="0.25">
      <c r="D225" s="49"/>
      <c r="E225" s="43"/>
      <c r="F225" s="20"/>
      <c r="G225" s="14"/>
      <c r="H225" s="20"/>
      <c r="I225" s="15"/>
      <c r="J225" s="16"/>
      <c r="K225" s="14"/>
      <c r="L225" s="17"/>
      <c r="M225" s="18"/>
      <c r="N225" s="17"/>
      <c r="O225" s="18"/>
      <c r="P225" s="19"/>
      <c r="Q225" s="17"/>
      <c r="R225" s="40"/>
      <c r="S225" s="42">
        <v>211</v>
      </c>
      <c r="T225" s="40"/>
      <c r="V225" s="48" t="str">
        <f t="shared" si="56"/>
        <v/>
      </c>
      <c r="W225" s="48">
        <f t="shared" si="45"/>
        <v>0</v>
      </c>
      <c r="Y225" s="48" t="str">
        <f t="shared" si="46"/>
        <v/>
      </c>
      <c r="Z225" s="48" t="str">
        <f t="shared" si="47"/>
        <v/>
      </c>
      <c r="AA225" s="48" t="str">
        <f t="shared" si="48"/>
        <v/>
      </c>
      <c r="AB225" s="48" t="str">
        <f t="shared" si="57"/>
        <v/>
      </c>
      <c r="AC225" s="48" t="str">
        <f t="shared" si="49"/>
        <v/>
      </c>
      <c r="AD225" s="48" t="str">
        <f t="shared" si="50"/>
        <v/>
      </c>
      <c r="AE225" s="48" t="str">
        <f t="shared" si="51"/>
        <v/>
      </c>
      <c r="AF225" s="48" t="str">
        <f t="shared" si="52"/>
        <v/>
      </c>
      <c r="AG225" s="48" t="str">
        <f t="shared" si="53"/>
        <v/>
      </c>
      <c r="AH225" s="48" t="str">
        <f t="shared" si="54"/>
        <v/>
      </c>
      <c r="AI225" s="48" t="str">
        <f t="shared" si="55"/>
        <v/>
      </c>
      <c r="AJ225" s="48" t="str">
        <f t="shared" si="58"/>
        <v/>
      </c>
      <c r="AK225" s="48" t="str">
        <f t="shared" si="59"/>
        <v/>
      </c>
      <c r="AL225" s="48" t="str">
        <f>IF(W225=0,"",_xlfn.CONCAT(DADOS!$A$8,Y225:AK225,"
"))</f>
        <v/>
      </c>
    </row>
    <row r="226" spans="4:38" s="48" customFormat="1" ht="15" customHeight="1" x14ac:dyDescent="0.25">
      <c r="D226" s="49"/>
      <c r="E226" s="43"/>
      <c r="F226" s="20"/>
      <c r="G226" s="14"/>
      <c r="H226" s="20"/>
      <c r="I226" s="15"/>
      <c r="J226" s="16"/>
      <c r="K226" s="14"/>
      <c r="L226" s="17"/>
      <c r="M226" s="18"/>
      <c r="N226" s="17"/>
      <c r="O226" s="18"/>
      <c r="P226" s="19"/>
      <c r="Q226" s="17"/>
      <c r="R226" s="40"/>
      <c r="S226" s="42">
        <v>212</v>
      </c>
      <c r="T226" s="40"/>
      <c r="V226" s="48" t="str">
        <f t="shared" si="56"/>
        <v/>
      </c>
      <c r="W226" s="48">
        <f t="shared" si="45"/>
        <v>0</v>
      </c>
      <c r="Y226" s="48" t="str">
        <f t="shared" si="46"/>
        <v/>
      </c>
      <c r="Z226" s="48" t="str">
        <f t="shared" si="47"/>
        <v/>
      </c>
      <c r="AA226" s="48" t="str">
        <f t="shared" si="48"/>
        <v/>
      </c>
      <c r="AB226" s="48" t="str">
        <f t="shared" si="57"/>
        <v/>
      </c>
      <c r="AC226" s="48" t="str">
        <f t="shared" si="49"/>
        <v/>
      </c>
      <c r="AD226" s="48" t="str">
        <f t="shared" si="50"/>
        <v/>
      </c>
      <c r="AE226" s="48" t="str">
        <f t="shared" si="51"/>
        <v/>
      </c>
      <c r="AF226" s="48" t="str">
        <f t="shared" si="52"/>
        <v/>
      </c>
      <c r="AG226" s="48" t="str">
        <f t="shared" si="53"/>
        <v/>
      </c>
      <c r="AH226" s="48" t="str">
        <f t="shared" si="54"/>
        <v/>
      </c>
      <c r="AI226" s="48" t="str">
        <f t="shared" si="55"/>
        <v/>
      </c>
      <c r="AJ226" s="48" t="str">
        <f t="shared" si="58"/>
        <v/>
      </c>
      <c r="AK226" s="48" t="str">
        <f t="shared" si="59"/>
        <v/>
      </c>
      <c r="AL226" s="48" t="str">
        <f>IF(W226=0,"",_xlfn.CONCAT(DADOS!$A$8,Y226:AK226,"
"))</f>
        <v/>
      </c>
    </row>
    <row r="227" spans="4:38" s="48" customFormat="1" ht="15" customHeight="1" x14ac:dyDescent="0.25">
      <c r="D227" s="49"/>
      <c r="E227" s="43"/>
      <c r="F227" s="20"/>
      <c r="G227" s="14"/>
      <c r="H227" s="20"/>
      <c r="I227" s="15"/>
      <c r="J227" s="16"/>
      <c r="K227" s="14"/>
      <c r="L227" s="17"/>
      <c r="M227" s="18"/>
      <c r="N227" s="17"/>
      <c r="O227" s="18"/>
      <c r="P227" s="19"/>
      <c r="Q227" s="17"/>
      <c r="R227" s="40"/>
      <c r="S227" s="42">
        <v>213</v>
      </c>
      <c r="T227" s="40"/>
      <c r="V227" s="48" t="str">
        <f t="shared" si="56"/>
        <v/>
      </c>
      <c r="W227" s="48">
        <f t="shared" si="45"/>
        <v>0</v>
      </c>
      <c r="Y227" s="48" t="str">
        <f t="shared" si="46"/>
        <v/>
      </c>
      <c r="Z227" s="48" t="str">
        <f t="shared" si="47"/>
        <v/>
      </c>
      <c r="AA227" s="48" t="str">
        <f t="shared" si="48"/>
        <v/>
      </c>
      <c r="AB227" s="48" t="str">
        <f t="shared" si="57"/>
        <v/>
      </c>
      <c r="AC227" s="48" t="str">
        <f t="shared" si="49"/>
        <v/>
      </c>
      <c r="AD227" s="48" t="str">
        <f t="shared" si="50"/>
        <v/>
      </c>
      <c r="AE227" s="48" t="str">
        <f t="shared" si="51"/>
        <v/>
      </c>
      <c r="AF227" s="48" t="str">
        <f t="shared" si="52"/>
        <v/>
      </c>
      <c r="AG227" s="48" t="str">
        <f t="shared" si="53"/>
        <v/>
      </c>
      <c r="AH227" s="48" t="str">
        <f t="shared" si="54"/>
        <v/>
      </c>
      <c r="AI227" s="48" t="str">
        <f t="shared" si="55"/>
        <v/>
      </c>
      <c r="AJ227" s="48" t="str">
        <f t="shared" si="58"/>
        <v/>
      </c>
      <c r="AK227" s="48" t="str">
        <f t="shared" si="59"/>
        <v/>
      </c>
      <c r="AL227" s="48" t="str">
        <f>IF(W227=0,"",_xlfn.CONCAT(DADOS!$A$8,Y227:AK227,"
"))</f>
        <v/>
      </c>
    </row>
    <row r="228" spans="4:38" s="48" customFormat="1" ht="15" customHeight="1" x14ac:dyDescent="0.25">
      <c r="D228" s="49"/>
      <c r="E228" s="43"/>
      <c r="F228" s="20"/>
      <c r="G228" s="14"/>
      <c r="H228" s="20"/>
      <c r="I228" s="15"/>
      <c r="J228" s="16"/>
      <c r="K228" s="14"/>
      <c r="L228" s="17"/>
      <c r="M228" s="18"/>
      <c r="N228" s="17"/>
      <c r="O228" s="18"/>
      <c r="P228" s="19"/>
      <c r="Q228" s="17"/>
      <c r="R228" s="40"/>
      <c r="S228" s="42">
        <v>214</v>
      </c>
      <c r="T228" s="40"/>
      <c r="V228" s="48" t="str">
        <f t="shared" si="56"/>
        <v/>
      </c>
      <c r="W228" s="48">
        <f t="shared" si="45"/>
        <v>0</v>
      </c>
      <c r="Y228" s="48" t="str">
        <f t="shared" si="46"/>
        <v/>
      </c>
      <c r="Z228" s="48" t="str">
        <f t="shared" si="47"/>
        <v/>
      </c>
      <c r="AA228" s="48" t="str">
        <f t="shared" si="48"/>
        <v/>
      </c>
      <c r="AB228" s="48" t="str">
        <f t="shared" si="57"/>
        <v/>
      </c>
      <c r="AC228" s="48" t="str">
        <f t="shared" si="49"/>
        <v/>
      </c>
      <c r="AD228" s="48" t="str">
        <f t="shared" si="50"/>
        <v/>
      </c>
      <c r="AE228" s="48" t="str">
        <f t="shared" si="51"/>
        <v/>
      </c>
      <c r="AF228" s="48" t="str">
        <f t="shared" si="52"/>
        <v/>
      </c>
      <c r="AG228" s="48" t="str">
        <f t="shared" si="53"/>
        <v/>
      </c>
      <c r="AH228" s="48" t="str">
        <f t="shared" si="54"/>
        <v/>
      </c>
      <c r="AI228" s="48" t="str">
        <f t="shared" si="55"/>
        <v/>
      </c>
      <c r="AJ228" s="48" t="str">
        <f t="shared" si="58"/>
        <v/>
      </c>
      <c r="AK228" s="48" t="str">
        <f t="shared" si="59"/>
        <v/>
      </c>
      <c r="AL228" s="48" t="str">
        <f>IF(W228=0,"",_xlfn.CONCAT(DADOS!$A$8,Y228:AK228,"
"))</f>
        <v/>
      </c>
    </row>
    <row r="229" spans="4:38" s="48" customFormat="1" ht="15" customHeight="1" x14ac:dyDescent="0.25">
      <c r="D229" s="49"/>
      <c r="E229" s="43"/>
      <c r="F229" s="20"/>
      <c r="G229" s="14"/>
      <c r="H229" s="20"/>
      <c r="I229" s="15"/>
      <c r="J229" s="16"/>
      <c r="K229" s="14"/>
      <c r="L229" s="17"/>
      <c r="M229" s="18"/>
      <c r="N229" s="17"/>
      <c r="O229" s="18"/>
      <c r="P229" s="19"/>
      <c r="Q229" s="17"/>
      <c r="R229" s="40"/>
      <c r="S229" s="42">
        <v>215</v>
      </c>
      <c r="T229" s="40"/>
      <c r="V229" s="48" t="str">
        <f t="shared" si="56"/>
        <v/>
      </c>
      <c r="W229" s="48">
        <f t="shared" si="45"/>
        <v>0</v>
      </c>
      <c r="Y229" s="48" t="str">
        <f t="shared" si="46"/>
        <v/>
      </c>
      <c r="Z229" s="48" t="str">
        <f t="shared" si="47"/>
        <v/>
      </c>
      <c r="AA229" s="48" t="str">
        <f t="shared" si="48"/>
        <v/>
      </c>
      <c r="AB229" s="48" t="str">
        <f t="shared" si="57"/>
        <v/>
      </c>
      <c r="AC229" s="48" t="str">
        <f t="shared" si="49"/>
        <v/>
      </c>
      <c r="AD229" s="48" t="str">
        <f t="shared" si="50"/>
        <v/>
      </c>
      <c r="AE229" s="48" t="str">
        <f t="shared" si="51"/>
        <v/>
      </c>
      <c r="AF229" s="48" t="str">
        <f t="shared" si="52"/>
        <v/>
      </c>
      <c r="AG229" s="48" t="str">
        <f t="shared" si="53"/>
        <v/>
      </c>
      <c r="AH229" s="48" t="str">
        <f t="shared" si="54"/>
        <v/>
      </c>
      <c r="AI229" s="48" t="str">
        <f t="shared" si="55"/>
        <v/>
      </c>
      <c r="AJ229" s="48" t="str">
        <f t="shared" si="58"/>
        <v/>
      </c>
      <c r="AK229" s="48" t="str">
        <f t="shared" si="59"/>
        <v/>
      </c>
      <c r="AL229" s="48" t="str">
        <f>IF(W229=0,"",_xlfn.CONCAT(DADOS!$A$8,Y229:AK229,"
"))</f>
        <v/>
      </c>
    </row>
    <row r="230" spans="4:38" s="48" customFormat="1" ht="15" customHeight="1" x14ac:dyDescent="0.25">
      <c r="D230" s="49"/>
      <c r="E230" s="43"/>
      <c r="F230" s="20"/>
      <c r="G230" s="14"/>
      <c r="H230" s="20"/>
      <c r="I230" s="15"/>
      <c r="J230" s="16"/>
      <c r="K230" s="14"/>
      <c r="L230" s="17"/>
      <c r="M230" s="18"/>
      <c r="N230" s="17"/>
      <c r="O230" s="18"/>
      <c r="P230" s="19"/>
      <c r="Q230" s="17"/>
      <c r="R230" s="40"/>
      <c r="S230" s="42">
        <v>216</v>
      </c>
      <c r="T230" s="40"/>
      <c r="V230" s="48" t="str">
        <f t="shared" si="56"/>
        <v/>
      </c>
      <c r="W230" s="48">
        <f t="shared" si="45"/>
        <v>0</v>
      </c>
      <c r="Y230" s="48" t="str">
        <f t="shared" si="46"/>
        <v/>
      </c>
      <c r="Z230" s="48" t="str">
        <f t="shared" si="47"/>
        <v/>
      </c>
      <c r="AA230" s="48" t="str">
        <f t="shared" si="48"/>
        <v/>
      </c>
      <c r="AB230" s="48" t="str">
        <f t="shared" si="57"/>
        <v/>
      </c>
      <c r="AC230" s="48" t="str">
        <f t="shared" si="49"/>
        <v/>
      </c>
      <c r="AD230" s="48" t="str">
        <f t="shared" si="50"/>
        <v/>
      </c>
      <c r="AE230" s="48" t="str">
        <f t="shared" si="51"/>
        <v/>
      </c>
      <c r="AF230" s="48" t="str">
        <f t="shared" si="52"/>
        <v/>
      </c>
      <c r="AG230" s="48" t="str">
        <f t="shared" si="53"/>
        <v/>
      </c>
      <c r="AH230" s="48" t="str">
        <f t="shared" si="54"/>
        <v/>
      </c>
      <c r="AI230" s="48" t="str">
        <f t="shared" si="55"/>
        <v/>
      </c>
      <c r="AJ230" s="48" t="str">
        <f t="shared" si="58"/>
        <v/>
      </c>
      <c r="AK230" s="48" t="str">
        <f t="shared" si="59"/>
        <v/>
      </c>
      <c r="AL230" s="48" t="str">
        <f>IF(W230=0,"",_xlfn.CONCAT(DADOS!$A$8,Y230:AK230,"
"))</f>
        <v/>
      </c>
    </row>
    <row r="231" spans="4:38" s="48" customFormat="1" ht="15" customHeight="1" x14ac:dyDescent="0.25">
      <c r="D231" s="49"/>
      <c r="E231" s="43"/>
      <c r="F231" s="20"/>
      <c r="G231" s="14"/>
      <c r="H231" s="20"/>
      <c r="I231" s="15"/>
      <c r="J231" s="16"/>
      <c r="K231" s="14"/>
      <c r="L231" s="17"/>
      <c r="M231" s="18"/>
      <c r="N231" s="17"/>
      <c r="O231" s="18"/>
      <c r="P231" s="19"/>
      <c r="Q231" s="17"/>
      <c r="R231" s="40"/>
      <c r="S231" s="42">
        <v>217</v>
      </c>
      <c r="T231" s="40"/>
      <c r="V231" s="48" t="str">
        <f t="shared" si="56"/>
        <v/>
      </c>
      <c r="W231" s="48">
        <f t="shared" si="45"/>
        <v>0</v>
      </c>
      <c r="Y231" s="48" t="str">
        <f t="shared" si="46"/>
        <v/>
      </c>
      <c r="Z231" s="48" t="str">
        <f t="shared" si="47"/>
        <v/>
      </c>
      <c r="AA231" s="48" t="str">
        <f t="shared" si="48"/>
        <v/>
      </c>
      <c r="AB231" s="48" t="str">
        <f t="shared" si="57"/>
        <v/>
      </c>
      <c r="AC231" s="48" t="str">
        <f t="shared" si="49"/>
        <v/>
      </c>
      <c r="AD231" s="48" t="str">
        <f t="shared" si="50"/>
        <v/>
      </c>
      <c r="AE231" s="48" t="str">
        <f t="shared" si="51"/>
        <v/>
      </c>
      <c r="AF231" s="48" t="str">
        <f t="shared" si="52"/>
        <v/>
      </c>
      <c r="AG231" s="48" t="str">
        <f t="shared" si="53"/>
        <v/>
      </c>
      <c r="AH231" s="48" t="str">
        <f t="shared" si="54"/>
        <v/>
      </c>
      <c r="AI231" s="48" t="str">
        <f t="shared" si="55"/>
        <v/>
      </c>
      <c r="AJ231" s="48" t="str">
        <f t="shared" si="58"/>
        <v/>
      </c>
      <c r="AK231" s="48" t="str">
        <f t="shared" si="59"/>
        <v/>
      </c>
      <c r="AL231" s="48" t="str">
        <f>IF(W231=0,"",_xlfn.CONCAT(DADOS!$A$8,Y231:AK231,"
"))</f>
        <v/>
      </c>
    </row>
    <row r="232" spans="4:38" s="48" customFormat="1" ht="15" customHeight="1" x14ac:dyDescent="0.25">
      <c r="D232" s="49"/>
      <c r="E232" s="43"/>
      <c r="F232" s="20"/>
      <c r="G232" s="14"/>
      <c r="H232" s="20"/>
      <c r="I232" s="15"/>
      <c r="J232" s="16"/>
      <c r="K232" s="14"/>
      <c r="L232" s="17"/>
      <c r="M232" s="18"/>
      <c r="N232" s="17"/>
      <c r="O232" s="18"/>
      <c r="P232" s="19"/>
      <c r="Q232" s="17"/>
      <c r="R232" s="40"/>
      <c r="S232" s="42">
        <v>218</v>
      </c>
      <c r="T232" s="40"/>
      <c r="V232" s="48" t="str">
        <f t="shared" si="56"/>
        <v/>
      </c>
      <c r="W232" s="48">
        <f t="shared" si="45"/>
        <v>0</v>
      </c>
      <c r="Y232" s="48" t="str">
        <f t="shared" si="46"/>
        <v/>
      </c>
      <c r="Z232" s="48" t="str">
        <f t="shared" si="47"/>
        <v/>
      </c>
      <c r="AA232" s="48" t="str">
        <f t="shared" si="48"/>
        <v/>
      </c>
      <c r="AB232" s="48" t="str">
        <f t="shared" si="57"/>
        <v/>
      </c>
      <c r="AC232" s="48" t="str">
        <f t="shared" si="49"/>
        <v/>
      </c>
      <c r="AD232" s="48" t="str">
        <f t="shared" si="50"/>
        <v/>
      </c>
      <c r="AE232" s="48" t="str">
        <f t="shared" si="51"/>
        <v/>
      </c>
      <c r="AF232" s="48" t="str">
        <f t="shared" si="52"/>
        <v/>
      </c>
      <c r="AG232" s="48" t="str">
        <f t="shared" si="53"/>
        <v/>
      </c>
      <c r="AH232" s="48" t="str">
        <f t="shared" si="54"/>
        <v/>
      </c>
      <c r="AI232" s="48" t="str">
        <f t="shared" si="55"/>
        <v/>
      </c>
      <c r="AJ232" s="48" t="str">
        <f t="shared" si="58"/>
        <v/>
      </c>
      <c r="AK232" s="48" t="str">
        <f t="shared" si="59"/>
        <v/>
      </c>
      <c r="AL232" s="48" t="str">
        <f>IF(W232=0,"",_xlfn.CONCAT(DADOS!$A$8,Y232:AK232,"
"))</f>
        <v/>
      </c>
    </row>
    <row r="233" spans="4:38" s="48" customFormat="1" ht="15" customHeight="1" x14ac:dyDescent="0.25">
      <c r="D233" s="49"/>
      <c r="E233" s="43"/>
      <c r="F233" s="20"/>
      <c r="G233" s="14"/>
      <c r="H233" s="20"/>
      <c r="I233" s="15"/>
      <c r="J233" s="16"/>
      <c r="K233" s="14"/>
      <c r="L233" s="17"/>
      <c r="M233" s="18"/>
      <c r="N233" s="17"/>
      <c r="O233" s="18"/>
      <c r="P233" s="19"/>
      <c r="Q233" s="17"/>
      <c r="R233" s="40"/>
      <c r="S233" s="42">
        <v>219</v>
      </c>
      <c r="T233" s="40"/>
      <c r="V233" s="48" t="str">
        <f t="shared" si="56"/>
        <v/>
      </c>
      <c r="W233" s="48">
        <f t="shared" si="45"/>
        <v>0</v>
      </c>
      <c r="Y233" s="48" t="str">
        <f t="shared" si="46"/>
        <v/>
      </c>
      <c r="Z233" s="48" t="str">
        <f t="shared" si="47"/>
        <v/>
      </c>
      <c r="AA233" s="48" t="str">
        <f t="shared" si="48"/>
        <v/>
      </c>
      <c r="AB233" s="48" t="str">
        <f t="shared" si="57"/>
        <v/>
      </c>
      <c r="AC233" s="48" t="str">
        <f t="shared" si="49"/>
        <v/>
      </c>
      <c r="AD233" s="48" t="str">
        <f t="shared" si="50"/>
        <v/>
      </c>
      <c r="AE233" s="48" t="str">
        <f t="shared" si="51"/>
        <v/>
      </c>
      <c r="AF233" s="48" t="str">
        <f t="shared" si="52"/>
        <v/>
      </c>
      <c r="AG233" s="48" t="str">
        <f t="shared" si="53"/>
        <v/>
      </c>
      <c r="AH233" s="48" t="str">
        <f t="shared" si="54"/>
        <v/>
      </c>
      <c r="AI233" s="48" t="str">
        <f t="shared" si="55"/>
        <v/>
      </c>
      <c r="AJ233" s="48" t="str">
        <f t="shared" si="58"/>
        <v/>
      </c>
      <c r="AK233" s="48" t="str">
        <f t="shared" si="59"/>
        <v/>
      </c>
      <c r="AL233" s="48" t="str">
        <f>IF(W233=0,"",_xlfn.CONCAT(DADOS!$A$8,Y233:AK233,"
"))</f>
        <v/>
      </c>
    </row>
    <row r="234" spans="4:38" s="48" customFormat="1" ht="15" customHeight="1" x14ac:dyDescent="0.25">
      <c r="D234" s="49"/>
      <c r="E234" s="43"/>
      <c r="F234" s="20"/>
      <c r="G234" s="14"/>
      <c r="H234" s="20"/>
      <c r="I234" s="15"/>
      <c r="J234" s="16"/>
      <c r="K234" s="14"/>
      <c r="L234" s="17"/>
      <c r="M234" s="18"/>
      <c r="N234" s="17"/>
      <c r="O234" s="18"/>
      <c r="P234" s="19"/>
      <c r="Q234" s="17"/>
      <c r="R234" s="40"/>
      <c r="S234" s="42">
        <v>220</v>
      </c>
      <c r="T234" s="40"/>
      <c r="V234" s="48" t="str">
        <f t="shared" si="56"/>
        <v/>
      </c>
      <c r="W234" s="48">
        <f t="shared" si="45"/>
        <v>0</v>
      </c>
      <c r="Y234" s="48" t="str">
        <f t="shared" si="46"/>
        <v/>
      </c>
      <c r="Z234" s="48" t="str">
        <f t="shared" si="47"/>
        <v/>
      </c>
      <c r="AA234" s="48" t="str">
        <f t="shared" si="48"/>
        <v/>
      </c>
      <c r="AB234" s="48" t="str">
        <f t="shared" si="57"/>
        <v/>
      </c>
      <c r="AC234" s="48" t="str">
        <f t="shared" si="49"/>
        <v/>
      </c>
      <c r="AD234" s="48" t="str">
        <f t="shared" si="50"/>
        <v/>
      </c>
      <c r="AE234" s="48" t="str">
        <f t="shared" si="51"/>
        <v/>
      </c>
      <c r="AF234" s="48" t="str">
        <f t="shared" si="52"/>
        <v/>
      </c>
      <c r="AG234" s="48" t="str">
        <f t="shared" si="53"/>
        <v/>
      </c>
      <c r="AH234" s="48" t="str">
        <f t="shared" si="54"/>
        <v/>
      </c>
      <c r="AI234" s="48" t="str">
        <f t="shared" si="55"/>
        <v/>
      </c>
      <c r="AJ234" s="48" t="str">
        <f t="shared" si="58"/>
        <v/>
      </c>
      <c r="AK234" s="48" t="str">
        <f t="shared" si="59"/>
        <v/>
      </c>
      <c r="AL234" s="48" t="str">
        <f>IF(W234=0,"",_xlfn.CONCAT(DADOS!$A$8,Y234:AK234,"
"))</f>
        <v/>
      </c>
    </row>
    <row r="235" spans="4:38" s="48" customFormat="1" ht="15" customHeight="1" x14ac:dyDescent="0.25">
      <c r="D235" s="49"/>
      <c r="E235" s="43"/>
      <c r="F235" s="20"/>
      <c r="G235" s="14"/>
      <c r="H235" s="20"/>
      <c r="I235" s="15"/>
      <c r="J235" s="16"/>
      <c r="K235" s="14"/>
      <c r="L235" s="17"/>
      <c r="M235" s="18"/>
      <c r="N235" s="17"/>
      <c r="O235" s="18"/>
      <c r="P235" s="19"/>
      <c r="Q235" s="17"/>
      <c r="R235" s="40"/>
      <c r="S235" s="42">
        <v>221</v>
      </c>
      <c r="T235" s="40"/>
      <c r="V235" s="48" t="str">
        <f t="shared" si="56"/>
        <v/>
      </c>
      <c r="W235" s="48">
        <f t="shared" si="45"/>
        <v>0</v>
      </c>
      <c r="Y235" s="48" t="str">
        <f t="shared" si="46"/>
        <v/>
      </c>
      <c r="Z235" s="48" t="str">
        <f t="shared" si="47"/>
        <v/>
      </c>
      <c r="AA235" s="48" t="str">
        <f t="shared" si="48"/>
        <v/>
      </c>
      <c r="AB235" s="48" t="str">
        <f t="shared" si="57"/>
        <v/>
      </c>
      <c r="AC235" s="48" t="str">
        <f t="shared" si="49"/>
        <v/>
      </c>
      <c r="AD235" s="48" t="str">
        <f t="shared" si="50"/>
        <v/>
      </c>
      <c r="AE235" s="48" t="str">
        <f t="shared" si="51"/>
        <v/>
      </c>
      <c r="AF235" s="48" t="str">
        <f t="shared" si="52"/>
        <v/>
      </c>
      <c r="AG235" s="48" t="str">
        <f t="shared" si="53"/>
        <v/>
      </c>
      <c r="AH235" s="48" t="str">
        <f t="shared" si="54"/>
        <v/>
      </c>
      <c r="AI235" s="48" t="str">
        <f t="shared" si="55"/>
        <v/>
      </c>
      <c r="AJ235" s="48" t="str">
        <f t="shared" si="58"/>
        <v/>
      </c>
      <c r="AK235" s="48" t="str">
        <f t="shared" si="59"/>
        <v/>
      </c>
      <c r="AL235" s="48" t="str">
        <f>IF(W235=0,"",_xlfn.CONCAT(DADOS!$A$8,Y235:AK235,"
"))</f>
        <v/>
      </c>
    </row>
    <row r="236" spans="4:38" s="48" customFormat="1" ht="15" customHeight="1" x14ac:dyDescent="0.25">
      <c r="D236" s="49"/>
      <c r="E236" s="43"/>
      <c r="F236" s="20"/>
      <c r="G236" s="14"/>
      <c r="H236" s="20"/>
      <c r="I236" s="15"/>
      <c r="J236" s="16"/>
      <c r="K236" s="14"/>
      <c r="L236" s="17"/>
      <c r="M236" s="18"/>
      <c r="N236" s="17"/>
      <c r="O236" s="18"/>
      <c r="P236" s="19"/>
      <c r="Q236" s="17"/>
      <c r="R236" s="40"/>
      <c r="S236" s="42">
        <v>222</v>
      </c>
      <c r="T236" s="40"/>
      <c r="V236" s="48" t="str">
        <f t="shared" si="56"/>
        <v/>
      </c>
      <c r="W236" s="48">
        <f t="shared" si="45"/>
        <v>0</v>
      </c>
      <c r="Y236" s="48" t="str">
        <f t="shared" si="46"/>
        <v/>
      </c>
      <c r="Z236" s="48" t="str">
        <f t="shared" si="47"/>
        <v/>
      </c>
      <c r="AA236" s="48" t="str">
        <f t="shared" si="48"/>
        <v/>
      </c>
      <c r="AB236" s="48" t="str">
        <f t="shared" si="57"/>
        <v/>
      </c>
      <c r="AC236" s="48" t="str">
        <f t="shared" si="49"/>
        <v/>
      </c>
      <c r="AD236" s="48" t="str">
        <f t="shared" si="50"/>
        <v/>
      </c>
      <c r="AE236" s="48" t="str">
        <f t="shared" si="51"/>
        <v/>
      </c>
      <c r="AF236" s="48" t="str">
        <f t="shared" si="52"/>
        <v/>
      </c>
      <c r="AG236" s="48" t="str">
        <f t="shared" si="53"/>
        <v/>
      </c>
      <c r="AH236" s="48" t="str">
        <f t="shared" si="54"/>
        <v/>
      </c>
      <c r="AI236" s="48" t="str">
        <f t="shared" si="55"/>
        <v/>
      </c>
      <c r="AJ236" s="48" t="str">
        <f t="shared" si="58"/>
        <v/>
      </c>
      <c r="AK236" s="48" t="str">
        <f t="shared" si="59"/>
        <v/>
      </c>
      <c r="AL236" s="48" t="str">
        <f>IF(W236=0,"",_xlfn.CONCAT(DADOS!$A$8,Y236:AK236,"
"))</f>
        <v/>
      </c>
    </row>
    <row r="237" spans="4:38" s="48" customFormat="1" ht="15" customHeight="1" x14ac:dyDescent="0.25">
      <c r="D237" s="49"/>
      <c r="E237" s="43"/>
      <c r="F237" s="20"/>
      <c r="G237" s="14"/>
      <c r="H237" s="20"/>
      <c r="I237" s="15"/>
      <c r="J237" s="16"/>
      <c r="K237" s="14"/>
      <c r="L237" s="17"/>
      <c r="M237" s="18"/>
      <c r="N237" s="17"/>
      <c r="O237" s="18"/>
      <c r="P237" s="19"/>
      <c r="Q237" s="17"/>
      <c r="R237" s="40"/>
      <c r="S237" s="42">
        <v>223</v>
      </c>
      <c r="T237" s="40"/>
      <c r="V237" s="48" t="str">
        <f t="shared" si="56"/>
        <v/>
      </c>
      <c r="W237" s="48">
        <f t="shared" si="45"/>
        <v>0</v>
      </c>
      <c r="Y237" s="48" t="str">
        <f t="shared" si="46"/>
        <v/>
      </c>
      <c r="Z237" s="48" t="str">
        <f t="shared" si="47"/>
        <v/>
      </c>
      <c r="AA237" s="48" t="str">
        <f t="shared" si="48"/>
        <v/>
      </c>
      <c r="AB237" s="48" t="str">
        <f t="shared" si="57"/>
        <v/>
      </c>
      <c r="AC237" s="48" t="str">
        <f t="shared" si="49"/>
        <v/>
      </c>
      <c r="AD237" s="48" t="str">
        <f t="shared" si="50"/>
        <v/>
      </c>
      <c r="AE237" s="48" t="str">
        <f t="shared" si="51"/>
        <v/>
      </c>
      <c r="AF237" s="48" t="str">
        <f t="shared" si="52"/>
        <v/>
      </c>
      <c r="AG237" s="48" t="str">
        <f t="shared" si="53"/>
        <v/>
      </c>
      <c r="AH237" s="48" t="str">
        <f t="shared" si="54"/>
        <v/>
      </c>
      <c r="AI237" s="48" t="str">
        <f t="shared" si="55"/>
        <v/>
      </c>
      <c r="AJ237" s="48" t="str">
        <f t="shared" si="58"/>
        <v/>
      </c>
      <c r="AK237" s="48" t="str">
        <f t="shared" si="59"/>
        <v/>
      </c>
      <c r="AL237" s="48" t="str">
        <f>IF(W237=0,"",_xlfn.CONCAT(DADOS!$A$8,Y237:AK237,"
"))</f>
        <v/>
      </c>
    </row>
    <row r="238" spans="4:38" s="48" customFormat="1" ht="15" customHeight="1" x14ac:dyDescent="0.25">
      <c r="D238" s="49"/>
      <c r="E238" s="43"/>
      <c r="F238" s="20"/>
      <c r="G238" s="14"/>
      <c r="H238" s="20"/>
      <c r="I238" s="15"/>
      <c r="J238" s="16"/>
      <c r="K238" s="14"/>
      <c r="L238" s="17"/>
      <c r="M238" s="18"/>
      <c r="N238" s="17"/>
      <c r="O238" s="18"/>
      <c r="P238" s="19"/>
      <c r="Q238" s="17"/>
      <c r="R238" s="40"/>
      <c r="S238" s="42">
        <v>224</v>
      </c>
      <c r="T238" s="40"/>
      <c r="V238" s="48" t="str">
        <f t="shared" si="56"/>
        <v/>
      </c>
      <c r="W238" s="48">
        <f t="shared" si="45"/>
        <v>0</v>
      </c>
      <c r="Y238" s="48" t="str">
        <f t="shared" si="46"/>
        <v/>
      </c>
      <c r="Z238" s="48" t="str">
        <f t="shared" si="47"/>
        <v/>
      </c>
      <c r="AA238" s="48" t="str">
        <f t="shared" si="48"/>
        <v/>
      </c>
      <c r="AB238" s="48" t="str">
        <f t="shared" si="57"/>
        <v/>
      </c>
      <c r="AC238" s="48" t="str">
        <f t="shared" si="49"/>
        <v/>
      </c>
      <c r="AD238" s="48" t="str">
        <f t="shared" si="50"/>
        <v/>
      </c>
      <c r="AE238" s="48" t="str">
        <f t="shared" si="51"/>
        <v/>
      </c>
      <c r="AF238" s="48" t="str">
        <f t="shared" si="52"/>
        <v/>
      </c>
      <c r="AG238" s="48" t="str">
        <f t="shared" si="53"/>
        <v/>
      </c>
      <c r="AH238" s="48" t="str">
        <f t="shared" si="54"/>
        <v/>
      </c>
      <c r="AI238" s="48" t="str">
        <f t="shared" si="55"/>
        <v/>
      </c>
      <c r="AJ238" s="48" t="str">
        <f t="shared" si="58"/>
        <v/>
      </c>
      <c r="AK238" s="48" t="str">
        <f t="shared" si="59"/>
        <v/>
      </c>
      <c r="AL238" s="48" t="str">
        <f>IF(W238=0,"",_xlfn.CONCAT(DADOS!$A$8,Y238:AK238,"
"))</f>
        <v/>
      </c>
    </row>
    <row r="239" spans="4:38" s="48" customFormat="1" ht="15" customHeight="1" x14ac:dyDescent="0.25">
      <c r="D239" s="49"/>
      <c r="E239" s="43"/>
      <c r="F239" s="20"/>
      <c r="G239" s="14"/>
      <c r="H239" s="20"/>
      <c r="I239" s="15"/>
      <c r="J239" s="16"/>
      <c r="K239" s="14"/>
      <c r="L239" s="17"/>
      <c r="M239" s="18"/>
      <c r="N239" s="17"/>
      <c r="O239" s="18"/>
      <c r="P239" s="19"/>
      <c r="Q239" s="17"/>
      <c r="R239" s="40"/>
      <c r="S239" s="42">
        <v>225</v>
      </c>
      <c r="T239" s="40"/>
      <c r="V239" s="48" t="str">
        <f t="shared" si="56"/>
        <v/>
      </c>
      <c r="W239" s="48">
        <f t="shared" si="45"/>
        <v>0</v>
      </c>
      <c r="Y239" s="48" t="str">
        <f t="shared" si="46"/>
        <v/>
      </c>
      <c r="Z239" s="48" t="str">
        <f t="shared" si="47"/>
        <v/>
      </c>
      <c r="AA239" s="48" t="str">
        <f t="shared" si="48"/>
        <v/>
      </c>
      <c r="AB239" s="48" t="str">
        <f t="shared" si="57"/>
        <v/>
      </c>
      <c r="AC239" s="48" t="str">
        <f t="shared" si="49"/>
        <v/>
      </c>
      <c r="AD239" s="48" t="str">
        <f t="shared" si="50"/>
        <v/>
      </c>
      <c r="AE239" s="48" t="str">
        <f t="shared" si="51"/>
        <v/>
      </c>
      <c r="AF239" s="48" t="str">
        <f t="shared" si="52"/>
        <v/>
      </c>
      <c r="AG239" s="48" t="str">
        <f t="shared" si="53"/>
        <v/>
      </c>
      <c r="AH239" s="48" t="str">
        <f t="shared" si="54"/>
        <v/>
      </c>
      <c r="AI239" s="48" t="str">
        <f t="shared" si="55"/>
        <v/>
      </c>
      <c r="AJ239" s="48" t="str">
        <f t="shared" si="58"/>
        <v/>
      </c>
      <c r="AK239" s="48" t="str">
        <f t="shared" si="59"/>
        <v/>
      </c>
      <c r="AL239" s="48" t="str">
        <f>IF(W239=0,"",_xlfn.CONCAT(DADOS!$A$8,Y239:AK239,"
"))</f>
        <v/>
      </c>
    </row>
    <row r="240" spans="4:38" s="48" customFormat="1" ht="15" customHeight="1" x14ac:dyDescent="0.25">
      <c r="D240" s="49"/>
      <c r="E240" s="43"/>
      <c r="F240" s="20"/>
      <c r="G240" s="14"/>
      <c r="H240" s="20"/>
      <c r="I240" s="15"/>
      <c r="J240" s="16"/>
      <c r="K240" s="14"/>
      <c r="L240" s="17"/>
      <c r="M240" s="18"/>
      <c r="N240" s="17"/>
      <c r="O240" s="18"/>
      <c r="P240" s="19"/>
      <c r="Q240" s="17"/>
      <c r="R240" s="40"/>
      <c r="S240" s="42">
        <v>226</v>
      </c>
      <c r="T240" s="40"/>
      <c r="V240" s="48" t="str">
        <f t="shared" si="56"/>
        <v/>
      </c>
      <c r="W240" s="48">
        <f t="shared" si="45"/>
        <v>0</v>
      </c>
      <c r="Y240" s="48" t="str">
        <f t="shared" si="46"/>
        <v/>
      </c>
      <c r="Z240" s="48" t="str">
        <f t="shared" si="47"/>
        <v/>
      </c>
      <c r="AA240" s="48" t="str">
        <f t="shared" si="48"/>
        <v/>
      </c>
      <c r="AB240" s="48" t="str">
        <f t="shared" si="57"/>
        <v/>
      </c>
      <c r="AC240" s="48" t="str">
        <f t="shared" si="49"/>
        <v/>
      </c>
      <c r="AD240" s="48" t="str">
        <f t="shared" si="50"/>
        <v/>
      </c>
      <c r="AE240" s="48" t="str">
        <f t="shared" si="51"/>
        <v/>
      </c>
      <c r="AF240" s="48" t="str">
        <f t="shared" si="52"/>
        <v/>
      </c>
      <c r="AG240" s="48" t="str">
        <f t="shared" si="53"/>
        <v/>
      </c>
      <c r="AH240" s="48" t="str">
        <f t="shared" si="54"/>
        <v/>
      </c>
      <c r="AI240" s="48" t="str">
        <f t="shared" si="55"/>
        <v/>
      </c>
      <c r="AJ240" s="48" t="str">
        <f t="shared" si="58"/>
        <v/>
      </c>
      <c r="AK240" s="48" t="str">
        <f t="shared" si="59"/>
        <v/>
      </c>
      <c r="AL240" s="48" t="str">
        <f>IF(W240=0,"",_xlfn.CONCAT(DADOS!$A$8,Y240:AK240,"
"))</f>
        <v/>
      </c>
    </row>
    <row r="241" spans="4:38" s="48" customFormat="1" ht="15" customHeight="1" x14ac:dyDescent="0.25">
      <c r="D241" s="49"/>
      <c r="E241" s="43"/>
      <c r="F241" s="20"/>
      <c r="G241" s="14"/>
      <c r="H241" s="20"/>
      <c r="I241" s="15"/>
      <c r="J241" s="16"/>
      <c r="K241" s="14"/>
      <c r="L241" s="17"/>
      <c r="M241" s="18"/>
      <c r="N241" s="17"/>
      <c r="O241" s="18"/>
      <c r="P241" s="19"/>
      <c r="Q241" s="17"/>
      <c r="R241" s="40"/>
      <c r="S241" s="42">
        <v>227</v>
      </c>
      <c r="T241" s="40"/>
      <c r="V241" s="48" t="str">
        <f t="shared" si="56"/>
        <v/>
      </c>
      <c r="W241" s="48">
        <f t="shared" si="45"/>
        <v>0</v>
      </c>
      <c r="Y241" s="48" t="str">
        <f t="shared" si="46"/>
        <v/>
      </c>
      <c r="Z241" s="48" t="str">
        <f t="shared" si="47"/>
        <v/>
      </c>
      <c r="AA241" s="48" t="str">
        <f t="shared" si="48"/>
        <v/>
      </c>
      <c r="AB241" s="48" t="str">
        <f t="shared" si="57"/>
        <v/>
      </c>
      <c r="AC241" s="48" t="str">
        <f t="shared" si="49"/>
        <v/>
      </c>
      <c r="AD241" s="48" t="str">
        <f t="shared" si="50"/>
        <v/>
      </c>
      <c r="AE241" s="48" t="str">
        <f t="shared" si="51"/>
        <v/>
      </c>
      <c r="AF241" s="48" t="str">
        <f t="shared" si="52"/>
        <v/>
      </c>
      <c r="AG241" s="48" t="str">
        <f t="shared" si="53"/>
        <v/>
      </c>
      <c r="AH241" s="48" t="str">
        <f t="shared" si="54"/>
        <v/>
      </c>
      <c r="AI241" s="48" t="str">
        <f t="shared" si="55"/>
        <v/>
      </c>
      <c r="AJ241" s="48" t="str">
        <f t="shared" si="58"/>
        <v/>
      </c>
      <c r="AK241" s="48" t="str">
        <f t="shared" si="59"/>
        <v/>
      </c>
      <c r="AL241" s="48" t="str">
        <f>IF(W241=0,"",_xlfn.CONCAT(DADOS!$A$8,Y241:AK241,"
"))</f>
        <v/>
      </c>
    </row>
    <row r="242" spans="4:38" s="48" customFormat="1" ht="15" customHeight="1" x14ac:dyDescent="0.25">
      <c r="D242" s="49"/>
      <c r="E242" s="43"/>
      <c r="F242" s="20"/>
      <c r="G242" s="14"/>
      <c r="H242" s="20"/>
      <c r="I242" s="15"/>
      <c r="J242" s="16"/>
      <c r="K242" s="14"/>
      <c r="L242" s="17"/>
      <c r="M242" s="18"/>
      <c r="N242" s="17"/>
      <c r="O242" s="18"/>
      <c r="P242" s="19"/>
      <c r="Q242" s="17"/>
      <c r="R242" s="40"/>
      <c r="S242" s="42">
        <v>228</v>
      </c>
      <c r="T242" s="40"/>
      <c r="V242" s="48" t="str">
        <f t="shared" si="56"/>
        <v/>
      </c>
      <c r="W242" s="48">
        <f t="shared" si="45"/>
        <v>0</v>
      </c>
      <c r="Y242" s="48" t="str">
        <f t="shared" si="46"/>
        <v/>
      </c>
      <c r="Z242" s="48" t="str">
        <f t="shared" si="47"/>
        <v/>
      </c>
      <c r="AA242" s="48" t="str">
        <f t="shared" si="48"/>
        <v/>
      </c>
      <c r="AB242" s="48" t="str">
        <f t="shared" si="57"/>
        <v/>
      </c>
      <c r="AC242" s="48" t="str">
        <f t="shared" si="49"/>
        <v/>
      </c>
      <c r="AD242" s="48" t="str">
        <f t="shared" si="50"/>
        <v/>
      </c>
      <c r="AE242" s="48" t="str">
        <f t="shared" si="51"/>
        <v/>
      </c>
      <c r="AF242" s="48" t="str">
        <f t="shared" si="52"/>
        <v/>
      </c>
      <c r="AG242" s="48" t="str">
        <f t="shared" si="53"/>
        <v/>
      </c>
      <c r="AH242" s="48" t="str">
        <f t="shared" si="54"/>
        <v/>
      </c>
      <c r="AI242" s="48" t="str">
        <f t="shared" si="55"/>
        <v/>
      </c>
      <c r="AJ242" s="48" t="str">
        <f t="shared" si="58"/>
        <v/>
      </c>
      <c r="AK242" s="48" t="str">
        <f t="shared" si="59"/>
        <v/>
      </c>
      <c r="AL242" s="48" t="str">
        <f>IF(W242=0,"",_xlfn.CONCAT(DADOS!$A$8,Y242:AK242,"
"))</f>
        <v/>
      </c>
    </row>
    <row r="243" spans="4:38" s="48" customFormat="1" ht="15" customHeight="1" x14ac:dyDescent="0.25">
      <c r="D243" s="49"/>
      <c r="E243" s="43"/>
      <c r="F243" s="20"/>
      <c r="G243" s="14"/>
      <c r="H243" s="20"/>
      <c r="I243" s="15"/>
      <c r="J243" s="16"/>
      <c r="K243" s="14"/>
      <c r="L243" s="17"/>
      <c r="M243" s="18"/>
      <c r="N243" s="17"/>
      <c r="O243" s="18"/>
      <c r="P243" s="19"/>
      <c r="Q243" s="17"/>
      <c r="R243" s="40"/>
      <c r="S243" s="42">
        <v>229</v>
      </c>
      <c r="T243" s="40"/>
      <c r="V243" s="48" t="str">
        <f t="shared" si="56"/>
        <v/>
      </c>
      <c r="W243" s="48">
        <f t="shared" si="45"/>
        <v>0</v>
      </c>
      <c r="Y243" s="48" t="str">
        <f t="shared" si="46"/>
        <v/>
      </c>
      <c r="Z243" s="48" t="str">
        <f t="shared" si="47"/>
        <v/>
      </c>
      <c r="AA243" s="48" t="str">
        <f t="shared" si="48"/>
        <v/>
      </c>
      <c r="AB243" s="48" t="str">
        <f t="shared" si="57"/>
        <v/>
      </c>
      <c r="AC243" s="48" t="str">
        <f t="shared" si="49"/>
        <v/>
      </c>
      <c r="AD243" s="48" t="str">
        <f t="shared" si="50"/>
        <v/>
      </c>
      <c r="AE243" s="48" t="str">
        <f t="shared" si="51"/>
        <v/>
      </c>
      <c r="AF243" s="48" t="str">
        <f t="shared" si="52"/>
        <v/>
      </c>
      <c r="AG243" s="48" t="str">
        <f t="shared" si="53"/>
        <v/>
      </c>
      <c r="AH243" s="48" t="str">
        <f t="shared" si="54"/>
        <v/>
      </c>
      <c r="AI243" s="48" t="str">
        <f t="shared" si="55"/>
        <v/>
      </c>
      <c r="AJ243" s="48" t="str">
        <f t="shared" si="58"/>
        <v/>
      </c>
      <c r="AK243" s="48" t="str">
        <f t="shared" si="59"/>
        <v/>
      </c>
      <c r="AL243" s="48" t="str">
        <f>IF(W243=0,"",_xlfn.CONCAT(DADOS!$A$8,Y243:AK243,"
"))</f>
        <v/>
      </c>
    </row>
    <row r="244" spans="4:38" s="48" customFormat="1" ht="15" customHeight="1" x14ac:dyDescent="0.25">
      <c r="D244" s="49"/>
      <c r="E244" s="43"/>
      <c r="F244" s="20"/>
      <c r="G244" s="14"/>
      <c r="H244" s="20"/>
      <c r="I244" s="15"/>
      <c r="J244" s="16"/>
      <c r="K244" s="14"/>
      <c r="L244" s="17"/>
      <c r="M244" s="18"/>
      <c r="N244" s="17"/>
      <c r="O244" s="18"/>
      <c r="P244" s="19"/>
      <c r="Q244" s="17"/>
      <c r="R244" s="40"/>
      <c r="S244" s="42">
        <v>230</v>
      </c>
      <c r="T244" s="40"/>
      <c r="V244" s="48" t="str">
        <f t="shared" si="56"/>
        <v/>
      </c>
      <c r="W244" s="48">
        <f t="shared" si="45"/>
        <v>0</v>
      </c>
      <c r="Y244" s="48" t="str">
        <f t="shared" si="46"/>
        <v/>
      </c>
      <c r="Z244" s="48" t="str">
        <f t="shared" si="47"/>
        <v/>
      </c>
      <c r="AA244" s="48" t="str">
        <f t="shared" si="48"/>
        <v/>
      </c>
      <c r="AB244" s="48" t="str">
        <f t="shared" si="57"/>
        <v/>
      </c>
      <c r="AC244" s="48" t="str">
        <f t="shared" si="49"/>
        <v/>
      </c>
      <c r="AD244" s="48" t="str">
        <f t="shared" si="50"/>
        <v/>
      </c>
      <c r="AE244" s="48" t="str">
        <f t="shared" si="51"/>
        <v/>
      </c>
      <c r="AF244" s="48" t="str">
        <f t="shared" si="52"/>
        <v/>
      </c>
      <c r="AG244" s="48" t="str">
        <f t="shared" si="53"/>
        <v/>
      </c>
      <c r="AH244" s="48" t="str">
        <f t="shared" si="54"/>
        <v/>
      </c>
      <c r="AI244" s="48" t="str">
        <f t="shared" si="55"/>
        <v/>
      </c>
      <c r="AJ244" s="48" t="str">
        <f t="shared" si="58"/>
        <v/>
      </c>
      <c r="AK244" s="48" t="str">
        <f t="shared" si="59"/>
        <v/>
      </c>
      <c r="AL244" s="48" t="str">
        <f>IF(W244=0,"",_xlfn.CONCAT(DADOS!$A$8,Y244:AK244,"
"))</f>
        <v/>
      </c>
    </row>
    <row r="245" spans="4:38" s="48" customFormat="1" ht="15" customHeight="1" x14ac:dyDescent="0.25">
      <c r="D245" s="49"/>
      <c r="E245" s="43"/>
      <c r="F245" s="20"/>
      <c r="G245" s="14"/>
      <c r="H245" s="20"/>
      <c r="I245" s="15"/>
      <c r="J245" s="16"/>
      <c r="K245" s="14"/>
      <c r="L245" s="17"/>
      <c r="M245" s="18"/>
      <c r="N245" s="17"/>
      <c r="O245" s="18"/>
      <c r="P245" s="19"/>
      <c r="Q245" s="17"/>
      <c r="R245" s="40"/>
      <c r="S245" s="42">
        <v>231</v>
      </c>
      <c r="T245" s="40"/>
      <c r="V245" s="48" t="str">
        <f t="shared" si="56"/>
        <v/>
      </c>
      <c r="W245" s="48">
        <f t="shared" si="45"/>
        <v>0</v>
      </c>
      <c r="Y245" s="48" t="str">
        <f t="shared" si="46"/>
        <v/>
      </c>
      <c r="Z245" s="48" t="str">
        <f t="shared" si="47"/>
        <v/>
      </c>
      <c r="AA245" s="48" t="str">
        <f t="shared" si="48"/>
        <v/>
      </c>
      <c r="AB245" s="48" t="str">
        <f t="shared" si="57"/>
        <v/>
      </c>
      <c r="AC245" s="48" t="str">
        <f t="shared" si="49"/>
        <v/>
      </c>
      <c r="AD245" s="48" t="str">
        <f t="shared" si="50"/>
        <v/>
      </c>
      <c r="AE245" s="48" t="str">
        <f t="shared" si="51"/>
        <v/>
      </c>
      <c r="AF245" s="48" t="str">
        <f t="shared" si="52"/>
        <v/>
      </c>
      <c r="AG245" s="48" t="str">
        <f t="shared" si="53"/>
        <v/>
      </c>
      <c r="AH245" s="48" t="str">
        <f t="shared" si="54"/>
        <v/>
      </c>
      <c r="AI245" s="48" t="str">
        <f t="shared" si="55"/>
        <v/>
      </c>
      <c r="AJ245" s="48" t="str">
        <f t="shared" si="58"/>
        <v/>
      </c>
      <c r="AK245" s="48" t="str">
        <f t="shared" si="59"/>
        <v/>
      </c>
      <c r="AL245" s="48" t="str">
        <f>IF(W245=0,"",_xlfn.CONCAT(DADOS!$A$8,Y245:AK245,"
"))</f>
        <v/>
      </c>
    </row>
    <row r="246" spans="4:38" s="48" customFormat="1" ht="15" customHeight="1" x14ac:dyDescent="0.25">
      <c r="D246" s="49"/>
      <c r="E246" s="43"/>
      <c r="F246" s="20"/>
      <c r="G246" s="14"/>
      <c r="H246" s="20"/>
      <c r="I246" s="15"/>
      <c r="J246" s="16"/>
      <c r="K246" s="14"/>
      <c r="L246" s="17"/>
      <c r="M246" s="18"/>
      <c r="N246" s="17"/>
      <c r="O246" s="18"/>
      <c r="P246" s="19"/>
      <c r="Q246" s="17"/>
      <c r="R246" s="40"/>
      <c r="S246" s="42">
        <v>232</v>
      </c>
      <c r="T246" s="40"/>
      <c r="V246" s="48" t="str">
        <f t="shared" si="56"/>
        <v/>
      </c>
      <c r="W246" s="48">
        <f t="shared" si="45"/>
        <v>0</v>
      </c>
      <c r="Y246" s="48" t="str">
        <f t="shared" si="46"/>
        <v/>
      </c>
      <c r="Z246" s="48" t="str">
        <f t="shared" si="47"/>
        <v/>
      </c>
      <c r="AA246" s="48" t="str">
        <f t="shared" si="48"/>
        <v/>
      </c>
      <c r="AB246" s="48" t="str">
        <f t="shared" si="57"/>
        <v/>
      </c>
      <c r="AC246" s="48" t="str">
        <f t="shared" si="49"/>
        <v/>
      </c>
      <c r="AD246" s="48" t="str">
        <f t="shared" si="50"/>
        <v/>
      </c>
      <c r="AE246" s="48" t="str">
        <f t="shared" si="51"/>
        <v/>
      </c>
      <c r="AF246" s="48" t="str">
        <f t="shared" si="52"/>
        <v/>
      </c>
      <c r="AG246" s="48" t="str">
        <f t="shared" si="53"/>
        <v/>
      </c>
      <c r="AH246" s="48" t="str">
        <f t="shared" si="54"/>
        <v/>
      </c>
      <c r="AI246" s="48" t="str">
        <f t="shared" si="55"/>
        <v/>
      </c>
      <c r="AJ246" s="48" t="str">
        <f t="shared" si="58"/>
        <v/>
      </c>
      <c r="AK246" s="48" t="str">
        <f t="shared" si="59"/>
        <v/>
      </c>
      <c r="AL246" s="48" t="str">
        <f>IF(W246=0,"",_xlfn.CONCAT(DADOS!$A$8,Y246:AK246,"
"))</f>
        <v/>
      </c>
    </row>
    <row r="247" spans="4:38" s="48" customFormat="1" ht="15" customHeight="1" x14ac:dyDescent="0.25">
      <c r="D247" s="49"/>
      <c r="E247" s="43"/>
      <c r="F247" s="20"/>
      <c r="G247" s="14"/>
      <c r="H247" s="20"/>
      <c r="I247" s="15"/>
      <c r="J247" s="16"/>
      <c r="K247" s="14"/>
      <c r="L247" s="17"/>
      <c r="M247" s="18"/>
      <c r="N247" s="17"/>
      <c r="O247" s="18"/>
      <c r="P247" s="19"/>
      <c r="Q247" s="17"/>
      <c r="R247" s="40"/>
      <c r="S247" s="42">
        <v>233</v>
      </c>
      <c r="T247" s="40"/>
      <c r="V247" s="48" t="str">
        <f t="shared" si="56"/>
        <v/>
      </c>
      <c r="W247" s="48">
        <f t="shared" si="45"/>
        <v>0</v>
      </c>
      <c r="Y247" s="48" t="str">
        <f t="shared" si="46"/>
        <v/>
      </c>
      <c r="Z247" s="48" t="str">
        <f t="shared" si="47"/>
        <v/>
      </c>
      <c r="AA247" s="48" t="str">
        <f t="shared" si="48"/>
        <v/>
      </c>
      <c r="AB247" s="48" t="str">
        <f t="shared" si="57"/>
        <v/>
      </c>
      <c r="AC247" s="48" t="str">
        <f t="shared" si="49"/>
        <v/>
      </c>
      <c r="AD247" s="48" t="str">
        <f t="shared" si="50"/>
        <v/>
      </c>
      <c r="AE247" s="48" t="str">
        <f t="shared" si="51"/>
        <v/>
      </c>
      <c r="AF247" s="48" t="str">
        <f t="shared" si="52"/>
        <v/>
      </c>
      <c r="AG247" s="48" t="str">
        <f t="shared" si="53"/>
        <v/>
      </c>
      <c r="AH247" s="48" t="str">
        <f t="shared" si="54"/>
        <v/>
      </c>
      <c r="AI247" s="48" t="str">
        <f t="shared" si="55"/>
        <v/>
      </c>
      <c r="AJ247" s="48" t="str">
        <f t="shared" si="58"/>
        <v/>
      </c>
      <c r="AK247" s="48" t="str">
        <f t="shared" si="59"/>
        <v/>
      </c>
      <c r="AL247" s="48" t="str">
        <f>IF(W247=0,"",_xlfn.CONCAT(DADOS!$A$8,Y247:AK247,"
"))</f>
        <v/>
      </c>
    </row>
    <row r="248" spans="4:38" s="48" customFormat="1" ht="15" customHeight="1" x14ac:dyDescent="0.25">
      <c r="D248" s="49"/>
      <c r="E248" s="43"/>
      <c r="F248" s="20"/>
      <c r="G248" s="14"/>
      <c r="H248" s="20"/>
      <c r="I248" s="15"/>
      <c r="J248" s="16"/>
      <c r="K248" s="14"/>
      <c r="L248" s="17"/>
      <c r="M248" s="18"/>
      <c r="N248" s="17"/>
      <c r="O248" s="18"/>
      <c r="P248" s="19"/>
      <c r="Q248" s="17"/>
      <c r="R248" s="40"/>
      <c r="S248" s="42">
        <v>234</v>
      </c>
      <c r="T248" s="40"/>
      <c r="V248" s="48" t="str">
        <f t="shared" si="56"/>
        <v/>
      </c>
      <c r="W248" s="48">
        <f t="shared" si="45"/>
        <v>0</v>
      </c>
      <c r="Y248" s="48" t="str">
        <f t="shared" si="46"/>
        <v/>
      </c>
      <c r="Z248" s="48" t="str">
        <f t="shared" si="47"/>
        <v/>
      </c>
      <c r="AA248" s="48" t="str">
        <f t="shared" si="48"/>
        <v/>
      </c>
      <c r="AB248" s="48" t="str">
        <f t="shared" si="57"/>
        <v/>
      </c>
      <c r="AC248" s="48" t="str">
        <f t="shared" si="49"/>
        <v/>
      </c>
      <c r="AD248" s="48" t="str">
        <f t="shared" si="50"/>
        <v/>
      </c>
      <c r="AE248" s="48" t="str">
        <f t="shared" si="51"/>
        <v/>
      </c>
      <c r="AF248" s="48" t="str">
        <f t="shared" si="52"/>
        <v/>
      </c>
      <c r="AG248" s="48" t="str">
        <f t="shared" si="53"/>
        <v/>
      </c>
      <c r="AH248" s="48" t="str">
        <f t="shared" si="54"/>
        <v/>
      </c>
      <c r="AI248" s="48" t="str">
        <f t="shared" si="55"/>
        <v/>
      </c>
      <c r="AJ248" s="48" t="str">
        <f t="shared" si="58"/>
        <v/>
      </c>
      <c r="AK248" s="48" t="str">
        <f t="shared" si="59"/>
        <v/>
      </c>
      <c r="AL248" s="48" t="str">
        <f>IF(W248=0,"",_xlfn.CONCAT(DADOS!$A$8,Y248:AK248,"
"))</f>
        <v/>
      </c>
    </row>
    <row r="249" spans="4:38" s="48" customFormat="1" ht="15" customHeight="1" x14ac:dyDescent="0.25">
      <c r="D249" s="49"/>
      <c r="E249" s="43"/>
      <c r="F249" s="20"/>
      <c r="G249" s="14"/>
      <c r="H249" s="20"/>
      <c r="I249" s="15"/>
      <c r="J249" s="16"/>
      <c r="K249" s="14"/>
      <c r="L249" s="17"/>
      <c r="M249" s="18"/>
      <c r="N249" s="17"/>
      <c r="O249" s="18"/>
      <c r="P249" s="19"/>
      <c r="Q249" s="17"/>
      <c r="R249" s="40"/>
      <c r="S249" s="42">
        <v>235</v>
      </c>
      <c r="T249" s="40"/>
      <c r="V249" s="48" t="str">
        <f t="shared" si="56"/>
        <v/>
      </c>
      <c r="W249" s="48">
        <f t="shared" si="45"/>
        <v>0</v>
      </c>
      <c r="Y249" s="48" t="str">
        <f t="shared" si="46"/>
        <v/>
      </c>
      <c r="Z249" s="48" t="str">
        <f t="shared" si="47"/>
        <v/>
      </c>
      <c r="AA249" s="48" t="str">
        <f t="shared" si="48"/>
        <v/>
      </c>
      <c r="AB249" s="48" t="str">
        <f t="shared" si="57"/>
        <v/>
      </c>
      <c r="AC249" s="48" t="str">
        <f t="shared" si="49"/>
        <v/>
      </c>
      <c r="AD249" s="48" t="str">
        <f t="shared" si="50"/>
        <v/>
      </c>
      <c r="AE249" s="48" t="str">
        <f t="shared" si="51"/>
        <v/>
      </c>
      <c r="AF249" s="48" t="str">
        <f t="shared" si="52"/>
        <v/>
      </c>
      <c r="AG249" s="48" t="str">
        <f t="shared" si="53"/>
        <v/>
      </c>
      <c r="AH249" s="48" t="str">
        <f t="shared" si="54"/>
        <v/>
      </c>
      <c r="AI249" s="48" t="str">
        <f t="shared" si="55"/>
        <v/>
      </c>
      <c r="AJ249" s="48" t="str">
        <f t="shared" si="58"/>
        <v/>
      </c>
      <c r="AK249" s="48" t="str">
        <f t="shared" si="59"/>
        <v/>
      </c>
      <c r="AL249" s="48" t="str">
        <f>IF(W249=0,"",_xlfn.CONCAT(DADOS!$A$8,Y249:AK249,"
"))</f>
        <v/>
      </c>
    </row>
    <row r="250" spans="4:38" s="48" customFormat="1" ht="15" customHeight="1" x14ac:dyDescent="0.25">
      <c r="D250" s="49"/>
      <c r="E250" s="43"/>
      <c r="F250" s="20"/>
      <c r="G250" s="14"/>
      <c r="H250" s="20"/>
      <c r="I250" s="15"/>
      <c r="J250" s="16"/>
      <c r="K250" s="14"/>
      <c r="L250" s="17"/>
      <c r="M250" s="18"/>
      <c r="N250" s="17"/>
      <c r="O250" s="18"/>
      <c r="P250" s="19"/>
      <c r="Q250" s="17"/>
      <c r="R250" s="40"/>
      <c r="S250" s="42">
        <v>236</v>
      </c>
      <c r="T250" s="40"/>
      <c r="V250" s="48" t="str">
        <f t="shared" si="56"/>
        <v/>
      </c>
      <c r="W250" s="48">
        <f t="shared" si="45"/>
        <v>0</v>
      </c>
      <c r="Y250" s="48" t="str">
        <f t="shared" si="46"/>
        <v/>
      </c>
      <c r="Z250" s="48" t="str">
        <f t="shared" si="47"/>
        <v/>
      </c>
      <c r="AA250" s="48" t="str">
        <f t="shared" si="48"/>
        <v/>
      </c>
      <c r="AB250" s="48" t="str">
        <f t="shared" si="57"/>
        <v/>
      </c>
      <c r="AC250" s="48" t="str">
        <f t="shared" si="49"/>
        <v/>
      </c>
      <c r="AD250" s="48" t="str">
        <f t="shared" si="50"/>
        <v/>
      </c>
      <c r="AE250" s="48" t="str">
        <f t="shared" si="51"/>
        <v/>
      </c>
      <c r="AF250" s="48" t="str">
        <f t="shared" si="52"/>
        <v/>
      </c>
      <c r="AG250" s="48" t="str">
        <f t="shared" si="53"/>
        <v/>
      </c>
      <c r="AH250" s="48" t="str">
        <f t="shared" si="54"/>
        <v/>
      </c>
      <c r="AI250" s="48" t="str">
        <f t="shared" si="55"/>
        <v/>
      </c>
      <c r="AJ250" s="48" t="str">
        <f t="shared" si="58"/>
        <v/>
      </c>
      <c r="AK250" s="48" t="str">
        <f t="shared" si="59"/>
        <v/>
      </c>
      <c r="AL250" s="48" t="str">
        <f>IF(W250=0,"",_xlfn.CONCAT(DADOS!$A$8,Y250:AK250,"
"))</f>
        <v/>
      </c>
    </row>
    <row r="251" spans="4:38" s="48" customFormat="1" ht="15" customHeight="1" x14ac:dyDescent="0.25">
      <c r="D251" s="49"/>
      <c r="E251" s="43"/>
      <c r="F251" s="20"/>
      <c r="G251" s="14"/>
      <c r="H251" s="20"/>
      <c r="I251" s="15"/>
      <c r="J251" s="16"/>
      <c r="K251" s="14"/>
      <c r="L251" s="17"/>
      <c r="M251" s="18"/>
      <c r="N251" s="17"/>
      <c r="O251" s="18"/>
      <c r="P251" s="19"/>
      <c r="Q251" s="17"/>
      <c r="R251" s="40"/>
      <c r="S251" s="42">
        <v>237</v>
      </c>
      <c r="T251" s="40"/>
      <c r="V251" s="48" t="str">
        <f t="shared" si="56"/>
        <v/>
      </c>
      <c r="W251" s="48">
        <f t="shared" si="45"/>
        <v>0</v>
      </c>
      <c r="Y251" s="48" t="str">
        <f t="shared" si="46"/>
        <v/>
      </c>
      <c r="Z251" s="48" t="str">
        <f t="shared" si="47"/>
        <v/>
      </c>
      <c r="AA251" s="48" t="str">
        <f t="shared" si="48"/>
        <v/>
      </c>
      <c r="AB251" s="48" t="str">
        <f t="shared" si="57"/>
        <v/>
      </c>
      <c r="AC251" s="48" t="str">
        <f t="shared" si="49"/>
        <v/>
      </c>
      <c r="AD251" s="48" t="str">
        <f t="shared" si="50"/>
        <v/>
      </c>
      <c r="AE251" s="48" t="str">
        <f t="shared" si="51"/>
        <v/>
      </c>
      <c r="AF251" s="48" t="str">
        <f t="shared" si="52"/>
        <v/>
      </c>
      <c r="AG251" s="48" t="str">
        <f t="shared" si="53"/>
        <v/>
      </c>
      <c r="AH251" s="48" t="str">
        <f t="shared" si="54"/>
        <v/>
      </c>
      <c r="AI251" s="48" t="str">
        <f t="shared" si="55"/>
        <v/>
      </c>
      <c r="AJ251" s="48" t="str">
        <f t="shared" si="58"/>
        <v/>
      </c>
      <c r="AK251" s="48" t="str">
        <f t="shared" si="59"/>
        <v/>
      </c>
      <c r="AL251" s="48" t="str">
        <f>IF(W251=0,"",_xlfn.CONCAT(DADOS!$A$8,Y251:AK251,"
"))</f>
        <v/>
      </c>
    </row>
    <row r="252" spans="4:38" s="48" customFormat="1" ht="15" customHeight="1" x14ac:dyDescent="0.25">
      <c r="D252" s="49"/>
      <c r="E252" s="43"/>
      <c r="F252" s="20"/>
      <c r="G252" s="14"/>
      <c r="H252" s="20"/>
      <c r="I252" s="15"/>
      <c r="J252" s="16"/>
      <c r="K252" s="14"/>
      <c r="L252" s="17"/>
      <c r="M252" s="18"/>
      <c r="N252" s="17"/>
      <c r="O252" s="18"/>
      <c r="P252" s="19"/>
      <c r="Q252" s="17"/>
      <c r="R252" s="40"/>
      <c r="S252" s="42">
        <v>238</v>
      </c>
      <c r="T252" s="40"/>
      <c r="V252" s="48" t="str">
        <f t="shared" si="56"/>
        <v/>
      </c>
      <c r="W252" s="48">
        <f t="shared" si="45"/>
        <v>0</v>
      </c>
      <c r="Y252" s="48" t="str">
        <f t="shared" si="46"/>
        <v/>
      </c>
      <c r="Z252" s="48" t="str">
        <f t="shared" si="47"/>
        <v/>
      </c>
      <c r="AA252" s="48" t="str">
        <f t="shared" si="48"/>
        <v/>
      </c>
      <c r="AB252" s="48" t="str">
        <f t="shared" si="57"/>
        <v/>
      </c>
      <c r="AC252" s="48" t="str">
        <f t="shared" si="49"/>
        <v/>
      </c>
      <c r="AD252" s="48" t="str">
        <f t="shared" si="50"/>
        <v/>
      </c>
      <c r="AE252" s="48" t="str">
        <f t="shared" si="51"/>
        <v/>
      </c>
      <c r="AF252" s="48" t="str">
        <f t="shared" si="52"/>
        <v/>
      </c>
      <c r="AG252" s="48" t="str">
        <f t="shared" si="53"/>
        <v/>
      </c>
      <c r="AH252" s="48" t="str">
        <f t="shared" si="54"/>
        <v/>
      </c>
      <c r="AI252" s="48" t="str">
        <f t="shared" si="55"/>
        <v/>
      </c>
      <c r="AJ252" s="48" t="str">
        <f t="shared" si="58"/>
        <v/>
      </c>
      <c r="AK252" s="48" t="str">
        <f t="shared" si="59"/>
        <v/>
      </c>
      <c r="AL252" s="48" t="str">
        <f>IF(W252=0,"",_xlfn.CONCAT(DADOS!$A$8,Y252:AK252,"
"))</f>
        <v/>
      </c>
    </row>
    <row r="253" spans="4:38" s="48" customFormat="1" ht="15" customHeight="1" x14ac:dyDescent="0.25">
      <c r="D253" s="49"/>
      <c r="E253" s="43"/>
      <c r="F253" s="20"/>
      <c r="G253" s="14"/>
      <c r="H253" s="20"/>
      <c r="I253" s="15"/>
      <c r="J253" s="16"/>
      <c r="K253" s="14"/>
      <c r="L253" s="17"/>
      <c r="M253" s="18"/>
      <c r="N253" s="17"/>
      <c r="O253" s="18"/>
      <c r="P253" s="19"/>
      <c r="Q253" s="17"/>
      <c r="R253" s="40"/>
      <c r="S253" s="42">
        <v>239</v>
      </c>
      <c r="T253" s="40"/>
      <c r="V253" s="48" t="str">
        <f t="shared" si="56"/>
        <v/>
      </c>
      <c r="W253" s="48">
        <f t="shared" si="45"/>
        <v>0</v>
      </c>
      <c r="Y253" s="48" t="str">
        <f t="shared" si="46"/>
        <v/>
      </c>
      <c r="Z253" s="48" t="str">
        <f t="shared" si="47"/>
        <v/>
      </c>
      <c r="AA253" s="48" t="str">
        <f t="shared" si="48"/>
        <v/>
      </c>
      <c r="AB253" s="48" t="str">
        <f t="shared" si="57"/>
        <v/>
      </c>
      <c r="AC253" s="48" t="str">
        <f t="shared" si="49"/>
        <v/>
      </c>
      <c r="AD253" s="48" t="str">
        <f t="shared" si="50"/>
        <v/>
      </c>
      <c r="AE253" s="48" t="str">
        <f t="shared" si="51"/>
        <v/>
      </c>
      <c r="AF253" s="48" t="str">
        <f t="shared" si="52"/>
        <v/>
      </c>
      <c r="AG253" s="48" t="str">
        <f t="shared" si="53"/>
        <v/>
      </c>
      <c r="AH253" s="48" t="str">
        <f t="shared" si="54"/>
        <v/>
      </c>
      <c r="AI253" s="48" t="str">
        <f t="shared" si="55"/>
        <v/>
      </c>
      <c r="AJ253" s="48" t="str">
        <f t="shared" si="58"/>
        <v/>
      </c>
      <c r="AK253" s="48" t="str">
        <f t="shared" si="59"/>
        <v/>
      </c>
      <c r="AL253" s="48" t="str">
        <f>IF(W253=0,"",_xlfn.CONCAT(DADOS!$A$8,Y253:AK253,"
"))</f>
        <v/>
      </c>
    </row>
    <row r="254" spans="4:38" s="48" customFormat="1" ht="15" customHeight="1" x14ac:dyDescent="0.25">
      <c r="D254" s="49"/>
      <c r="E254" s="43"/>
      <c r="F254" s="20"/>
      <c r="G254" s="14"/>
      <c r="H254" s="20"/>
      <c r="I254" s="15"/>
      <c r="J254" s="16"/>
      <c r="K254" s="14"/>
      <c r="L254" s="17"/>
      <c r="M254" s="18"/>
      <c r="N254" s="17"/>
      <c r="O254" s="18"/>
      <c r="P254" s="19"/>
      <c r="Q254" s="17"/>
      <c r="R254" s="40"/>
      <c r="S254" s="42">
        <v>240</v>
      </c>
      <c r="T254" s="40"/>
      <c r="V254" s="48" t="str">
        <f t="shared" si="56"/>
        <v/>
      </c>
      <c r="W254" s="48">
        <f t="shared" si="45"/>
        <v>0</v>
      </c>
      <c r="Y254" s="48" t="str">
        <f t="shared" si="46"/>
        <v/>
      </c>
      <c r="Z254" s="48" t="str">
        <f t="shared" si="47"/>
        <v/>
      </c>
      <c r="AA254" s="48" t="str">
        <f t="shared" si="48"/>
        <v/>
      </c>
      <c r="AB254" s="48" t="str">
        <f t="shared" si="57"/>
        <v/>
      </c>
      <c r="AC254" s="48" t="str">
        <f t="shared" si="49"/>
        <v/>
      </c>
      <c r="AD254" s="48" t="str">
        <f t="shared" si="50"/>
        <v/>
      </c>
      <c r="AE254" s="48" t="str">
        <f t="shared" si="51"/>
        <v/>
      </c>
      <c r="AF254" s="48" t="str">
        <f t="shared" si="52"/>
        <v/>
      </c>
      <c r="AG254" s="48" t="str">
        <f t="shared" si="53"/>
        <v/>
      </c>
      <c r="AH254" s="48" t="str">
        <f t="shared" si="54"/>
        <v/>
      </c>
      <c r="AI254" s="48" t="str">
        <f t="shared" si="55"/>
        <v/>
      </c>
      <c r="AJ254" s="48" t="str">
        <f t="shared" si="58"/>
        <v/>
      </c>
      <c r="AK254" s="48" t="str">
        <f t="shared" si="59"/>
        <v/>
      </c>
      <c r="AL254" s="48" t="str">
        <f>IF(W254=0,"",_xlfn.CONCAT(DADOS!$A$8,Y254:AK254,"
"))</f>
        <v/>
      </c>
    </row>
    <row r="255" spans="4:38" s="48" customFormat="1" ht="15" customHeight="1" x14ac:dyDescent="0.25">
      <c r="D255" s="49"/>
      <c r="E255" s="43"/>
      <c r="F255" s="20"/>
      <c r="G255" s="14"/>
      <c r="H255" s="20"/>
      <c r="I255" s="15"/>
      <c r="J255" s="16"/>
      <c r="K255" s="14"/>
      <c r="L255" s="17"/>
      <c r="M255" s="18"/>
      <c r="N255" s="17"/>
      <c r="O255" s="18"/>
      <c r="P255" s="19"/>
      <c r="Q255" s="17"/>
      <c r="R255" s="40"/>
      <c r="S255" s="42">
        <v>241</v>
      </c>
      <c r="T255" s="40"/>
      <c r="V255" s="48" t="str">
        <f t="shared" si="56"/>
        <v/>
      </c>
      <c r="W255" s="48">
        <f t="shared" si="45"/>
        <v>0</v>
      </c>
      <c r="Y255" s="48" t="str">
        <f t="shared" si="46"/>
        <v/>
      </c>
      <c r="Z255" s="48" t="str">
        <f t="shared" si="47"/>
        <v/>
      </c>
      <c r="AA255" s="48" t="str">
        <f t="shared" si="48"/>
        <v/>
      </c>
      <c r="AB255" s="48" t="str">
        <f t="shared" si="57"/>
        <v/>
      </c>
      <c r="AC255" s="48" t="str">
        <f t="shared" si="49"/>
        <v/>
      </c>
      <c r="AD255" s="48" t="str">
        <f t="shared" si="50"/>
        <v/>
      </c>
      <c r="AE255" s="48" t="str">
        <f t="shared" si="51"/>
        <v/>
      </c>
      <c r="AF255" s="48" t="str">
        <f t="shared" si="52"/>
        <v/>
      </c>
      <c r="AG255" s="48" t="str">
        <f t="shared" si="53"/>
        <v/>
      </c>
      <c r="AH255" s="48" t="str">
        <f t="shared" si="54"/>
        <v/>
      </c>
      <c r="AI255" s="48" t="str">
        <f t="shared" si="55"/>
        <v/>
      </c>
      <c r="AJ255" s="48" t="str">
        <f t="shared" si="58"/>
        <v/>
      </c>
      <c r="AK255" s="48" t="str">
        <f t="shared" si="59"/>
        <v/>
      </c>
      <c r="AL255" s="48" t="str">
        <f>IF(W255=0,"",_xlfn.CONCAT(DADOS!$A$8,Y255:AK255,"
"))</f>
        <v/>
      </c>
    </row>
    <row r="256" spans="4:38" s="48" customFormat="1" ht="15" customHeight="1" x14ac:dyDescent="0.25">
      <c r="D256" s="49"/>
      <c r="E256" s="43"/>
      <c r="F256" s="20"/>
      <c r="G256" s="14"/>
      <c r="H256" s="20"/>
      <c r="I256" s="15"/>
      <c r="J256" s="16"/>
      <c r="K256" s="14"/>
      <c r="L256" s="17"/>
      <c r="M256" s="18"/>
      <c r="N256" s="17"/>
      <c r="O256" s="18"/>
      <c r="P256" s="19"/>
      <c r="Q256" s="17"/>
      <c r="R256" s="40"/>
      <c r="S256" s="42">
        <v>242</v>
      </c>
      <c r="T256" s="40"/>
      <c r="V256" s="48" t="str">
        <f t="shared" si="56"/>
        <v/>
      </c>
      <c r="W256" s="48">
        <f t="shared" si="45"/>
        <v>0</v>
      </c>
      <c r="Y256" s="48" t="str">
        <f t="shared" si="46"/>
        <v/>
      </c>
      <c r="Z256" s="48" t="str">
        <f t="shared" si="47"/>
        <v/>
      </c>
      <c r="AA256" s="48" t="str">
        <f t="shared" si="48"/>
        <v/>
      </c>
      <c r="AB256" s="48" t="str">
        <f t="shared" si="57"/>
        <v/>
      </c>
      <c r="AC256" s="48" t="str">
        <f t="shared" si="49"/>
        <v/>
      </c>
      <c r="AD256" s="48" t="str">
        <f t="shared" si="50"/>
        <v/>
      </c>
      <c r="AE256" s="48" t="str">
        <f t="shared" si="51"/>
        <v/>
      </c>
      <c r="AF256" s="48" t="str">
        <f t="shared" si="52"/>
        <v/>
      </c>
      <c r="AG256" s="48" t="str">
        <f t="shared" si="53"/>
        <v/>
      </c>
      <c r="AH256" s="48" t="str">
        <f t="shared" si="54"/>
        <v/>
      </c>
      <c r="AI256" s="48" t="str">
        <f t="shared" si="55"/>
        <v/>
      </c>
      <c r="AJ256" s="48" t="str">
        <f t="shared" si="58"/>
        <v/>
      </c>
      <c r="AK256" s="48" t="str">
        <f t="shared" si="59"/>
        <v/>
      </c>
      <c r="AL256" s="48" t="str">
        <f>IF(W256=0,"",_xlfn.CONCAT(DADOS!$A$8,Y256:AK256,"
"))</f>
        <v/>
      </c>
    </row>
    <row r="257" spans="4:38" s="48" customFormat="1" ht="15" customHeight="1" x14ac:dyDescent="0.25">
      <c r="D257" s="49"/>
      <c r="E257" s="43"/>
      <c r="F257" s="20"/>
      <c r="G257" s="14"/>
      <c r="H257" s="20"/>
      <c r="I257" s="15"/>
      <c r="J257" s="16"/>
      <c r="K257" s="14"/>
      <c r="L257" s="17"/>
      <c r="M257" s="18"/>
      <c r="N257" s="17"/>
      <c r="O257" s="18"/>
      <c r="P257" s="19"/>
      <c r="Q257" s="17"/>
      <c r="R257" s="40"/>
      <c r="S257" s="42">
        <v>243</v>
      </c>
      <c r="T257" s="40"/>
      <c r="V257" s="48" t="str">
        <f t="shared" si="56"/>
        <v/>
      </c>
      <c r="W257" s="48">
        <f t="shared" si="45"/>
        <v>0</v>
      </c>
      <c r="Y257" s="48" t="str">
        <f t="shared" si="46"/>
        <v/>
      </c>
      <c r="Z257" s="48" t="str">
        <f t="shared" si="47"/>
        <v/>
      </c>
      <c r="AA257" s="48" t="str">
        <f t="shared" si="48"/>
        <v/>
      </c>
      <c r="AB257" s="48" t="str">
        <f t="shared" si="57"/>
        <v/>
      </c>
      <c r="AC257" s="48" t="str">
        <f t="shared" si="49"/>
        <v/>
      </c>
      <c r="AD257" s="48" t="str">
        <f t="shared" si="50"/>
        <v/>
      </c>
      <c r="AE257" s="48" t="str">
        <f t="shared" si="51"/>
        <v/>
      </c>
      <c r="AF257" s="48" t="str">
        <f t="shared" si="52"/>
        <v/>
      </c>
      <c r="AG257" s="48" t="str">
        <f t="shared" si="53"/>
        <v/>
      </c>
      <c r="AH257" s="48" t="str">
        <f t="shared" si="54"/>
        <v/>
      </c>
      <c r="AI257" s="48" t="str">
        <f t="shared" si="55"/>
        <v/>
      </c>
      <c r="AJ257" s="48" t="str">
        <f t="shared" si="58"/>
        <v/>
      </c>
      <c r="AK257" s="48" t="str">
        <f t="shared" si="59"/>
        <v/>
      </c>
      <c r="AL257" s="48" t="str">
        <f>IF(W257=0,"",_xlfn.CONCAT(DADOS!$A$8,Y257:AK257,"
"))</f>
        <v/>
      </c>
    </row>
    <row r="258" spans="4:38" s="48" customFormat="1" ht="15" customHeight="1" x14ac:dyDescent="0.25">
      <c r="D258" s="49"/>
      <c r="E258" s="43"/>
      <c r="F258" s="20"/>
      <c r="G258" s="14"/>
      <c r="H258" s="20"/>
      <c r="I258" s="15"/>
      <c r="J258" s="16"/>
      <c r="K258" s="14"/>
      <c r="L258" s="17"/>
      <c r="M258" s="18"/>
      <c r="N258" s="17"/>
      <c r="O258" s="18"/>
      <c r="P258" s="19"/>
      <c r="Q258" s="17"/>
      <c r="R258" s="40"/>
      <c r="S258" s="42">
        <v>244</v>
      </c>
      <c r="T258" s="40"/>
      <c r="V258" s="48" t="str">
        <f t="shared" si="56"/>
        <v/>
      </c>
      <c r="W258" s="48">
        <f t="shared" si="45"/>
        <v>0</v>
      </c>
      <c r="Y258" s="48" t="str">
        <f t="shared" si="46"/>
        <v/>
      </c>
      <c r="Z258" s="48" t="str">
        <f t="shared" si="47"/>
        <v/>
      </c>
      <c r="AA258" s="48" t="str">
        <f t="shared" si="48"/>
        <v/>
      </c>
      <c r="AB258" s="48" t="str">
        <f t="shared" si="57"/>
        <v/>
      </c>
      <c r="AC258" s="48" t="str">
        <f t="shared" si="49"/>
        <v/>
      </c>
      <c r="AD258" s="48" t="str">
        <f t="shared" si="50"/>
        <v/>
      </c>
      <c r="AE258" s="48" t="str">
        <f t="shared" si="51"/>
        <v/>
      </c>
      <c r="AF258" s="48" t="str">
        <f t="shared" si="52"/>
        <v/>
      </c>
      <c r="AG258" s="48" t="str">
        <f t="shared" si="53"/>
        <v/>
      </c>
      <c r="AH258" s="48" t="str">
        <f t="shared" si="54"/>
        <v/>
      </c>
      <c r="AI258" s="48" t="str">
        <f t="shared" si="55"/>
        <v/>
      </c>
      <c r="AJ258" s="48" t="str">
        <f t="shared" si="58"/>
        <v/>
      </c>
      <c r="AK258" s="48" t="str">
        <f t="shared" si="59"/>
        <v/>
      </c>
      <c r="AL258" s="48" t="str">
        <f>IF(W258=0,"",_xlfn.CONCAT(DADOS!$A$8,Y258:AK258,"
"))</f>
        <v/>
      </c>
    </row>
    <row r="259" spans="4:38" s="48" customFormat="1" ht="15" customHeight="1" x14ac:dyDescent="0.25">
      <c r="D259" s="49"/>
      <c r="E259" s="43"/>
      <c r="F259" s="20"/>
      <c r="G259" s="14"/>
      <c r="H259" s="20"/>
      <c r="I259" s="15"/>
      <c r="J259" s="16"/>
      <c r="K259" s="14"/>
      <c r="L259" s="17"/>
      <c r="M259" s="18"/>
      <c r="N259" s="17"/>
      <c r="O259" s="18"/>
      <c r="P259" s="19"/>
      <c r="Q259" s="17"/>
      <c r="R259" s="40"/>
      <c r="S259" s="42">
        <v>245</v>
      </c>
      <c r="T259" s="40"/>
      <c r="V259" s="48" t="str">
        <f t="shared" si="56"/>
        <v/>
      </c>
      <c r="W259" s="48">
        <f t="shared" si="45"/>
        <v>0</v>
      </c>
      <c r="Y259" s="48" t="str">
        <f t="shared" si="46"/>
        <v/>
      </c>
      <c r="Z259" s="48" t="str">
        <f t="shared" si="47"/>
        <v/>
      </c>
      <c r="AA259" s="48" t="str">
        <f t="shared" si="48"/>
        <v/>
      </c>
      <c r="AB259" s="48" t="str">
        <f t="shared" si="57"/>
        <v/>
      </c>
      <c r="AC259" s="48" t="str">
        <f t="shared" si="49"/>
        <v/>
      </c>
      <c r="AD259" s="48" t="str">
        <f t="shared" si="50"/>
        <v/>
      </c>
      <c r="AE259" s="48" t="str">
        <f t="shared" si="51"/>
        <v/>
      </c>
      <c r="AF259" s="48" t="str">
        <f t="shared" si="52"/>
        <v/>
      </c>
      <c r="AG259" s="48" t="str">
        <f t="shared" si="53"/>
        <v/>
      </c>
      <c r="AH259" s="48" t="str">
        <f t="shared" si="54"/>
        <v/>
      </c>
      <c r="AI259" s="48" t="str">
        <f t="shared" si="55"/>
        <v/>
      </c>
      <c r="AJ259" s="48" t="str">
        <f t="shared" si="58"/>
        <v/>
      </c>
      <c r="AK259" s="48" t="str">
        <f t="shared" si="59"/>
        <v/>
      </c>
      <c r="AL259" s="48" t="str">
        <f>IF(W259=0,"",_xlfn.CONCAT(DADOS!$A$8,Y259:AK259,"
"))</f>
        <v/>
      </c>
    </row>
    <row r="260" spans="4:38" s="48" customFormat="1" ht="15" customHeight="1" x14ac:dyDescent="0.25">
      <c r="D260" s="49"/>
      <c r="E260" s="43"/>
      <c r="F260" s="20"/>
      <c r="G260" s="14"/>
      <c r="H260" s="20"/>
      <c r="I260" s="15"/>
      <c r="J260" s="16"/>
      <c r="K260" s="14"/>
      <c r="L260" s="17"/>
      <c r="M260" s="18"/>
      <c r="N260" s="17"/>
      <c r="O260" s="18"/>
      <c r="P260" s="19"/>
      <c r="Q260" s="17"/>
      <c r="R260" s="40"/>
      <c r="S260" s="42">
        <v>246</v>
      </c>
      <c r="T260" s="40"/>
      <c r="V260" s="48" t="str">
        <f t="shared" si="56"/>
        <v/>
      </c>
      <c r="W260" s="48">
        <f t="shared" si="45"/>
        <v>0</v>
      </c>
      <c r="Y260" s="48" t="str">
        <f t="shared" si="46"/>
        <v/>
      </c>
      <c r="Z260" s="48" t="str">
        <f t="shared" si="47"/>
        <v/>
      </c>
      <c r="AA260" s="48" t="str">
        <f t="shared" si="48"/>
        <v/>
      </c>
      <c r="AB260" s="48" t="str">
        <f t="shared" si="57"/>
        <v/>
      </c>
      <c r="AC260" s="48" t="str">
        <f t="shared" si="49"/>
        <v/>
      </c>
      <c r="AD260" s="48" t="str">
        <f t="shared" si="50"/>
        <v/>
      </c>
      <c r="AE260" s="48" t="str">
        <f t="shared" si="51"/>
        <v/>
      </c>
      <c r="AF260" s="48" t="str">
        <f t="shared" si="52"/>
        <v/>
      </c>
      <c r="AG260" s="48" t="str">
        <f t="shared" si="53"/>
        <v/>
      </c>
      <c r="AH260" s="48" t="str">
        <f t="shared" si="54"/>
        <v/>
      </c>
      <c r="AI260" s="48" t="str">
        <f t="shared" si="55"/>
        <v/>
      </c>
      <c r="AJ260" s="48" t="str">
        <f t="shared" si="58"/>
        <v/>
      </c>
      <c r="AK260" s="48" t="str">
        <f t="shared" si="59"/>
        <v/>
      </c>
      <c r="AL260" s="48" t="str">
        <f>IF(W260=0,"",_xlfn.CONCAT(DADOS!$A$8,Y260:AK260,"
"))</f>
        <v/>
      </c>
    </row>
    <row r="261" spans="4:38" s="48" customFormat="1" ht="15" customHeight="1" x14ac:dyDescent="0.25">
      <c r="D261" s="49"/>
      <c r="E261" s="43"/>
      <c r="F261" s="20"/>
      <c r="G261" s="14"/>
      <c r="H261" s="20"/>
      <c r="I261" s="15"/>
      <c r="J261" s="16"/>
      <c r="K261" s="14"/>
      <c r="L261" s="17"/>
      <c r="M261" s="18"/>
      <c r="N261" s="17"/>
      <c r="O261" s="18"/>
      <c r="P261" s="19"/>
      <c r="Q261" s="17"/>
      <c r="R261" s="40"/>
      <c r="S261" s="42">
        <v>247</v>
      </c>
      <c r="T261" s="40"/>
      <c r="V261" s="48" t="str">
        <f t="shared" si="56"/>
        <v/>
      </c>
      <c r="W261" s="48">
        <f t="shared" si="45"/>
        <v>0</v>
      </c>
      <c r="Y261" s="48" t="str">
        <f t="shared" si="46"/>
        <v/>
      </c>
      <c r="Z261" s="48" t="str">
        <f t="shared" si="47"/>
        <v/>
      </c>
      <c r="AA261" s="48" t="str">
        <f t="shared" si="48"/>
        <v/>
      </c>
      <c r="AB261" s="48" t="str">
        <f t="shared" si="57"/>
        <v/>
      </c>
      <c r="AC261" s="48" t="str">
        <f t="shared" si="49"/>
        <v/>
      </c>
      <c r="AD261" s="48" t="str">
        <f t="shared" si="50"/>
        <v/>
      </c>
      <c r="AE261" s="48" t="str">
        <f t="shared" si="51"/>
        <v/>
      </c>
      <c r="AF261" s="48" t="str">
        <f t="shared" si="52"/>
        <v/>
      </c>
      <c r="AG261" s="48" t="str">
        <f t="shared" si="53"/>
        <v/>
      </c>
      <c r="AH261" s="48" t="str">
        <f t="shared" si="54"/>
        <v/>
      </c>
      <c r="AI261" s="48" t="str">
        <f t="shared" si="55"/>
        <v/>
      </c>
      <c r="AJ261" s="48" t="str">
        <f t="shared" si="58"/>
        <v/>
      </c>
      <c r="AK261" s="48" t="str">
        <f t="shared" si="59"/>
        <v/>
      </c>
      <c r="AL261" s="48" t="str">
        <f>IF(W261=0,"",_xlfn.CONCAT(DADOS!$A$8,Y261:AK261,"
"))</f>
        <v/>
      </c>
    </row>
    <row r="262" spans="4:38" s="48" customFormat="1" ht="15" customHeight="1" x14ac:dyDescent="0.25">
      <c r="D262" s="49"/>
      <c r="E262" s="43"/>
      <c r="F262" s="20"/>
      <c r="G262" s="14"/>
      <c r="H262" s="20"/>
      <c r="I262" s="15"/>
      <c r="J262" s="16"/>
      <c r="K262" s="14"/>
      <c r="L262" s="17"/>
      <c r="M262" s="18"/>
      <c r="N262" s="17"/>
      <c r="O262" s="18"/>
      <c r="P262" s="19"/>
      <c r="Q262" s="17"/>
      <c r="R262" s="40"/>
      <c r="S262" s="42">
        <v>248</v>
      </c>
      <c r="T262" s="40"/>
      <c r="V262" s="48" t="str">
        <f t="shared" si="56"/>
        <v/>
      </c>
      <c r="W262" s="48">
        <f t="shared" si="45"/>
        <v>0</v>
      </c>
      <c r="Y262" s="48" t="str">
        <f t="shared" si="46"/>
        <v/>
      </c>
      <c r="Z262" s="48" t="str">
        <f t="shared" si="47"/>
        <v/>
      </c>
      <c r="AA262" s="48" t="str">
        <f t="shared" si="48"/>
        <v/>
      </c>
      <c r="AB262" s="48" t="str">
        <f t="shared" si="57"/>
        <v/>
      </c>
      <c r="AC262" s="48" t="str">
        <f t="shared" si="49"/>
        <v/>
      </c>
      <c r="AD262" s="48" t="str">
        <f t="shared" si="50"/>
        <v/>
      </c>
      <c r="AE262" s="48" t="str">
        <f t="shared" si="51"/>
        <v/>
      </c>
      <c r="AF262" s="48" t="str">
        <f t="shared" si="52"/>
        <v/>
      </c>
      <c r="AG262" s="48" t="str">
        <f t="shared" si="53"/>
        <v/>
      </c>
      <c r="AH262" s="48" t="str">
        <f t="shared" si="54"/>
        <v/>
      </c>
      <c r="AI262" s="48" t="str">
        <f t="shared" si="55"/>
        <v/>
      </c>
      <c r="AJ262" s="48" t="str">
        <f t="shared" si="58"/>
        <v/>
      </c>
      <c r="AK262" s="48" t="str">
        <f t="shared" si="59"/>
        <v/>
      </c>
      <c r="AL262" s="48" t="str">
        <f>IF(W262=0,"",_xlfn.CONCAT(DADOS!$A$8,Y262:AK262,"
"))</f>
        <v/>
      </c>
    </row>
    <row r="263" spans="4:38" s="48" customFormat="1" ht="15" customHeight="1" x14ac:dyDescent="0.25">
      <c r="D263" s="49"/>
      <c r="E263" s="43"/>
      <c r="F263" s="20"/>
      <c r="G263" s="14"/>
      <c r="H263" s="20"/>
      <c r="I263" s="15"/>
      <c r="J263" s="16"/>
      <c r="K263" s="14"/>
      <c r="L263" s="17"/>
      <c r="M263" s="18"/>
      <c r="N263" s="17"/>
      <c r="O263" s="18"/>
      <c r="P263" s="19"/>
      <c r="Q263" s="17"/>
      <c r="R263" s="40"/>
      <c r="S263" s="42">
        <v>249</v>
      </c>
      <c r="T263" s="40"/>
      <c r="V263" s="48" t="str">
        <f t="shared" si="56"/>
        <v/>
      </c>
      <c r="W263" s="48">
        <f t="shared" si="45"/>
        <v>0</v>
      </c>
      <c r="Y263" s="48" t="str">
        <f t="shared" si="46"/>
        <v/>
      </c>
      <c r="Z263" s="48" t="str">
        <f t="shared" si="47"/>
        <v/>
      </c>
      <c r="AA263" s="48" t="str">
        <f t="shared" si="48"/>
        <v/>
      </c>
      <c r="AB263" s="48" t="str">
        <f t="shared" si="57"/>
        <v/>
      </c>
      <c r="AC263" s="48" t="str">
        <f t="shared" si="49"/>
        <v/>
      </c>
      <c r="AD263" s="48" t="str">
        <f t="shared" si="50"/>
        <v/>
      </c>
      <c r="AE263" s="48" t="str">
        <f t="shared" si="51"/>
        <v/>
      </c>
      <c r="AF263" s="48" t="str">
        <f t="shared" si="52"/>
        <v/>
      </c>
      <c r="AG263" s="48" t="str">
        <f t="shared" si="53"/>
        <v/>
      </c>
      <c r="AH263" s="48" t="str">
        <f t="shared" si="54"/>
        <v/>
      </c>
      <c r="AI263" s="48" t="str">
        <f t="shared" si="55"/>
        <v/>
      </c>
      <c r="AJ263" s="48" t="str">
        <f t="shared" si="58"/>
        <v/>
      </c>
      <c r="AK263" s="48" t="str">
        <f t="shared" si="59"/>
        <v/>
      </c>
      <c r="AL263" s="48" t="str">
        <f>IF(W263=0,"",_xlfn.CONCAT(DADOS!$A$8,Y263:AK263,"
"))</f>
        <v/>
      </c>
    </row>
    <row r="264" spans="4:38" s="48" customFormat="1" ht="15" customHeight="1" x14ac:dyDescent="0.25">
      <c r="D264" s="49"/>
      <c r="E264" s="43"/>
      <c r="F264" s="20"/>
      <c r="G264" s="14"/>
      <c r="H264" s="20"/>
      <c r="I264" s="15"/>
      <c r="J264" s="16"/>
      <c r="K264" s="14"/>
      <c r="L264" s="17"/>
      <c r="M264" s="18"/>
      <c r="N264" s="17"/>
      <c r="O264" s="18"/>
      <c r="P264" s="19"/>
      <c r="Q264" s="17"/>
      <c r="R264" s="40"/>
      <c r="S264" s="42">
        <v>250</v>
      </c>
      <c r="T264" s="40"/>
      <c r="V264" s="48" t="str">
        <f t="shared" si="56"/>
        <v/>
      </c>
      <c r="W264" s="48">
        <f t="shared" si="45"/>
        <v>0</v>
      </c>
      <c r="Y264" s="48" t="str">
        <f t="shared" si="46"/>
        <v/>
      </c>
      <c r="Z264" s="48" t="str">
        <f t="shared" si="47"/>
        <v/>
      </c>
      <c r="AA264" s="48" t="str">
        <f t="shared" si="48"/>
        <v/>
      </c>
      <c r="AB264" s="48" t="str">
        <f t="shared" si="57"/>
        <v/>
      </c>
      <c r="AC264" s="48" t="str">
        <f t="shared" si="49"/>
        <v/>
      </c>
      <c r="AD264" s="48" t="str">
        <f t="shared" si="50"/>
        <v/>
      </c>
      <c r="AE264" s="48" t="str">
        <f t="shared" si="51"/>
        <v/>
      </c>
      <c r="AF264" s="48" t="str">
        <f t="shared" si="52"/>
        <v/>
      </c>
      <c r="AG264" s="48" t="str">
        <f t="shared" si="53"/>
        <v/>
      </c>
      <c r="AH264" s="48" t="str">
        <f t="shared" si="54"/>
        <v/>
      </c>
      <c r="AI264" s="48" t="str">
        <f t="shared" si="55"/>
        <v/>
      </c>
      <c r="AJ264" s="48" t="str">
        <f t="shared" si="58"/>
        <v/>
      </c>
      <c r="AK264" s="48" t="str">
        <f t="shared" si="59"/>
        <v/>
      </c>
      <c r="AL264" s="48" t="str">
        <f>IF(W264=0,"",_xlfn.CONCAT(DADOS!$A$8,Y264:AK264,"
"))</f>
        <v/>
      </c>
    </row>
    <row r="265" spans="4:38" s="48" customFormat="1" ht="15" customHeight="1" x14ac:dyDescent="0.25">
      <c r="D265" s="49"/>
      <c r="E265" s="43"/>
      <c r="F265" s="20"/>
      <c r="G265" s="14"/>
      <c r="H265" s="20"/>
      <c r="I265" s="15"/>
      <c r="J265" s="16"/>
      <c r="K265" s="14"/>
      <c r="L265" s="17"/>
      <c r="M265" s="18"/>
      <c r="N265" s="17"/>
      <c r="O265" s="18"/>
      <c r="P265" s="19"/>
      <c r="Q265" s="17"/>
      <c r="R265" s="40"/>
      <c r="S265" s="42">
        <v>251</v>
      </c>
      <c r="T265" s="40"/>
      <c r="V265" s="48" t="str">
        <f t="shared" si="56"/>
        <v/>
      </c>
      <c r="W265" s="48">
        <f t="shared" si="45"/>
        <v>0</v>
      </c>
      <c r="Y265" s="48" t="str">
        <f t="shared" si="46"/>
        <v/>
      </c>
      <c r="Z265" s="48" t="str">
        <f t="shared" si="47"/>
        <v/>
      </c>
      <c r="AA265" s="48" t="str">
        <f t="shared" si="48"/>
        <v/>
      </c>
      <c r="AB265" s="48" t="str">
        <f t="shared" si="57"/>
        <v/>
      </c>
      <c r="AC265" s="48" t="str">
        <f t="shared" si="49"/>
        <v/>
      </c>
      <c r="AD265" s="48" t="str">
        <f t="shared" si="50"/>
        <v/>
      </c>
      <c r="AE265" s="48" t="str">
        <f t="shared" si="51"/>
        <v/>
      </c>
      <c r="AF265" s="48" t="str">
        <f t="shared" si="52"/>
        <v/>
      </c>
      <c r="AG265" s="48" t="str">
        <f t="shared" si="53"/>
        <v/>
      </c>
      <c r="AH265" s="48" t="str">
        <f t="shared" si="54"/>
        <v/>
      </c>
      <c r="AI265" s="48" t="str">
        <f t="shared" si="55"/>
        <v/>
      </c>
      <c r="AJ265" s="48" t="str">
        <f t="shared" si="58"/>
        <v/>
      </c>
      <c r="AK265" s="48" t="str">
        <f t="shared" si="59"/>
        <v/>
      </c>
      <c r="AL265" s="48" t="str">
        <f>IF(W265=0,"",_xlfn.CONCAT(DADOS!$A$8,Y265:AK265,"
"))</f>
        <v/>
      </c>
    </row>
    <row r="266" spans="4:38" s="48" customFormat="1" ht="15" customHeight="1" x14ac:dyDescent="0.25">
      <c r="D266" s="49"/>
      <c r="E266" s="43"/>
      <c r="F266" s="20"/>
      <c r="G266" s="14"/>
      <c r="H266" s="20"/>
      <c r="I266" s="15"/>
      <c r="J266" s="16"/>
      <c r="K266" s="14"/>
      <c r="L266" s="17"/>
      <c r="M266" s="18"/>
      <c r="N266" s="17"/>
      <c r="O266" s="18"/>
      <c r="P266" s="19"/>
      <c r="Q266" s="17"/>
      <c r="R266" s="40"/>
      <c r="S266" s="42">
        <v>252</v>
      </c>
      <c r="T266" s="40"/>
      <c r="V266" s="48" t="str">
        <f t="shared" si="56"/>
        <v/>
      </c>
      <c r="W266" s="48">
        <f t="shared" si="45"/>
        <v>0</v>
      </c>
      <c r="Y266" s="48" t="str">
        <f t="shared" si="46"/>
        <v/>
      </c>
      <c r="Z266" s="48" t="str">
        <f t="shared" si="47"/>
        <v/>
      </c>
      <c r="AA266" s="48" t="str">
        <f t="shared" si="48"/>
        <v/>
      </c>
      <c r="AB266" s="48" t="str">
        <f t="shared" si="57"/>
        <v/>
      </c>
      <c r="AC266" s="48" t="str">
        <f t="shared" si="49"/>
        <v/>
      </c>
      <c r="AD266" s="48" t="str">
        <f t="shared" si="50"/>
        <v/>
      </c>
      <c r="AE266" s="48" t="str">
        <f t="shared" si="51"/>
        <v/>
      </c>
      <c r="AF266" s="48" t="str">
        <f t="shared" si="52"/>
        <v/>
      </c>
      <c r="AG266" s="48" t="str">
        <f t="shared" si="53"/>
        <v/>
      </c>
      <c r="AH266" s="48" t="str">
        <f t="shared" si="54"/>
        <v/>
      </c>
      <c r="AI266" s="48" t="str">
        <f t="shared" si="55"/>
        <v/>
      </c>
      <c r="AJ266" s="48" t="str">
        <f t="shared" si="58"/>
        <v/>
      </c>
      <c r="AK266" s="48" t="str">
        <f t="shared" si="59"/>
        <v/>
      </c>
      <c r="AL266" s="48" t="str">
        <f>IF(W266=0,"",_xlfn.CONCAT(DADOS!$A$8,Y266:AK266,"
"))</f>
        <v/>
      </c>
    </row>
    <row r="267" spans="4:38" s="48" customFormat="1" ht="15" customHeight="1" x14ac:dyDescent="0.25">
      <c r="D267" s="49"/>
      <c r="E267" s="43"/>
      <c r="F267" s="20"/>
      <c r="G267" s="14"/>
      <c r="H267" s="20"/>
      <c r="I267" s="15"/>
      <c r="J267" s="16"/>
      <c r="K267" s="14"/>
      <c r="L267" s="17"/>
      <c r="M267" s="18"/>
      <c r="N267" s="17"/>
      <c r="O267" s="18"/>
      <c r="P267" s="19"/>
      <c r="Q267" s="17"/>
      <c r="R267" s="40"/>
      <c r="S267" s="42">
        <v>253</v>
      </c>
      <c r="T267" s="40"/>
      <c r="V267" s="48" t="str">
        <f t="shared" si="56"/>
        <v/>
      </c>
      <c r="W267" s="48">
        <f t="shared" si="45"/>
        <v>0</v>
      </c>
      <c r="Y267" s="48" t="str">
        <f t="shared" si="46"/>
        <v/>
      </c>
      <c r="Z267" s="48" t="str">
        <f t="shared" si="47"/>
        <v/>
      </c>
      <c r="AA267" s="48" t="str">
        <f t="shared" si="48"/>
        <v/>
      </c>
      <c r="AB267" s="48" t="str">
        <f t="shared" si="57"/>
        <v/>
      </c>
      <c r="AC267" s="48" t="str">
        <f t="shared" si="49"/>
        <v/>
      </c>
      <c r="AD267" s="48" t="str">
        <f t="shared" si="50"/>
        <v/>
      </c>
      <c r="AE267" s="48" t="str">
        <f t="shared" si="51"/>
        <v/>
      </c>
      <c r="AF267" s="48" t="str">
        <f t="shared" si="52"/>
        <v/>
      </c>
      <c r="AG267" s="48" t="str">
        <f t="shared" si="53"/>
        <v/>
      </c>
      <c r="AH267" s="48" t="str">
        <f t="shared" si="54"/>
        <v/>
      </c>
      <c r="AI267" s="48" t="str">
        <f t="shared" si="55"/>
        <v/>
      </c>
      <c r="AJ267" s="48" t="str">
        <f t="shared" si="58"/>
        <v/>
      </c>
      <c r="AK267" s="48" t="str">
        <f t="shared" si="59"/>
        <v/>
      </c>
      <c r="AL267" s="48" t="str">
        <f>IF(W267=0,"",_xlfn.CONCAT(DADOS!$A$8,Y267:AK267,"
"))</f>
        <v/>
      </c>
    </row>
    <row r="268" spans="4:38" s="48" customFormat="1" ht="15" customHeight="1" x14ac:dyDescent="0.25">
      <c r="D268" s="49"/>
      <c r="E268" s="43"/>
      <c r="F268" s="20"/>
      <c r="G268" s="14"/>
      <c r="H268" s="20"/>
      <c r="I268" s="15"/>
      <c r="J268" s="16"/>
      <c r="K268" s="14"/>
      <c r="L268" s="17"/>
      <c r="M268" s="18"/>
      <c r="N268" s="17"/>
      <c r="O268" s="18"/>
      <c r="P268" s="19"/>
      <c r="Q268" s="17"/>
      <c r="R268" s="40"/>
      <c r="S268" s="42">
        <v>254</v>
      </c>
      <c r="T268" s="40"/>
      <c r="V268" s="48" t="str">
        <f t="shared" si="56"/>
        <v/>
      </c>
      <c r="W268" s="48">
        <f t="shared" si="45"/>
        <v>0</v>
      </c>
      <c r="Y268" s="48" t="str">
        <f t="shared" si="46"/>
        <v/>
      </c>
      <c r="Z268" s="48" t="str">
        <f t="shared" si="47"/>
        <v/>
      </c>
      <c r="AA268" s="48" t="str">
        <f t="shared" si="48"/>
        <v/>
      </c>
      <c r="AB268" s="48" t="str">
        <f t="shared" si="57"/>
        <v/>
      </c>
      <c r="AC268" s="48" t="str">
        <f t="shared" si="49"/>
        <v/>
      </c>
      <c r="AD268" s="48" t="str">
        <f t="shared" si="50"/>
        <v/>
      </c>
      <c r="AE268" s="48" t="str">
        <f t="shared" si="51"/>
        <v/>
      </c>
      <c r="AF268" s="48" t="str">
        <f t="shared" si="52"/>
        <v/>
      </c>
      <c r="AG268" s="48" t="str">
        <f t="shared" si="53"/>
        <v/>
      </c>
      <c r="AH268" s="48" t="str">
        <f t="shared" si="54"/>
        <v/>
      </c>
      <c r="AI268" s="48" t="str">
        <f t="shared" si="55"/>
        <v/>
      </c>
      <c r="AJ268" s="48" t="str">
        <f t="shared" si="58"/>
        <v/>
      </c>
      <c r="AK268" s="48" t="str">
        <f t="shared" si="59"/>
        <v/>
      </c>
      <c r="AL268" s="48" t="str">
        <f>IF(W268=0,"",_xlfn.CONCAT(DADOS!$A$8,Y268:AK268,"
"))</f>
        <v/>
      </c>
    </row>
    <row r="269" spans="4:38" s="48" customFormat="1" ht="15" customHeight="1" x14ac:dyDescent="0.25">
      <c r="D269" s="49"/>
      <c r="E269" s="43"/>
      <c r="F269" s="20"/>
      <c r="G269" s="14"/>
      <c r="H269" s="20"/>
      <c r="I269" s="15"/>
      <c r="J269" s="16"/>
      <c r="K269" s="14"/>
      <c r="L269" s="17"/>
      <c r="M269" s="18"/>
      <c r="N269" s="17"/>
      <c r="O269" s="18"/>
      <c r="P269" s="19"/>
      <c r="Q269" s="17"/>
      <c r="R269" s="40"/>
      <c r="S269" s="42">
        <v>255</v>
      </c>
      <c r="T269" s="40"/>
      <c r="V269" s="48" t="str">
        <f t="shared" si="56"/>
        <v/>
      </c>
      <c r="W269" s="48">
        <f t="shared" si="45"/>
        <v>0</v>
      </c>
      <c r="Y269" s="48" t="str">
        <f t="shared" si="46"/>
        <v/>
      </c>
      <c r="Z269" s="48" t="str">
        <f t="shared" si="47"/>
        <v/>
      </c>
      <c r="AA269" s="48" t="str">
        <f t="shared" si="48"/>
        <v/>
      </c>
      <c r="AB269" s="48" t="str">
        <f t="shared" si="57"/>
        <v/>
      </c>
      <c r="AC269" s="48" t="str">
        <f t="shared" si="49"/>
        <v/>
      </c>
      <c r="AD269" s="48" t="str">
        <f t="shared" si="50"/>
        <v/>
      </c>
      <c r="AE269" s="48" t="str">
        <f t="shared" si="51"/>
        <v/>
      </c>
      <c r="AF269" s="48" t="str">
        <f t="shared" si="52"/>
        <v/>
      </c>
      <c r="AG269" s="48" t="str">
        <f t="shared" si="53"/>
        <v/>
      </c>
      <c r="AH269" s="48" t="str">
        <f t="shared" si="54"/>
        <v/>
      </c>
      <c r="AI269" s="48" t="str">
        <f t="shared" si="55"/>
        <v/>
      </c>
      <c r="AJ269" s="48" t="str">
        <f t="shared" si="58"/>
        <v/>
      </c>
      <c r="AK269" s="48" t="str">
        <f t="shared" si="59"/>
        <v/>
      </c>
      <c r="AL269" s="48" t="str">
        <f>IF(W269=0,"",_xlfn.CONCAT(DADOS!$A$8,Y269:AK269,"
"))</f>
        <v/>
      </c>
    </row>
    <row r="270" spans="4:38" s="48" customFormat="1" ht="15" customHeight="1" x14ac:dyDescent="0.25">
      <c r="D270" s="49"/>
      <c r="E270" s="43"/>
      <c r="F270" s="20"/>
      <c r="G270" s="14"/>
      <c r="H270" s="20"/>
      <c r="I270" s="15"/>
      <c r="J270" s="16"/>
      <c r="K270" s="14"/>
      <c r="L270" s="17"/>
      <c r="M270" s="18"/>
      <c r="N270" s="17"/>
      <c r="O270" s="18"/>
      <c r="P270" s="19"/>
      <c r="Q270" s="17"/>
      <c r="R270" s="40"/>
      <c r="S270" s="42">
        <v>256</v>
      </c>
      <c r="T270" s="40"/>
      <c r="V270" s="48" t="str">
        <f t="shared" si="56"/>
        <v/>
      </c>
      <c r="W270" s="48">
        <f t="shared" si="45"/>
        <v>0</v>
      </c>
      <c r="Y270" s="48" t="str">
        <f t="shared" si="46"/>
        <v/>
      </c>
      <c r="Z270" s="48" t="str">
        <f t="shared" si="47"/>
        <v/>
      </c>
      <c r="AA270" s="48" t="str">
        <f t="shared" si="48"/>
        <v/>
      </c>
      <c r="AB270" s="48" t="str">
        <f t="shared" si="57"/>
        <v/>
      </c>
      <c r="AC270" s="48" t="str">
        <f t="shared" si="49"/>
        <v/>
      </c>
      <c r="AD270" s="48" t="str">
        <f t="shared" si="50"/>
        <v/>
      </c>
      <c r="AE270" s="48" t="str">
        <f t="shared" si="51"/>
        <v/>
      </c>
      <c r="AF270" s="48" t="str">
        <f t="shared" si="52"/>
        <v/>
      </c>
      <c r="AG270" s="48" t="str">
        <f t="shared" si="53"/>
        <v/>
      </c>
      <c r="AH270" s="48" t="str">
        <f t="shared" si="54"/>
        <v/>
      </c>
      <c r="AI270" s="48" t="str">
        <f t="shared" si="55"/>
        <v/>
      </c>
      <c r="AJ270" s="48" t="str">
        <f t="shared" si="58"/>
        <v/>
      </c>
      <c r="AK270" s="48" t="str">
        <f t="shared" si="59"/>
        <v/>
      </c>
      <c r="AL270" s="48" t="str">
        <f>IF(W270=0,"",_xlfn.CONCAT(DADOS!$A$8,Y270:AK270,"
"))</f>
        <v/>
      </c>
    </row>
    <row r="271" spans="4:38" s="48" customFormat="1" ht="15" customHeight="1" x14ac:dyDescent="0.25">
      <c r="D271" s="49"/>
      <c r="E271" s="43"/>
      <c r="F271" s="20"/>
      <c r="G271" s="14"/>
      <c r="H271" s="20"/>
      <c r="I271" s="15"/>
      <c r="J271" s="16"/>
      <c r="K271" s="14"/>
      <c r="L271" s="17"/>
      <c r="M271" s="18"/>
      <c r="N271" s="17"/>
      <c r="O271" s="18"/>
      <c r="P271" s="19"/>
      <c r="Q271" s="17"/>
      <c r="R271" s="40"/>
      <c r="S271" s="42">
        <v>257</v>
      </c>
      <c r="T271" s="40"/>
      <c r="V271" s="48" t="str">
        <f t="shared" si="56"/>
        <v/>
      </c>
      <c r="W271" s="48">
        <f t="shared" ref="W271:W334" si="60">IF(E271="",0,1)</f>
        <v>0</v>
      </c>
      <c r="Y271" s="48" t="str">
        <f t="shared" ref="Y271:Y334" si="61">_xlfn.CONCAT(E271,IF(LEN(E271)=1,"  ",IF(LEN(E271)=2," ","")))</f>
        <v/>
      </c>
      <c r="Z271" s="48" t="str">
        <f t="shared" ref="Z271:Z334" si="62">_xlfn.CONCAT(F271,IF(LEN(F271)=1,"  ",IF(LEN(F271)=2," ","")))</f>
        <v/>
      </c>
      <c r="AA271" s="48" t="str">
        <f t="shared" ref="AA271:AA334" si="63">IF(W271=0,"",G271)</f>
        <v/>
      </c>
      <c r="AB271" s="48" t="str">
        <f t="shared" si="57"/>
        <v/>
      </c>
      <c r="AC271" s="48" t="str">
        <f t="shared" ref="AC271:AC334" si="64">IF(W271=0,"",IF(LEN(I271)=1,_xlfn.CONCAT(0,I271),I271))</f>
        <v/>
      </c>
      <c r="AD271" s="48" t="str">
        <f t="shared" ref="AD271:AD334" si="65">IF(I271=20,"",(IF(I271=8,IF(LEN(J271)=1,_xlfn.CONCAT("00",J271),IF(LEN(J271)=2,_xlfn.CONCAT("0",J271),J271)),"")))</f>
        <v/>
      </c>
      <c r="AE271" s="48" t="str">
        <f t="shared" ref="AE271:AE334" si="66">IF(I271=20,"",IF(I271=8,IF(LEN(K271)=1,_xlfn.CONCAT(0,K271),K271),""))</f>
        <v/>
      </c>
      <c r="AF271" s="48" t="str">
        <f t="shared" ref="AF271:AF334" si="67">IF(I271=8,L271,"")</f>
        <v/>
      </c>
      <c r="AG271" s="48" t="str">
        <f t="shared" ref="AG271:AG334" si="68">IF(W271=0,"",IF($I271=20,"",IF(LEN(M271)=1,_xlfn.CONCAT("00",M271),IF(LEN(M271)=2,_xlfn.CONCAT("0",M271),M271))))</f>
        <v/>
      </c>
      <c r="AH271" s="48" t="str">
        <f t="shared" ref="AH271:AH334" si="69">IF(W271=0,"",IF($I271=20,"",IF(LEN(N271)=1,_xlfn.CONCAT(0,N271),N271)))</f>
        <v/>
      </c>
      <c r="AI271" s="48" t="str">
        <f t="shared" ref="AI271:AI334" si="70">IF(W271=0,"",IF($I271=20,"",IF(LEN(P271)=3,_xlfn.CONCAT("00",P271),_xlfn.CONCAT("0",P271))))</f>
        <v/>
      </c>
      <c r="AJ271" s="48" t="str">
        <f t="shared" si="58"/>
        <v/>
      </c>
      <c r="AK271" s="48" t="str">
        <f t="shared" si="59"/>
        <v/>
      </c>
      <c r="AL271" s="48" t="str">
        <f>IF(W271=0,"",_xlfn.CONCAT(DADOS!$A$8,Y271:AK271,"
"))</f>
        <v/>
      </c>
    </row>
    <row r="272" spans="4:38" s="48" customFormat="1" ht="15" customHeight="1" x14ac:dyDescent="0.25">
      <c r="D272" s="49"/>
      <c r="E272" s="43"/>
      <c r="F272" s="20"/>
      <c r="G272" s="14"/>
      <c r="H272" s="20"/>
      <c r="I272" s="15"/>
      <c r="J272" s="16"/>
      <c r="K272" s="14"/>
      <c r="L272" s="17"/>
      <c r="M272" s="18"/>
      <c r="N272" s="17"/>
      <c r="O272" s="18"/>
      <c r="P272" s="19"/>
      <c r="Q272" s="17"/>
      <c r="R272" s="40"/>
      <c r="S272" s="42">
        <v>258</v>
      </c>
      <c r="T272" s="40"/>
      <c r="V272" s="48" t="str">
        <f t="shared" ref="V272:V335" si="71">IF(E272="","",IF(R273="",IF(R272&lt;21,1,0),0))</f>
        <v/>
      </c>
      <c r="W272" s="48">
        <f t="shared" si="60"/>
        <v>0</v>
      </c>
      <c r="Y272" s="48" t="str">
        <f t="shared" si="61"/>
        <v/>
      </c>
      <c r="Z272" s="48" t="str">
        <f t="shared" si="62"/>
        <v/>
      </c>
      <c r="AA272" s="48" t="str">
        <f t="shared" si="63"/>
        <v/>
      </c>
      <c r="AB272" s="48" t="str">
        <f t="shared" ref="AB272:AB335" si="72">IF(OR(G272=0,G272=4),"",H272)</f>
        <v/>
      </c>
      <c r="AC272" s="48" t="str">
        <f t="shared" si="64"/>
        <v/>
      </c>
      <c r="AD272" s="48" t="str">
        <f t="shared" si="65"/>
        <v/>
      </c>
      <c r="AE272" s="48" t="str">
        <f t="shared" si="66"/>
        <v/>
      </c>
      <c r="AF272" s="48" t="str">
        <f t="shared" si="67"/>
        <v/>
      </c>
      <c r="AG272" s="48" t="str">
        <f t="shared" si="68"/>
        <v/>
      </c>
      <c r="AH272" s="48" t="str">
        <f t="shared" si="69"/>
        <v/>
      </c>
      <c r="AI272" s="48" t="str">
        <f t="shared" si="70"/>
        <v/>
      </c>
      <c r="AJ272" s="48" t="str">
        <f t="shared" ref="AJ272:AJ335" si="73">IF(W272=0,"",IF(I272=20,"",_xlfn.CONCAT(ROUNDUP(R272*10,0),$AK$14)))</f>
        <v/>
      </c>
      <c r="AK272" s="48" t="str">
        <f t="shared" ref="AK272:AK335" si="74">IF(W272=0,"",IF(R272&lt;999,$AK$14,""))</f>
        <v/>
      </c>
      <c r="AL272" s="48" t="str">
        <f>IF(W272=0,"",_xlfn.CONCAT(DADOS!$A$8,Y272:AK272,"
"))</f>
        <v/>
      </c>
    </row>
    <row r="273" spans="4:38" s="48" customFormat="1" ht="15" customHeight="1" x14ac:dyDescent="0.25">
      <c r="D273" s="49"/>
      <c r="E273" s="43"/>
      <c r="F273" s="20"/>
      <c r="G273" s="14"/>
      <c r="H273" s="20"/>
      <c r="I273" s="15"/>
      <c r="J273" s="16"/>
      <c r="K273" s="14"/>
      <c r="L273" s="17"/>
      <c r="M273" s="18"/>
      <c r="N273" s="17"/>
      <c r="O273" s="18"/>
      <c r="P273" s="19"/>
      <c r="Q273" s="17"/>
      <c r="R273" s="40"/>
      <c r="S273" s="42">
        <v>259</v>
      </c>
      <c r="T273" s="40"/>
      <c r="V273" s="48" t="str">
        <f t="shared" si="71"/>
        <v/>
      </c>
      <c r="W273" s="48">
        <f t="shared" si="60"/>
        <v>0</v>
      </c>
      <c r="Y273" s="48" t="str">
        <f t="shared" si="61"/>
        <v/>
      </c>
      <c r="Z273" s="48" t="str">
        <f t="shared" si="62"/>
        <v/>
      </c>
      <c r="AA273" s="48" t="str">
        <f t="shared" si="63"/>
        <v/>
      </c>
      <c r="AB273" s="48" t="str">
        <f t="shared" si="72"/>
        <v/>
      </c>
      <c r="AC273" s="48" t="str">
        <f t="shared" si="64"/>
        <v/>
      </c>
      <c r="AD273" s="48" t="str">
        <f t="shared" si="65"/>
        <v/>
      </c>
      <c r="AE273" s="48" t="str">
        <f t="shared" si="66"/>
        <v/>
      </c>
      <c r="AF273" s="48" t="str">
        <f t="shared" si="67"/>
        <v/>
      </c>
      <c r="AG273" s="48" t="str">
        <f t="shared" si="68"/>
        <v/>
      </c>
      <c r="AH273" s="48" t="str">
        <f t="shared" si="69"/>
        <v/>
      </c>
      <c r="AI273" s="48" t="str">
        <f t="shared" si="70"/>
        <v/>
      </c>
      <c r="AJ273" s="48" t="str">
        <f t="shared" si="73"/>
        <v/>
      </c>
      <c r="AK273" s="48" t="str">
        <f t="shared" si="74"/>
        <v/>
      </c>
      <c r="AL273" s="48" t="str">
        <f>IF(W273=0,"",_xlfn.CONCAT(DADOS!$A$8,Y273:AK273,"
"))</f>
        <v/>
      </c>
    </row>
    <row r="274" spans="4:38" s="48" customFormat="1" ht="15" customHeight="1" x14ac:dyDescent="0.25">
      <c r="D274" s="49"/>
      <c r="E274" s="43"/>
      <c r="F274" s="20"/>
      <c r="G274" s="14"/>
      <c r="H274" s="20"/>
      <c r="I274" s="15"/>
      <c r="J274" s="16"/>
      <c r="K274" s="14"/>
      <c r="L274" s="17"/>
      <c r="M274" s="18"/>
      <c r="N274" s="17"/>
      <c r="O274" s="18"/>
      <c r="P274" s="19"/>
      <c r="Q274" s="17"/>
      <c r="R274" s="40"/>
      <c r="S274" s="42">
        <v>260</v>
      </c>
      <c r="T274" s="40"/>
      <c r="V274" s="48" t="str">
        <f t="shared" si="71"/>
        <v/>
      </c>
      <c r="W274" s="48">
        <f t="shared" si="60"/>
        <v>0</v>
      </c>
      <c r="Y274" s="48" t="str">
        <f t="shared" si="61"/>
        <v/>
      </c>
      <c r="Z274" s="48" t="str">
        <f t="shared" si="62"/>
        <v/>
      </c>
      <c r="AA274" s="48" t="str">
        <f t="shared" si="63"/>
        <v/>
      </c>
      <c r="AB274" s="48" t="str">
        <f t="shared" si="72"/>
        <v/>
      </c>
      <c r="AC274" s="48" t="str">
        <f t="shared" si="64"/>
        <v/>
      </c>
      <c r="AD274" s="48" t="str">
        <f t="shared" si="65"/>
        <v/>
      </c>
      <c r="AE274" s="48" t="str">
        <f t="shared" si="66"/>
        <v/>
      </c>
      <c r="AF274" s="48" t="str">
        <f t="shared" si="67"/>
        <v/>
      </c>
      <c r="AG274" s="48" t="str">
        <f t="shared" si="68"/>
        <v/>
      </c>
      <c r="AH274" s="48" t="str">
        <f t="shared" si="69"/>
        <v/>
      </c>
      <c r="AI274" s="48" t="str">
        <f t="shared" si="70"/>
        <v/>
      </c>
      <c r="AJ274" s="48" t="str">
        <f t="shared" si="73"/>
        <v/>
      </c>
      <c r="AK274" s="48" t="str">
        <f t="shared" si="74"/>
        <v/>
      </c>
      <c r="AL274" s="48" t="str">
        <f>IF(W274=0,"",_xlfn.CONCAT(DADOS!$A$8,Y274:AK274,"
"))</f>
        <v/>
      </c>
    </row>
    <row r="275" spans="4:38" s="48" customFormat="1" ht="15" customHeight="1" x14ac:dyDescent="0.25">
      <c r="D275" s="49"/>
      <c r="E275" s="43"/>
      <c r="F275" s="20"/>
      <c r="G275" s="14"/>
      <c r="H275" s="20"/>
      <c r="I275" s="15"/>
      <c r="J275" s="16"/>
      <c r="K275" s="14"/>
      <c r="L275" s="17"/>
      <c r="M275" s="18"/>
      <c r="N275" s="17"/>
      <c r="O275" s="18"/>
      <c r="P275" s="19"/>
      <c r="Q275" s="17"/>
      <c r="R275" s="40"/>
      <c r="S275" s="42">
        <v>261</v>
      </c>
      <c r="T275" s="40"/>
      <c r="V275" s="48" t="str">
        <f t="shared" si="71"/>
        <v/>
      </c>
      <c r="W275" s="48">
        <f t="shared" si="60"/>
        <v>0</v>
      </c>
      <c r="Y275" s="48" t="str">
        <f t="shared" si="61"/>
        <v/>
      </c>
      <c r="Z275" s="48" t="str">
        <f t="shared" si="62"/>
        <v/>
      </c>
      <c r="AA275" s="48" t="str">
        <f t="shared" si="63"/>
        <v/>
      </c>
      <c r="AB275" s="48" t="str">
        <f t="shared" si="72"/>
        <v/>
      </c>
      <c r="AC275" s="48" t="str">
        <f t="shared" si="64"/>
        <v/>
      </c>
      <c r="AD275" s="48" t="str">
        <f t="shared" si="65"/>
        <v/>
      </c>
      <c r="AE275" s="48" t="str">
        <f t="shared" si="66"/>
        <v/>
      </c>
      <c r="AF275" s="48" t="str">
        <f t="shared" si="67"/>
        <v/>
      </c>
      <c r="AG275" s="48" t="str">
        <f t="shared" si="68"/>
        <v/>
      </c>
      <c r="AH275" s="48" t="str">
        <f t="shared" si="69"/>
        <v/>
      </c>
      <c r="AI275" s="48" t="str">
        <f t="shared" si="70"/>
        <v/>
      </c>
      <c r="AJ275" s="48" t="str">
        <f t="shared" si="73"/>
        <v/>
      </c>
      <c r="AK275" s="48" t="str">
        <f t="shared" si="74"/>
        <v/>
      </c>
      <c r="AL275" s="48" t="str">
        <f>IF(W275=0,"",_xlfn.CONCAT(DADOS!$A$8,Y275:AK275,"
"))</f>
        <v/>
      </c>
    </row>
    <row r="276" spans="4:38" s="48" customFormat="1" ht="15" customHeight="1" x14ac:dyDescent="0.25">
      <c r="D276" s="49"/>
      <c r="E276" s="43"/>
      <c r="F276" s="20"/>
      <c r="G276" s="14"/>
      <c r="H276" s="20"/>
      <c r="I276" s="15"/>
      <c r="J276" s="16"/>
      <c r="K276" s="14"/>
      <c r="L276" s="17"/>
      <c r="M276" s="18"/>
      <c r="N276" s="17"/>
      <c r="O276" s="18"/>
      <c r="P276" s="19"/>
      <c r="Q276" s="17"/>
      <c r="R276" s="40"/>
      <c r="S276" s="42">
        <v>262</v>
      </c>
      <c r="T276" s="40"/>
      <c r="V276" s="48" t="str">
        <f t="shared" si="71"/>
        <v/>
      </c>
      <c r="W276" s="48">
        <f t="shared" si="60"/>
        <v>0</v>
      </c>
      <c r="Y276" s="48" t="str">
        <f t="shared" si="61"/>
        <v/>
      </c>
      <c r="Z276" s="48" t="str">
        <f t="shared" si="62"/>
        <v/>
      </c>
      <c r="AA276" s="48" t="str">
        <f t="shared" si="63"/>
        <v/>
      </c>
      <c r="AB276" s="48" t="str">
        <f t="shared" si="72"/>
        <v/>
      </c>
      <c r="AC276" s="48" t="str">
        <f t="shared" si="64"/>
        <v/>
      </c>
      <c r="AD276" s="48" t="str">
        <f t="shared" si="65"/>
        <v/>
      </c>
      <c r="AE276" s="48" t="str">
        <f t="shared" si="66"/>
        <v/>
      </c>
      <c r="AF276" s="48" t="str">
        <f t="shared" si="67"/>
        <v/>
      </c>
      <c r="AG276" s="48" t="str">
        <f t="shared" si="68"/>
        <v/>
      </c>
      <c r="AH276" s="48" t="str">
        <f t="shared" si="69"/>
        <v/>
      </c>
      <c r="AI276" s="48" t="str">
        <f t="shared" si="70"/>
        <v/>
      </c>
      <c r="AJ276" s="48" t="str">
        <f t="shared" si="73"/>
        <v/>
      </c>
      <c r="AK276" s="48" t="str">
        <f t="shared" si="74"/>
        <v/>
      </c>
      <c r="AL276" s="48" t="str">
        <f>IF(W276=0,"",_xlfn.CONCAT(DADOS!$A$8,Y276:AK276,"
"))</f>
        <v/>
      </c>
    </row>
    <row r="277" spans="4:38" s="48" customFormat="1" ht="15" customHeight="1" x14ac:dyDescent="0.25">
      <c r="D277" s="49"/>
      <c r="E277" s="43"/>
      <c r="F277" s="20"/>
      <c r="G277" s="14"/>
      <c r="H277" s="20"/>
      <c r="I277" s="15"/>
      <c r="J277" s="16"/>
      <c r="K277" s="14"/>
      <c r="L277" s="17"/>
      <c r="M277" s="18"/>
      <c r="N277" s="17"/>
      <c r="O277" s="18"/>
      <c r="P277" s="19"/>
      <c r="Q277" s="17"/>
      <c r="R277" s="40"/>
      <c r="S277" s="42">
        <v>263</v>
      </c>
      <c r="T277" s="40"/>
      <c r="V277" s="48" t="str">
        <f t="shared" si="71"/>
        <v/>
      </c>
      <c r="W277" s="48">
        <f t="shared" si="60"/>
        <v>0</v>
      </c>
      <c r="Y277" s="48" t="str">
        <f t="shared" si="61"/>
        <v/>
      </c>
      <c r="Z277" s="48" t="str">
        <f t="shared" si="62"/>
        <v/>
      </c>
      <c r="AA277" s="48" t="str">
        <f t="shared" si="63"/>
        <v/>
      </c>
      <c r="AB277" s="48" t="str">
        <f t="shared" si="72"/>
        <v/>
      </c>
      <c r="AC277" s="48" t="str">
        <f t="shared" si="64"/>
        <v/>
      </c>
      <c r="AD277" s="48" t="str">
        <f t="shared" si="65"/>
        <v/>
      </c>
      <c r="AE277" s="48" t="str">
        <f t="shared" si="66"/>
        <v/>
      </c>
      <c r="AF277" s="48" t="str">
        <f t="shared" si="67"/>
        <v/>
      </c>
      <c r="AG277" s="48" t="str">
        <f t="shared" si="68"/>
        <v/>
      </c>
      <c r="AH277" s="48" t="str">
        <f t="shared" si="69"/>
        <v/>
      </c>
      <c r="AI277" s="48" t="str">
        <f t="shared" si="70"/>
        <v/>
      </c>
      <c r="AJ277" s="48" t="str">
        <f t="shared" si="73"/>
        <v/>
      </c>
      <c r="AK277" s="48" t="str">
        <f t="shared" si="74"/>
        <v/>
      </c>
      <c r="AL277" s="48" t="str">
        <f>IF(W277=0,"",_xlfn.CONCAT(DADOS!$A$8,Y277:AK277,"
"))</f>
        <v/>
      </c>
    </row>
    <row r="278" spans="4:38" s="48" customFormat="1" ht="15" customHeight="1" x14ac:dyDescent="0.25">
      <c r="D278" s="49"/>
      <c r="E278" s="43"/>
      <c r="F278" s="20"/>
      <c r="G278" s="14"/>
      <c r="H278" s="20"/>
      <c r="I278" s="15"/>
      <c r="J278" s="16"/>
      <c r="K278" s="14"/>
      <c r="L278" s="17"/>
      <c r="M278" s="18"/>
      <c r="N278" s="17"/>
      <c r="O278" s="18"/>
      <c r="P278" s="19"/>
      <c r="Q278" s="17"/>
      <c r="R278" s="40"/>
      <c r="S278" s="42">
        <v>264</v>
      </c>
      <c r="T278" s="40"/>
      <c r="V278" s="48" t="str">
        <f t="shared" si="71"/>
        <v/>
      </c>
      <c r="W278" s="48">
        <f t="shared" si="60"/>
        <v>0</v>
      </c>
      <c r="Y278" s="48" t="str">
        <f t="shared" si="61"/>
        <v/>
      </c>
      <c r="Z278" s="48" t="str">
        <f t="shared" si="62"/>
        <v/>
      </c>
      <c r="AA278" s="48" t="str">
        <f t="shared" si="63"/>
        <v/>
      </c>
      <c r="AB278" s="48" t="str">
        <f t="shared" si="72"/>
        <v/>
      </c>
      <c r="AC278" s="48" t="str">
        <f t="shared" si="64"/>
        <v/>
      </c>
      <c r="AD278" s="48" t="str">
        <f t="shared" si="65"/>
        <v/>
      </c>
      <c r="AE278" s="48" t="str">
        <f t="shared" si="66"/>
        <v/>
      </c>
      <c r="AF278" s="48" t="str">
        <f t="shared" si="67"/>
        <v/>
      </c>
      <c r="AG278" s="48" t="str">
        <f t="shared" si="68"/>
        <v/>
      </c>
      <c r="AH278" s="48" t="str">
        <f t="shared" si="69"/>
        <v/>
      </c>
      <c r="AI278" s="48" t="str">
        <f t="shared" si="70"/>
        <v/>
      </c>
      <c r="AJ278" s="48" t="str">
        <f t="shared" si="73"/>
        <v/>
      </c>
      <c r="AK278" s="48" t="str">
        <f t="shared" si="74"/>
        <v/>
      </c>
      <c r="AL278" s="48" t="str">
        <f>IF(W278=0,"",_xlfn.CONCAT(DADOS!$A$8,Y278:AK278,"
"))</f>
        <v/>
      </c>
    </row>
    <row r="279" spans="4:38" s="48" customFormat="1" ht="15" customHeight="1" x14ac:dyDescent="0.25">
      <c r="D279" s="49"/>
      <c r="E279" s="43"/>
      <c r="F279" s="20"/>
      <c r="G279" s="14"/>
      <c r="H279" s="20"/>
      <c r="I279" s="15"/>
      <c r="J279" s="16"/>
      <c r="K279" s="14"/>
      <c r="L279" s="17"/>
      <c r="M279" s="18"/>
      <c r="N279" s="17"/>
      <c r="O279" s="18"/>
      <c r="P279" s="19"/>
      <c r="Q279" s="17"/>
      <c r="R279" s="40"/>
      <c r="S279" s="42">
        <v>265</v>
      </c>
      <c r="T279" s="40"/>
      <c r="V279" s="48" t="str">
        <f t="shared" si="71"/>
        <v/>
      </c>
      <c r="W279" s="48">
        <f t="shared" si="60"/>
        <v>0</v>
      </c>
      <c r="Y279" s="48" t="str">
        <f t="shared" si="61"/>
        <v/>
      </c>
      <c r="Z279" s="48" t="str">
        <f t="shared" si="62"/>
        <v/>
      </c>
      <c r="AA279" s="48" t="str">
        <f t="shared" si="63"/>
        <v/>
      </c>
      <c r="AB279" s="48" t="str">
        <f t="shared" si="72"/>
        <v/>
      </c>
      <c r="AC279" s="48" t="str">
        <f t="shared" si="64"/>
        <v/>
      </c>
      <c r="AD279" s="48" t="str">
        <f t="shared" si="65"/>
        <v/>
      </c>
      <c r="AE279" s="48" t="str">
        <f t="shared" si="66"/>
        <v/>
      </c>
      <c r="AF279" s="48" t="str">
        <f t="shared" si="67"/>
        <v/>
      </c>
      <c r="AG279" s="48" t="str">
        <f t="shared" si="68"/>
        <v/>
      </c>
      <c r="AH279" s="48" t="str">
        <f t="shared" si="69"/>
        <v/>
      </c>
      <c r="AI279" s="48" t="str">
        <f t="shared" si="70"/>
        <v/>
      </c>
      <c r="AJ279" s="48" t="str">
        <f t="shared" si="73"/>
        <v/>
      </c>
      <c r="AK279" s="48" t="str">
        <f t="shared" si="74"/>
        <v/>
      </c>
      <c r="AL279" s="48" t="str">
        <f>IF(W279=0,"",_xlfn.CONCAT(DADOS!$A$8,Y279:AK279,"
"))</f>
        <v/>
      </c>
    </row>
    <row r="280" spans="4:38" s="48" customFormat="1" ht="15" customHeight="1" x14ac:dyDescent="0.25">
      <c r="D280" s="49"/>
      <c r="E280" s="43"/>
      <c r="F280" s="20"/>
      <c r="G280" s="14"/>
      <c r="H280" s="20"/>
      <c r="I280" s="15"/>
      <c r="J280" s="16"/>
      <c r="K280" s="14"/>
      <c r="L280" s="17"/>
      <c r="M280" s="18"/>
      <c r="N280" s="17"/>
      <c r="O280" s="18"/>
      <c r="P280" s="19"/>
      <c r="Q280" s="17"/>
      <c r="R280" s="40"/>
      <c r="S280" s="42">
        <v>266</v>
      </c>
      <c r="T280" s="40"/>
      <c r="V280" s="48" t="str">
        <f t="shared" si="71"/>
        <v/>
      </c>
      <c r="W280" s="48">
        <f t="shared" si="60"/>
        <v>0</v>
      </c>
      <c r="Y280" s="48" t="str">
        <f t="shared" si="61"/>
        <v/>
      </c>
      <c r="Z280" s="48" t="str">
        <f t="shared" si="62"/>
        <v/>
      </c>
      <c r="AA280" s="48" t="str">
        <f t="shared" si="63"/>
        <v/>
      </c>
      <c r="AB280" s="48" t="str">
        <f t="shared" si="72"/>
        <v/>
      </c>
      <c r="AC280" s="48" t="str">
        <f t="shared" si="64"/>
        <v/>
      </c>
      <c r="AD280" s="48" t="str">
        <f t="shared" si="65"/>
        <v/>
      </c>
      <c r="AE280" s="48" t="str">
        <f t="shared" si="66"/>
        <v/>
      </c>
      <c r="AF280" s="48" t="str">
        <f t="shared" si="67"/>
        <v/>
      </c>
      <c r="AG280" s="48" t="str">
        <f t="shared" si="68"/>
        <v/>
      </c>
      <c r="AH280" s="48" t="str">
        <f t="shared" si="69"/>
        <v/>
      </c>
      <c r="AI280" s="48" t="str">
        <f t="shared" si="70"/>
        <v/>
      </c>
      <c r="AJ280" s="48" t="str">
        <f t="shared" si="73"/>
        <v/>
      </c>
      <c r="AK280" s="48" t="str">
        <f t="shared" si="74"/>
        <v/>
      </c>
      <c r="AL280" s="48" t="str">
        <f>IF(W280=0,"",_xlfn.CONCAT(DADOS!$A$8,Y280:AK280,"
"))</f>
        <v/>
      </c>
    </row>
    <row r="281" spans="4:38" s="48" customFormat="1" ht="15" customHeight="1" x14ac:dyDescent="0.25">
      <c r="D281" s="49"/>
      <c r="E281" s="43"/>
      <c r="F281" s="20"/>
      <c r="G281" s="14"/>
      <c r="H281" s="20"/>
      <c r="I281" s="15"/>
      <c r="J281" s="16"/>
      <c r="K281" s="14"/>
      <c r="L281" s="17"/>
      <c r="M281" s="18"/>
      <c r="N281" s="17"/>
      <c r="O281" s="18"/>
      <c r="P281" s="19"/>
      <c r="Q281" s="17"/>
      <c r="R281" s="40"/>
      <c r="S281" s="42">
        <v>267</v>
      </c>
      <c r="T281" s="40"/>
      <c r="V281" s="48" t="str">
        <f t="shared" si="71"/>
        <v/>
      </c>
      <c r="W281" s="48">
        <f t="shared" si="60"/>
        <v>0</v>
      </c>
      <c r="Y281" s="48" t="str">
        <f t="shared" si="61"/>
        <v/>
      </c>
      <c r="Z281" s="48" t="str">
        <f t="shared" si="62"/>
        <v/>
      </c>
      <c r="AA281" s="48" t="str">
        <f t="shared" si="63"/>
        <v/>
      </c>
      <c r="AB281" s="48" t="str">
        <f t="shared" si="72"/>
        <v/>
      </c>
      <c r="AC281" s="48" t="str">
        <f t="shared" si="64"/>
        <v/>
      </c>
      <c r="AD281" s="48" t="str">
        <f t="shared" si="65"/>
        <v/>
      </c>
      <c r="AE281" s="48" t="str">
        <f t="shared" si="66"/>
        <v/>
      </c>
      <c r="AF281" s="48" t="str">
        <f t="shared" si="67"/>
        <v/>
      </c>
      <c r="AG281" s="48" t="str">
        <f t="shared" si="68"/>
        <v/>
      </c>
      <c r="AH281" s="48" t="str">
        <f t="shared" si="69"/>
        <v/>
      </c>
      <c r="AI281" s="48" t="str">
        <f t="shared" si="70"/>
        <v/>
      </c>
      <c r="AJ281" s="48" t="str">
        <f t="shared" si="73"/>
        <v/>
      </c>
      <c r="AK281" s="48" t="str">
        <f t="shared" si="74"/>
        <v/>
      </c>
      <c r="AL281" s="48" t="str">
        <f>IF(W281=0,"",_xlfn.CONCAT(DADOS!$A$8,Y281:AK281,"
"))</f>
        <v/>
      </c>
    </row>
    <row r="282" spans="4:38" s="48" customFormat="1" ht="15" customHeight="1" x14ac:dyDescent="0.25">
      <c r="D282" s="49"/>
      <c r="E282" s="43"/>
      <c r="F282" s="20"/>
      <c r="G282" s="14"/>
      <c r="H282" s="20"/>
      <c r="I282" s="15"/>
      <c r="J282" s="16"/>
      <c r="K282" s="14"/>
      <c r="L282" s="17"/>
      <c r="M282" s="18"/>
      <c r="N282" s="17"/>
      <c r="O282" s="18"/>
      <c r="P282" s="19"/>
      <c r="Q282" s="17"/>
      <c r="R282" s="40"/>
      <c r="S282" s="42">
        <v>268</v>
      </c>
      <c r="T282" s="40"/>
      <c r="V282" s="48" t="str">
        <f t="shared" si="71"/>
        <v/>
      </c>
      <c r="W282" s="48">
        <f t="shared" si="60"/>
        <v>0</v>
      </c>
      <c r="Y282" s="48" t="str">
        <f t="shared" si="61"/>
        <v/>
      </c>
      <c r="Z282" s="48" t="str">
        <f t="shared" si="62"/>
        <v/>
      </c>
      <c r="AA282" s="48" t="str">
        <f t="shared" si="63"/>
        <v/>
      </c>
      <c r="AB282" s="48" t="str">
        <f t="shared" si="72"/>
        <v/>
      </c>
      <c r="AC282" s="48" t="str">
        <f t="shared" si="64"/>
        <v/>
      </c>
      <c r="AD282" s="48" t="str">
        <f t="shared" si="65"/>
        <v/>
      </c>
      <c r="AE282" s="48" t="str">
        <f t="shared" si="66"/>
        <v/>
      </c>
      <c r="AF282" s="48" t="str">
        <f t="shared" si="67"/>
        <v/>
      </c>
      <c r="AG282" s="48" t="str">
        <f t="shared" si="68"/>
        <v/>
      </c>
      <c r="AH282" s="48" t="str">
        <f t="shared" si="69"/>
        <v/>
      </c>
      <c r="AI282" s="48" t="str">
        <f t="shared" si="70"/>
        <v/>
      </c>
      <c r="AJ282" s="48" t="str">
        <f t="shared" si="73"/>
        <v/>
      </c>
      <c r="AK282" s="48" t="str">
        <f t="shared" si="74"/>
        <v/>
      </c>
      <c r="AL282" s="48" t="str">
        <f>IF(W282=0,"",_xlfn.CONCAT(DADOS!$A$8,Y282:AK282,"
"))</f>
        <v/>
      </c>
    </row>
    <row r="283" spans="4:38" s="48" customFormat="1" ht="15" customHeight="1" x14ac:dyDescent="0.25">
      <c r="D283" s="49"/>
      <c r="E283" s="43"/>
      <c r="F283" s="20"/>
      <c r="G283" s="14"/>
      <c r="H283" s="20"/>
      <c r="I283" s="15"/>
      <c r="J283" s="16"/>
      <c r="K283" s="14"/>
      <c r="L283" s="17"/>
      <c r="M283" s="18"/>
      <c r="N283" s="17"/>
      <c r="O283" s="18"/>
      <c r="P283" s="19"/>
      <c r="Q283" s="17"/>
      <c r="R283" s="40"/>
      <c r="S283" s="42">
        <v>269</v>
      </c>
      <c r="T283" s="40"/>
      <c r="V283" s="48" t="str">
        <f t="shared" si="71"/>
        <v/>
      </c>
      <c r="W283" s="48">
        <f t="shared" si="60"/>
        <v>0</v>
      </c>
      <c r="Y283" s="48" t="str">
        <f t="shared" si="61"/>
        <v/>
      </c>
      <c r="Z283" s="48" t="str">
        <f t="shared" si="62"/>
        <v/>
      </c>
      <c r="AA283" s="48" t="str">
        <f t="shared" si="63"/>
        <v/>
      </c>
      <c r="AB283" s="48" t="str">
        <f t="shared" si="72"/>
        <v/>
      </c>
      <c r="AC283" s="48" t="str">
        <f t="shared" si="64"/>
        <v/>
      </c>
      <c r="AD283" s="48" t="str">
        <f t="shared" si="65"/>
        <v/>
      </c>
      <c r="AE283" s="48" t="str">
        <f t="shared" si="66"/>
        <v/>
      </c>
      <c r="AF283" s="48" t="str">
        <f t="shared" si="67"/>
        <v/>
      </c>
      <c r="AG283" s="48" t="str">
        <f t="shared" si="68"/>
        <v/>
      </c>
      <c r="AH283" s="48" t="str">
        <f t="shared" si="69"/>
        <v/>
      </c>
      <c r="AI283" s="48" t="str">
        <f t="shared" si="70"/>
        <v/>
      </c>
      <c r="AJ283" s="48" t="str">
        <f t="shared" si="73"/>
        <v/>
      </c>
      <c r="AK283" s="48" t="str">
        <f t="shared" si="74"/>
        <v/>
      </c>
      <c r="AL283" s="48" t="str">
        <f>IF(W283=0,"",_xlfn.CONCAT(DADOS!$A$8,Y283:AK283,"
"))</f>
        <v/>
      </c>
    </row>
    <row r="284" spans="4:38" s="48" customFormat="1" ht="15" customHeight="1" x14ac:dyDescent="0.25">
      <c r="D284" s="49"/>
      <c r="E284" s="43"/>
      <c r="F284" s="20"/>
      <c r="G284" s="14"/>
      <c r="H284" s="20"/>
      <c r="I284" s="15"/>
      <c r="J284" s="16"/>
      <c r="K284" s="14"/>
      <c r="L284" s="17"/>
      <c r="M284" s="18"/>
      <c r="N284" s="17"/>
      <c r="O284" s="18"/>
      <c r="P284" s="19"/>
      <c r="Q284" s="17"/>
      <c r="R284" s="40"/>
      <c r="S284" s="42">
        <v>270</v>
      </c>
      <c r="T284" s="40"/>
      <c r="V284" s="48" t="str">
        <f t="shared" si="71"/>
        <v/>
      </c>
      <c r="W284" s="48">
        <f t="shared" si="60"/>
        <v>0</v>
      </c>
      <c r="Y284" s="48" t="str">
        <f t="shared" si="61"/>
        <v/>
      </c>
      <c r="Z284" s="48" t="str">
        <f t="shared" si="62"/>
        <v/>
      </c>
      <c r="AA284" s="48" t="str">
        <f t="shared" si="63"/>
        <v/>
      </c>
      <c r="AB284" s="48" t="str">
        <f t="shared" si="72"/>
        <v/>
      </c>
      <c r="AC284" s="48" t="str">
        <f t="shared" si="64"/>
        <v/>
      </c>
      <c r="AD284" s="48" t="str">
        <f t="shared" si="65"/>
        <v/>
      </c>
      <c r="AE284" s="48" t="str">
        <f t="shared" si="66"/>
        <v/>
      </c>
      <c r="AF284" s="48" t="str">
        <f t="shared" si="67"/>
        <v/>
      </c>
      <c r="AG284" s="48" t="str">
        <f t="shared" si="68"/>
        <v/>
      </c>
      <c r="AH284" s="48" t="str">
        <f t="shared" si="69"/>
        <v/>
      </c>
      <c r="AI284" s="48" t="str">
        <f t="shared" si="70"/>
        <v/>
      </c>
      <c r="AJ284" s="48" t="str">
        <f t="shared" si="73"/>
        <v/>
      </c>
      <c r="AK284" s="48" t="str">
        <f t="shared" si="74"/>
        <v/>
      </c>
      <c r="AL284" s="48" t="str">
        <f>IF(W284=0,"",_xlfn.CONCAT(DADOS!$A$8,Y284:AK284,"
"))</f>
        <v/>
      </c>
    </row>
    <row r="285" spans="4:38" s="48" customFormat="1" ht="15" customHeight="1" x14ac:dyDescent="0.25">
      <c r="D285" s="49"/>
      <c r="E285" s="43"/>
      <c r="F285" s="20"/>
      <c r="G285" s="14"/>
      <c r="H285" s="20"/>
      <c r="I285" s="15"/>
      <c r="J285" s="16"/>
      <c r="K285" s="14"/>
      <c r="L285" s="17"/>
      <c r="M285" s="18"/>
      <c r="N285" s="17"/>
      <c r="O285" s="18"/>
      <c r="P285" s="19"/>
      <c r="Q285" s="17"/>
      <c r="R285" s="40"/>
      <c r="S285" s="42">
        <v>271</v>
      </c>
      <c r="T285" s="40"/>
      <c r="V285" s="48" t="str">
        <f t="shared" si="71"/>
        <v/>
      </c>
      <c r="W285" s="48">
        <f t="shared" si="60"/>
        <v>0</v>
      </c>
      <c r="Y285" s="48" t="str">
        <f t="shared" si="61"/>
        <v/>
      </c>
      <c r="Z285" s="48" t="str">
        <f t="shared" si="62"/>
        <v/>
      </c>
      <c r="AA285" s="48" t="str">
        <f t="shared" si="63"/>
        <v/>
      </c>
      <c r="AB285" s="48" t="str">
        <f t="shared" si="72"/>
        <v/>
      </c>
      <c r="AC285" s="48" t="str">
        <f t="shared" si="64"/>
        <v/>
      </c>
      <c r="AD285" s="48" t="str">
        <f t="shared" si="65"/>
        <v/>
      </c>
      <c r="AE285" s="48" t="str">
        <f t="shared" si="66"/>
        <v/>
      </c>
      <c r="AF285" s="48" t="str">
        <f t="shared" si="67"/>
        <v/>
      </c>
      <c r="AG285" s="48" t="str">
        <f t="shared" si="68"/>
        <v/>
      </c>
      <c r="AH285" s="48" t="str">
        <f t="shared" si="69"/>
        <v/>
      </c>
      <c r="AI285" s="48" t="str">
        <f t="shared" si="70"/>
        <v/>
      </c>
      <c r="AJ285" s="48" t="str">
        <f t="shared" si="73"/>
        <v/>
      </c>
      <c r="AK285" s="48" t="str">
        <f t="shared" si="74"/>
        <v/>
      </c>
      <c r="AL285" s="48" t="str">
        <f>IF(W285=0,"",_xlfn.CONCAT(DADOS!$A$8,Y285:AK285,"
"))</f>
        <v/>
      </c>
    </row>
    <row r="286" spans="4:38" s="48" customFormat="1" ht="15" customHeight="1" x14ac:dyDescent="0.25">
      <c r="D286" s="49"/>
      <c r="E286" s="43"/>
      <c r="F286" s="20"/>
      <c r="G286" s="14"/>
      <c r="H286" s="20"/>
      <c r="I286" s="15"/>
      <c r="J286" s="16"/>
      <c r="K286" s="14"/>
      <c r="L286" s="17"/>
      <c r="M286" s="18"/>
      <c r="N286" s="17"/>
      <c r="O286" s="18"/>
      <c r="P286" s="19"/>
      <c r="Q286" s="17"/>
      <c r="R286" s="40"/>
      <c r="S286" s="42">
        <v>272</v>
      </c>
      <c r="T286" s="40"/>
      <c r="V286" s="48" t="str">
        <f t="shared" si="71"/>
        <v/>
      </c>
      <c r="W286" s="48">
        <f t="shared" si="60"/>
        <v>0</v>
      </c>
      <c r="Y286" s="48" t="str">
        <f t="shared" si="61"/>
        <v/>
      </c>
      <c r="Z286" s="48" t="str">
        <f t="shared" si="62"/>
        <v/>
      </c>
      <c r="AA286" s="48" t="str">
        <f t="shared" si="63"/>
        <v/>
      </c>
      <c r="AB286" s="48" t="str">
        <f t="shared" si="72"/>
        <v/>
      </c>
      <c r="AC286" s="48" t="str">
        <f t="shared" si="64"/>
        <v/>
      </c>
      <c r="AD286" s="48" t="str">
        <f t="shared" si="65"/>
        <v/>
      </c>
      <c r="AE286" s="48" t="str">
        <f t="shared" si="66"/>
        <v/>
      </c>
      <c r="AF286" s="48" t="str">
        <f t="shared" si="67"/>
        <v/>
      </c>
      <c r="AG286" s="48" t="str">
        <f t="shared" si="68"/>
        <v/>
      </c>
      <c r="AH286" s="48" t="str">
        <f t="shared" si="69"/>
        <v/>
      </c>
      <c r="AI286" s="48" t="str">
        <f t="shared" si="70"/>
        <v/>
      </c>
      <c r="AJ286" s="48" t="str">
        <f t="shared" si="73"/>
        <v/>
      </c>
      <c r="AK286" s="48" t="str">
        <f t="shared" si="74"/>
        <v/>
      </c>
      <c r="AL286" s="48" t="str">
        <f>IF(W286=0,"",_xlfn.CONCAT(DADOS!$A$8,Y286:AK286,"
"))</f>
        <v/>
      </c>
    </row>
    <row r="287" spans="4:38" s="48" customFormat="1" ht="15" customHeight="1" x14ac:dyDescent="0.25">
      <c r="D287" s="49"/>
      <c r="E287" s="43"/>
      <c r="F287" s="20"/>
      <c r="G287" s="14"/>
      <c r="H287" s="20"/>
      <c r="I287" s="15"/>
      <c r="J287" s="16"/>
      <c r="K287" s="14"/>
      <c r="L287" s="17"/>
      <c r="M287" s="18"/>
      <c r="N287" s="17"/>
      <c r="O287" s="18"/>
      <c r="P287" s="19"/>
      <c r="Q287" s="17"/>
      <c r="R287" s="40"/>
      <c r="S287" s="42">
        <v>273</v>
      </c>
      <c r="T287" s="40"/>
      <c r="V287" s="48" t="str">
        <f t="shared" si="71"/>
        <v/>
      </c>
      <c r="W287" s="48">
        <f t="shared" si="60"/>
        <v>0</v>
      </c>
      <c r="Y287" s="48" t="str">
        <f t="shared" si="61"/>
        <v/>
      </c>
      <c r="Z287" s="48" t="str">
        <f t="shared" si="62"/>
        <v/>
      </c>
      <c r="AA287" s="48" t="str">
        <f t="shared" si="63"/>
        <v/>
      </c>
      <c r="AB287" s="48" t="str">
        <f t="shared" si="72"/>
        <v/>
      </c>
      <c r="AC287" s="48" t="str">
        <f t="shared" si="64"/>
        <v/>
      </c>
      <c r="AD287" s="48" t="str">
        <f t="shared" si="65"/>
        <v/>
      </c>
      <c r="AE287" s="48" t="str">
        <f t="shared" si="66"/>
        <v/>
      </c>
      <c r="AF287" s="48" t="str">
        <f t="shared" si="67"/>
        <v/>
      </c>
      <c r="AG287" s="48" t="str">
        <f t="shared" si="68"/>
        <v/>
      </c>
      <c r="AH287" s="48" t="str">
        <f t="shared" si="69"/>
        <v/>
      </c>
      <c r="AI287" s="48" t="str">
        <f t="shared" si="70"/>
        <v/>
      </c>
      <c r="AJ287" s="48" t="str">
        <f t="shared" si="73"/>
        <v/>
      </c>
      <c r="AK287" s="48" t="str">
        <f t="shared" si="74"/>
        <v/>
      </c>
      <c r="AL287" s="48" t="str">
        <f>IF(W287=0,"",_xlfn.CONCAT(DADOS!$A$8,Y287:AK287,"
"))</f>
        <v/>
      </c>
    </row>
    <row r="288" spans="4:38" s="48" customFormat="1" ht="15" customHeight="1" x14ac:dyDescent="0.25">
      <c r="D288" s="49"/>
      <c r="E288" s="43"/>
      <c r="F288" s="20"/>
      <c r="G288" s="14"/>
      <c r="H288" s="20"/>
      <c r="I288" s="15"/>
      <c r="J288" s="16"/>
      <c r="K288" s="14"/>
      <c r="L288" s="17"/>
      <c r="M288" s="18"/>
      <c r="N288" s="17"/>
      <c r="O288" s="18"/>
      <c r="P288" s="19"/>
      <c r="Q288" s="17"/>
      <c r="R288" s="40"/>
      <c r="S288" s="42">
        <v>274</v>
      </c>
      <c r="T288" s="40"/>
      <c r="V288" s="48" t="str">
        <f t="shared" si="71"/>
        <v/>
      </c>
      <c r="W288" s="48">
        <f t="shared" si="60"/>
        <v>0</v>
      </c>
      <c r="Y288" s="48" t="str">
        <f t="shared" si="61"/>
        <v/>
      </c>
      <c r="Z288" s="48" t="str">
        <f t="shared" si="62"/>
        <v/>
      </c>
      <c r="AA288" s="48" t="str">
        <f t="shared" si="63"/>
        <v/>
      </c>
      <c r="AB288" s="48" t="str">
        <f t="shared" si="72"/>
        <v/>
      </c>
      <c r="AC288" s="48" t="str">
        <f t="shared" si="64"/>
        <v/>
      </c>
      <c r="AD288" s="48" t="str">
        <f t="shared" si="65"/>
        <v/>
      </c>
      <c r="AE288" s="48" t="str">
        <f t="shared" si="66"/>
        <v/>
      </c>
      <c r="AF288" s="48" t="str">
        <f t="shared" si="67"/>
        <v/>
      </c>
      <c r="AG288" s="48" t="str">
        <f t="shared" si="68"/>
        <v/>
      </c>
      <c r="AH288" s="48" t="str">
        <f t="shared" si="69"/>
        <v/>
      </c>
      <c r="AI288" s="48" t="str">
        <f t="shared" si="70"/>
        <v/>
      </c>
      <c r="AJ288" s="48" t="str">
        <f t="shared" si="73"/>
        <v/>
      </c>
      <c r="AK288" s="48" t="str">
        <f t="shared" si="74"/>
        <v/>
      </c>
      <c r="AL288" s="48" t="str">
        <f>IF(W288=0,"",_xlfn.CONCAT(DADOS!$A$8,Y288:AK288,"
"))</f>
        <v/>
      </c>
    </row>
    <row r="289" spans="4:38" s="48" customFormat="1" ht="15" customHeight="1" x14ac:dyDescent="0.25">
      <c r="D289" s="49"/>
      <c r="E289" s="43"/>
      <c r="F289" s="20"/>
      <c r="G289" s="14"/>
      <c r="H289" s="20"/>
      <c r="I289" s="15"/>
      <c r="J289" s="16"/>
      <c r="K289" s="14"/>
      <c r="L289" s="17"/>
      <c r="M289" s="18"/>
      <c r="N289" s="17"/>
      <c r="O289" s="18"/>
      <c r="P289" s="19"/>
      <c r="Q289" s="17"/>
      <c r="R289" s="40"/>
      <c r="S289" s="42">
        <v>275</v>
      </c>
      <c r="T289" s="40"/>
      <c r="V289" s="48" t="str">
        <f t="shared" si="71"/>
        <v/>
      </c>
      <c r="W289" s="48">
        <f t="shared" si="60"/>
        <v>0</v>
      </c>
      <c r="Y289" s="48" t="str">
        <f t="shared" si="61"/>
        <v/>
      </c>
      <c r="Z289" s="48" t="str">
        <f t="shared" si="62"/>
        <v/>
      </c>
      <c r="AA289" s="48" t="str">
        <f t="shared" si="63"/>
        <v/>
      </c>
      <c r="AB289" s="48" t="str">
        <f t="shared" si="72"/>
        <v/>
      </c>
      <c r="AC289" s="48" t="str">
        <f t="shared" si="64"/>
        <v/>
      </c>
      <c r="AD289" s="48" t="str">
        <f t="shared" si="65"/>
        <v/>
      </c>
      <c r="AE289" s="48" t="str">
        <f t="shared" si="66"/>
        <v/>
      </c>
      <c r="AF289" s="48" t="str">
        <f t="shared" si="67"/>
        <v/>
      </c>
      <c r="AG289" s="48" t="str">
        <f t="shared" si="68"/>
        <v/>
      </c>
      <c r="AH289" s="48" t="str">
        <f t="shared" si="69"/>
        <v/>
      </c>
      <c r="AI289" s="48" t="str">
        <f t="shared" si="70"/>
        <v/>
      </c>
      <c r="AJ289" s="48" t="str">
        <f t="shared" si="73"/>
        <v/>
      </c>
      <c r="AK289" s="48" t="str">
        <f t="shared" si="74"/>
        <v/>
      </c>
      <c r="AL289" s="48" t="str">
        <f>IF(W289=0,"",_xlfn.CONCAT(DADOS!$A$8,Y289:AK289,"
"))</f>
        <v/>
      </c>
    </row>
    <row r="290" spans="4:38" s="48" customFormat="1" ht="15" customHeight="1" x14ac:dyDescent="0.25">
      <c r="D290" s="49"/>
      <c r="E290" s="43"/>
      <c r="F290" s="20"/>
      <c r="G290" s="14"/>
      <c r="H290" s="20"/>
      <c r="I290" s="15"/>
      <c r="J290" s="16"/>
      <c r="K290" s="14"/>
      <c r="L290" s="17"/>
      <c r="M290" s="18"/>
      <c r="N290" s="17"/>
      <c r="O290" s="18"/>
      <c r="P290" s="19"/>
      <c r="Q290" s="17"/>
      <c r="R290" s="40"/>
      <c r="S290" s="42">
        <v>276</v>
      </c>
      <c r="T290" s="40"/>
      <c r="V290" s="48" t="str">
        <f t="shared" si="71"/>
        <v/>
      </c>
      <c r="W290" s="48">
        <f t="shared" si="60"/>
        <v>0</v>
      </c>
      <c r="Y290" s="48" t="str">
        <f t="shared" si="61"/>
        <v/>
      </c>
      <c r="Z290" s="48" t="str">
        <f t="shared" si="62"/>
        <v/>
      </c>
      <c r="AA290" s="48" t="str">
        <f t="shared" si="63"/>
        <v/>
      </c>
      <c r="AB290" s="48" t="str">
        <f t="shared" si="72"/>
        <v/>
      </c>
      <c r="AC290" s="48" t="str">
        <f t="shared" si="64"/>
        <v/>
      </c>
      <c r="AD290" s="48" t="str">
        <f t="shared" si="65"/>
        <v/>
      </c>
      <c r="AE290" s="48" t="str">
        <f t="shared" si="66"/>
        <v/>
      </c>
      <c r="AF290" s="48" t="str">
        <f t="shared" si="67"/>
        <v/>
      </c>
      <c r="AG290" s="48" t="str">
        <f t="shared" si="68"/>
        <v/>
      </c>
      <c r="AH290" s="48" t="str">
        <f t="shared" si="69"/>
        <v/>
      </c>
      <c r="AI290" s="48" t="str">
        <f t="shared" si="70"/>
        <v/>
      </c>
      <c r="AJ290" s="48" t="str">
        <f t="shared" si="73"/>
        <v/>
      </c>
      <c r="AK290" s="48" t="str">
        <f t="shared" si="74"/>
        <v/>
      </c>
      <c r="AL290" s="48" t="str">
        <f>IF(W290=0,"",_xlfn.CONCAT(DADOS!$A$8,Y290:AK290,"
"))</f>
        <v/>
      </c>
    </row>
    <row r="291" spans="4:38" s="48" customFormat="1" ht="15" customHeight="1" x14ac:dyDescent="0.25">
      <c r="D291" s="49"/>
      <c r="E291" s="43"/>
      <c r="F291" s="20"/>
      <c r="G291" s="14"/>
      <c r="H291" s="20"/>
      <c r="I291" s="15"/>
      <c r="J291" s="16"/>
      <c r="K291" s="14"/>
      <c r="L291" s="17"/>
      <c r="M291" s="18"/>
      <c r="N291" s="17"/>
      <c r="O291" s="18"/>
      <c r="P291" s="19"/>
      <c r="Q291" s="17"/>
      <c r="R291" s="40"/>
      <c r="S291" s="42">
        <v>277</v>
      </c>
      <c r="T291" s="40"/>
      <c r="V291" s="48" t="str">
        <f t="shared" si="71"/>
        <v/>
      </c>
      <c r="W291" s="48">
        <f t="shared" si="60"/>
        <v>0</v>
      </c>
      <c r="Y291" s="48" t="str">
        <f t="shared" si="61"/>
        <v/>
      </c>
      <c r="Z291" s="48" t="str">
        <f t="shared" si="62"/>
        <v/>
      </c>
      <c r="AA291" s="48" t="str">
        <f t="shared" si="63"/>
        <v/>
      </c>
      <c r="AB291" s="48" t="str">
        <f t="shared" si="72"/>
        <v/>
      </c>
      <c r="AC291" s="48" t="str">
        <f t="shared" si="64"/>
        <v/>
      </c>
      <c r="AD291" s="48" t="str">
        <f t="shared" si="65"/>
        <v/>
      </c>
      <c r="AE291" s="48" t="str">
        <f t="shared" si="66"/>
        <v/>
      </c>
      <c r="AF291" s="48" t="str">
        <f t="shared" si="67"/>
        <v/>
      </c>
      <c r="AG291" s="48" t="str">
        <f t="shared" si="68"/>
        <v/>
      </c>
      <c r="AH291" s="48" t="str">
        <f t="shared" si="69"/>
        <v/>
      </c>
      <c r="AI291" s="48" t="str">
        <f t="shared" si="70"/>
        <v/>
      </c>
      <c r="AJ291" s="48" t="str">
        <f t="shared" si="73"/>
        <v/>
      </c>
      <c r="AK291" s="48" t="str">
        <f t="shared" si="74"/>
        <v/>
      </c>
      <c r="AL291" s="48" t="str">
        <f>IF(W291=0,"",_xlfn.CONCAT(DADOS!$A$8,Y291:AK291,"
"))</f>
        <v/>
      </c>
    </row>
    <row r="292" spans="4:38" s="48" customFormat="1" ht="15" customHeight="1" x14ac:dyDescent="0.25">
      <c r="D292" s="49"/>
      <c r="E292" s="43"/>
      <c r="F292" s="20"/>
      <c r="G292" s="14"/>
      <c r="H292" s="20"/>
      <c r="I292" s="15"/>
      <c r="J292" s="16"/>
      <c r="K292" s="14"/>
      <c r="L292" s="17"/>
      <c r="M292" s="18"/>
      <c r="N292" s="17"/>
      <c r="O292" s="18"/>
      <c r="P292" s="19"/>
      <c r="Q292" s="17"/>
      <c r="R292" s="40"/>
      <c r="S292" s="42">
        <v>278</v>
      </c>
      <c r="T292" s="40"/>
      <c r="V292" s="48" t="str">
        <f t="shared" si="71"/>
        <v/>
      </c>
      <c r="W292" s="48">
        <f t="shared" si="60"/>
        <v>0</v>
      </c>
      <c r="Y292" s="48" t="str">
        <f t="shared" si="61"/>
        <v/>
      </c>
      <c r="Z292" s="48" t="str">
        <f t="shared" si="62"/>
        <v/>
      </c>
      <c r="AA292" s="48" t="str">
        <f t="shared" si="63"/>
        <v/>
      </c>
      <c r="AB292" s="48" t="str">
        <f t="shared" si="72"/>
        <v/>
      </c>
      <c r="AC292" s="48" t="str">
        <f t="shared" si="64"/>
        <v/>
      </c>
      <c r="AD292" s="48" t="str">
        <f t="shared" si="65"/>
        <v/>
      </c>
      <c r="AE292" s="48" t="str">
        <f t="shared" si="66"/>
        <v/>
      </c>
      <c r="AF292" s="48" t="str">
        <f t="shared" si="67"/>
        <v/>
      </c>
      <c r="AG292" s="48" t="str">
        <f t="shared" si="68"/>
        <v/>
      </c>
      <c r="AH292" s="48" t="str">
        <f t="shared" si="69"/>
        <v/>
      </c>
      <c r="AI292" s="48" t="str">
        <f t="shared" si="70"/>
        <v/>
      </c>
      <c r="AJ292" s="48" t="str">
        <f t="shared" si="73"/>
        <v/>
      </c>
      <c r="AK292" s="48" t="str">
        <f t="shared" si="74"/>
        <v/>
      </c>
      <c r="AL292" s="48" t="str">
        <f>IF(W292=0,"",_xlfn.CONCAT(DADOS!$A$8,Y292:AK292,"
"))</f>
        <v/>
      </c>
    </row>
    <row r="293" spans="4:38" s="48" customFormat="1" ht="15" customHeight="1" x14ac:dyDescent="0.25">
      <c r="D293" s="49"/>
      <c r="E293" s="43"/>
      <c r="F293" s="20"/>
      <c r="G293" s="14"/>
      <c r="H293" s="20"/>
      <c r="I293" s="15"/>
      <c r="J293" s="16"/>
      <c r="K293" s="14"/>
      <c r="L293" s="17"/>
      <c r="M293" s="18"/>
      <c r="N293" s="17"/>
      <c r="O293" s="18"/>
      <c r="P293" s="19"/>
      <c r="Q293" s="17"/>
      <c r="R293" s="40"/>
      <c r="S293" s="42">
        <v>279</v>
      </c>
      <c r="T293" s="40"/>
      <c r="V293" s="48" t="str">
        <f t="shared" si="71"/>
        <v/>
      </c>
      <c r="W293" s="48">
        <f t="shared" si="60"/>
        <v>0</v>
      </c>
      <c r="Y293" s="48" t="str">
        <f t="shared" si="61"/>
        <v/>
      </c>
      <c r="Z293" s="48" t="str">
        <f t="shared" si="62"/>
        <v/>
      </c>
      <c r="AA293" s="48" t="str">
        <f t="shared" si="63"/>
        <v/>
      </c>
      <c r="AB293" s="48" t="str">
        <f t="shared" si="72"/>
        <v/>
      </c>
      <c r="AC293" s="48" t="str">
        <f t="shared" si="64"/>
        <v/>
      </c>
      <c r="AD293" s="48" t="str">
        <f t="shared" si="65"/>
        <v/>
      </c>
      <c r="AE293" s="48" t="str">
        <f t="shared" si="66"/>
        <v/>
      </c>
      <c r="AF293" s="48" t="str">
        <f t="shared" si="67"/>
        <v/>
      </c>
      <c r="AG293" s="48" t="str">
        <f t="shared" si="68"/>
        <v/>
      </c>
      <c r="AH293" s="48" t="str">
        <f t="shared" si="69"/>
        <v/>
      </c>
      <c r="AI293" s="48" t="str">
        <f t="shared" si="70"/>
        <v/>
      </c>
      <c r="AJ293" s="48" t="str">
        <f t="shared" si="73"/>
        <v/>
      </c>
      <c r="AK293" s="48" t="str">
        <f t="shared" si="74"/>
        <v/>
      </c>
      <c r="AL293" s="48" t="str">
        <f>IF(W293=0,"",_xlfn.CONCAT(DADOS!$A$8,Y293:AK293,"
"))</f>
        <v/>
      </c>
    </row>
    <row r="294" spans="4:38" s="48" customFormat="1" ht="15" customHeight="1" x14ac:dyDescent="0.25">
      <c r="D294" s="49"/>
      <c r="E294" s="43"/>
      <c r="F294" s="20"/>
      <c r="G294" s="14"/>
      <c r="H294" s="20"/>
      <c r="I294" s="15"/>
      <c r="J294" s="16"/>
      <c r="K294" s="14"/>
      <c r="L294" s="17"/>
      <c r="M294" s="18"/>
      <c r="N294" s="17"/>
      <c r="O294" s="18"/>
      <c r="P294" s="19"/>
      <c r="Q294" s="17"/>
      <c r="R294" s="40"/>
      <c r="S294" s="42">
        <v>280</v>
      </c>
      <c r="T294" s="40"/>
      <c r="V294" s="48" t="str">
        <f t="shared" si="71"/>
        <v/>
      </c>
      <c r="W294" s="48">
        <f t="shared" si="60"/>
        <v>0</v>
      </c>
      <c r="Y294" s="48" t="str">
        <f t="shared" si="61"/>
        <v/>
      </c>
      <c r="Z294" s="48" t="str">
        <f t="shared" si="62"/>
        <v/>
      </c>
      <c r="AA294" s="48" t="str">
        <f t="shared" si="63"/>
        <v/>
      </c>
      <c r="AB294" s="48" t="str">
        <f t="shared" si="72"/>
        <v/>
      </c>
      <c r="AC294" s="48" t="str">
        <f t="shared" si="64"/>
        <v/>
      </c>
      <c r="AD294" s="48" t="str">
        <f t="shared" si="65"/>
        <v/>
      </c>
      <c r="AE294" s="48" t="str">
        <f t="shared" si="66"/>
        <v/>
      </c>
      <c r="AF294" s="48" t="str">
        <f t="shared" si="67"/>
        <v/>
      </c>
      <c r="AG294" s="48" t="str">
        <f t="shared" si="68"/>
        <v/>
      </c>
      <c r="AH294" s="48" t="str">
        <f t="shared" si="69"/>
        <v/>
      </c>
      <c r="AI294" s="48" t="str">
        <f t="shared" si="70"/>
        <v/>
      </c>
      <c r="AJ294" s="48" t="str">
        <f t="shared" si="73"/>
        <v/>
      </c>
      <c r="AK294" s="48" t="str">
        <f t="shared" si="74"/>
        <v/>
      </c>
      <c r="AL294" s="48" t="str">
        <f>IF(W294=0,"",_xlfn.CONCAT(DADOS!$A$8,Y294:AK294,"
"))</f>
        <v/>
      </c>
    </row>
    <row r="295" spans="4:38" s="48" customFormat="1" ht="15" customHeight="1" x14ac:dyDescent="0.25">
      <c r="D295" s="49"/>
      <c r="E295" s="43"/>
      <c r="F295" s="20"/>
      <c r="G295" s="14"/>
      <c r="H295" s="20"/>
      <c r="I295" s="15"/>
      <c r="J295" s="16"/>
      <c r="K295" s="14"/>
      <c r="L295" s="17"/>
      <c r="M295" s="18"/>
      <c r="N295" s="17"/>
      <c r="O295" s="18"/>
      <c r="P295" s="19"/>
      <c r="Q295" s="17"/>
      <c r="R295" s="40"/>
      <c r="S295" s="42">
        <v>281</v>
      </c>
      <c r="T295" s="40"/>
      <c r="V295" s="48" t="str">
        <f t="shared" si="71"/>
        <v/>
      </c>
      <c r="W295" s="48">
        <f t="shared" si="60"/>
        <v>0</v>
      </c>
      <c r="Y295" s="48" t="str">
        <f t="shared" si="61"/>
        <v/>
      </c>
      <c r="Z295" s="48" t="str">
        <f t="shared" si="62"/>
        <v/>
      </c>
      <c r="AA295" s="48" t="str">
        <f t="shared" si="63"/>
        <v/>
      </c>
      <c r="AB295" s="48" t="str">
        <f t="shared" si="72"/>
        <v/>
      </c>
      <c r="AC295" s="48" t="str">
        <f t="shared" si="64"/>
        <v/>
      </c>
      <c r="AD295" s="48" t="str">
        <f t="shared" si="65"/>
        <v/>
      </c>
      <c r="AE295" s="48" t="str">
        <f t="shared" si="66"/>
        <v/>
      </c>
      <c r="AF295" s="48" t="str">
        <f t="shared" si="67"/>
        <v/>
      </c>
      <c r="AG295" s="48" t="str">
        <f t="shared" si="68"/>
        <v/>
      </c>
      <c r="AH295" s="48" t="str">
        <f t="shared" si="69"/>
        <v/>
      </c>
      <c r="AI295" s="48" t="str">
        <f t="shared" si="70"/>
        <v/>
      </c>
      <c r="AJ295" s="48" t="str">
        <f t="shared" si="73"/>
        <v/>
      </c>
      <c r="AK295" s="48" t="str">
        <f t="shared" si="74"/>
        <v/>
      </c>
      <c r="AL295" s="48" t="str">
        <f>IF(W295=0,"",_xlfn.CONCAT(DADOS!$A$8,Y295:AK295,"
"))</f>
        <v/>
      </c>
    </row>
    <row r="296" spans="4:38" s="48" customFormat="1" ht="15" customHeight="1" x14ac:dyDescent="0.25">
      <c r="D296" s="49"/>
      <c r="E296" s="43"/>
      <c r="F296" s="20"/>
      <c r="G296" s="14"/>
      <c r="H296" s="20"/>
      <c r="I296" s="15"/>
      <c r="J296" s="16"/>
      <c r="K296" s="14"/>
      <c r="L296" s="17"/>
      <c r="M296" s="18"/>
      <c r="N296" s="17"/>
      <c r="O296" s="18"/>
      <c r="P296" s="19"/>
      <c r="Q296" s="17"/>
      <c r="R296" s="40"/>
      <c r="S296" s="42">
        <v>282</v>
      </c>
      <c r="T296" s="40"/>
      <c r="V296" s="48" t="str">
        <f t="shared" si="71"/>
        <v/>
      </c>
      <c r="W296" s="48">
        <f t="shared" si="60"/>
        <v>0</v>
      </c>
      <c r="Y296" s="48" t="str">
        <f t="shared" si="61"/>
        <v/>
      </c>
      <c r="Z296" s="48" t="str">
        <f t="shared" si="62"/>
        <v/>
      </c>
      <c r="AA296" s="48" t="str">
        <f t="shared" si="63"/>
        <v/>
      </c>
      <c r="AB296" s="48" t="str">
        <f t="shared" si="72"/>
        <v/>
      </c>
      <c r="AC296" s="48" t="str">
        <f t="shared" si="64"/>
        <v/>
      </c>
      <c r="AD296" s="48" t="str">
        <f t="shared" si="65"/>
        <v/>
      </c>
      <c r="AE296" s="48" t="str">
        <f t="shared" si="66"/>
        <v/>
      </c>
      <c r="AF296" s="48" t="str">
        <f t="shared" si="67"/>
        <v/>
      </c>
      <c r="AG296" s="48" t="str">
        <f t="shared" si="68"/>
        <v/>
      </c>
      <c r="AH296" s="48" t="str">
        <f t="shared" si="69"/>
        <v/>
      </c>
      <c r="AI296" s="48" t="str">
        <f t="shared" si="70"/>
        <v/>
      </c>
      <c r="AJ296" s="48" t="str">
        <f t="shared" si="73"/>
        <v/>
      </c>
      <c r="AK296" s="48" t="str">
        <f t="shared" si="74"/>
        <v/>
      </c>
      <c r="AL296" s="48" t="str">
        <f>IF(W296=0,"",_xlfn.CONCAT(DADOS!$A$8,Y296:AK296,"
"))</f>
        <v/>
      </c>
    </row>
    <row r="297" spans="4:38" s="48" customFormat="1" ht="15" customHeight="1" x14ac:dyDescent="0.25">
      <c r="D297" s="49"/>
      <c r="E297" s="43"/>
      <c r="F297" s="20"/>
      <c r="G297" s="14"/>
      <c r="H297" s="20"/>
      <c r="I297" s="15"/>
      <c r="J297" s="16"/>
      <c r="K297" s="14"/>
      <c r="L297" s="17"/>
      <c r="M297" s="18"/>
      <c r="N297" s="17"/>
      <c r="O297" s="18"/>
      <c r="P297" s="19"/>
      <c r="Q297" s="17"/>
      <c r="R297" s="40"/>
      <c r="S297" s="42">
        <v>283</v>
      </c>
      <c r="T297" s="40"/>
      <c r="V297" s="48" t="str">
        <f t="shared" si="71"/>
        <v/>
      </c>
      <c r="W297" s="48">
        <f t="shared" si="60"/>
        <v>0</v>
      </c>
      <c r="Y297" s="48" t="str">
        <f t="shared" si="61"/>
        <v/>
      </c>
      <c r="Z297" s="48" t="str">
        <f t="shared" si="62"/>
        <v/>
      </c>
      <c r="AA297" s="48" t="str">
        <f t="shared" si="63"/>
        <v/>
      </c>
      <c r="AB297" s="48" t="str">
        <f t="shared" si="72"/>
        <v/>
      </c>
      <c r="AC297" s="48" t="str">
        <f t="shared" si="64"/>
        <v/>
      </c>
      <c r="AD297" s="48" t="str">
        <f t="shared" si="65"/>
        <v/>
      </c>
      <c r="AE297" s="48" t="str">
        <f t="shared" si="66"/>
        <v/>
      </c>
      <c r="AF297" s="48" t="str">
        <f t="shared" si="67"/>
        <v/>
      </c>
      <c r="AG297" s="48" t="str">
        <f t="shared" si="68"/>
        <v/>
      </c>
      <c r="AH297" s="48" t="str">
        <f t="shared" si="69"/>
        <v/>
      </c>
      <c r="AI297" s="48" t="str">
        <f t="shared" si="70"/>
        <v/>
      </c>
      <c r="AJ297" s="48" t="str">
        <f t="shared" si="73"/>
        <v/>
      </c>
      <c r="AK297" s="48" t="str">
        <f t="shared" si="74"/>
        <v/>
      </c>
      <c r="AL297" s="48" t="str">
        <f>IF(W297=0,"",_xlfn.CONCAT(DADOS!$A$8,Y297:AK297,"
"))</f>
        <v/>
      </c>
    </row>
    <row r="298" spans="4:38" s="48" customFormat="1" ht="15" customHeight="1" x14ac:dyDescent="0.25">
      <c r="D298" s="49"/>
      <c r="E298" s="43"/>
      <c r="F298" s="20"/>
      <c r="G298" s="14"/>
      <c r="H298" s="20"/>
      <c r="I298" s="15"/>
      <c r="J298" s="16"/>
      <c r="K298" s="14"/>
      <c r="L298" s="17"/>
      <c r="M298" s="18"/>
      <c r="N298" s="17"/>
      <c r="O298" s="18"/>
      <c r="P298" s="19"/>
      <c r="Q298" s="17"/>
      <c r="R298" s="40"/>
      <c r="S298" s="42">
        <v>284</v>
      </c>
      <c r="T298" s="40"/>
      <c r="V298" s="48" t="str">
        <f t="shared" si="71"/>
        <v/>
      </c>
      <c r="W298" s="48">
        <f t="shared" si="60"/>
        <v>0</v>
      </c>
      <c r="Y298" s="48" t="str">
        <f t="shared" si="61"/>
        <v/>
      </c>
      <c r="Z298" s="48" t="str">
        <f t="shared" si="62"/>
        <v/>
      </c>
      <c r="AA298" s="48" t="str">
        <f t="shared" si="63"/>
        <v/>
      </c>
      <c r="AB298" s="48" t="str">
        <f t="shared" si="72"/>
        <v/>
      </c>
      <c r="AC298" s="48" t="str">
        <f t="shared" si="64"/>
        <v/>
      </c>
      <c r="AD298" s="48" t="str">
        <f t="shared" si="65"/>
        <v/>
      </c>
      <c r="AE298" s="48" t="str">
        <f t="shared" si="66"/>
        <v/>
      </c>
      <c r="AF298" s="48" t="str">
        <f t="shared" si="67"/>
        <v/>
      </c>
      <c r="AG298" s="48" t="str">
        <f t="shared" si="68"/>
        <v/>
      </c>
      <c r="AH298" s="48" t="str">
        <f t="shared" si="69"/>
        <v/>
      </c>
      <c r="AI298" s="48" t="str">
        <f t="shared" si="70"/>
        <v/>
      </c>
      <c r="AJ298" s="48" t="str">
        <f t="shared" si="73"/>
        <v/>
      </c>
      <c r="AK298" s="48" t="str">
        <f t="shared" si="74"/>
        <v/>
      </c>
      <c r="AL298" s="48" t="str">
        <f>IF(W298=0,"",_xlfn.CONCAT(DADOS!$A$8,Y298:AK298,"
"))</f>
        <v/>
      </c>
    </row>
    <row r="299" spans="4:38" s="48" customFormat="1" ht="15" customHeight="1" x14ac:dyDescent="0.25">
      <c r="D299" s="49"/>
      <c r="E299" s="43"/>
      <c r="F299" s="20"/>
      <c r="G299" s="14"/>
      <c r="H299" s="20"/>
      <c r="I299" s="15"/>
      <c r="J299" s="16"/>
      <c r="K299" s="14"/>
      <c r="L299" s="17"/>
      <c r="M299" s="18"/>
      <c r="N299" s="17"/>
      <c r="O299" s="18"/>
      <c r="P299" s="19"/>
      <c r="Q299" s="17"/>
      <c r="R299" s="40"/>
      <c r="S299" s="42">
        <v>285</v>
      </c>
      <c r="T299" s="40"/>
      <c r="V299" s="48" t="str">
        <f t="shared" si="71"/>
        <v/>
      </c>
      <c r="W299" s="48">
        <f t="shared" si="60"/>
        <v>0</v>
      </c>
      <c r="Y299" s="48" t="str">
        <f t="shared" si="61"/>
        <v/>
      </c>
      <c r="Z299" s="48" t="str">
        <f t="shared" si="62"/>
        <v/>
      </c>
      <c r="AA299" s="48" t="str">
        <f t="shared" si="63"/>
        <v/>
      </c>
      <c r="AB299" s="48" t="str">
        <f t="shared" si="72"/>
        <v/>
      </c>
      <c r="AC299" s="48" t="str">
        <f t="shared" si="64"/>
        <v/>
      </c>
      <c r="AD299" s="48" t="str">
        <f t="shared" si="65"/>
        <v/>
      </c>
      <c r="AE299" s="48" t="str">
        <f t="shared" si="66"/>
        <v/>
      </c>
      <c r="AF299" s="48" t="str">
        <f t="shared" si="67"/>
        <v/>
      </c>
      <c r="AG299" s="48" t="str">
        <f t="shared" si="68"/>
        <v/>
      </c>
      <c r="AH299" s="48" t="str">
        <f t="shared" si="69"/>
        <v/>
      </c>
      <c r="AI299" s="48" t="str">
        <f t="shared" si="70"/>
        <v/>
      </c>
      <c r="AJ299" s="48" t="str">
        <f t="shared" si="73"/>
        <v/>
      </c>
      <c r="AK299" s="48" t="str">
        <f t="shared" si="74"/>
        <v/>
      </c>
      <c r="AL299" s="48" t="str">
        <f>IF(W299=0,"",_xlfn.CONCAT(DADOS!$A$8,Y299:AK299,"
"))</f>
        <v/>
      </c>
    </row>
    <row r="300" spans="4:38" s="48" customFormat="1" ht="15" customHeight="1" x14ac:dyDescent="0.25">
      <c r="D300" s="49"/>
      <c r="E300" s="43"/>
      <c r="F300" s="20"/>
      <c r="G300" s="14"/>
      <c r="H300" s="20"/>
      <c r="I300" s="15"/>
      <c r="J300" s="16"/>
      <c r="K300" s="14"/>
      <c r="L300" s="17"/>
      <c r="M300" s="18"/>
      <c r="N300" s="17"/>
      <c r="O300" s="18"/>
      <c r="P300" s="19"/>
      <c r="Q300" s="17"/>
      <c r="R300" s="40"/>
      <c r="S300" s="42">
        <v>286</v>
      </c>
      <c r="T300" s="40"/>
      <c r="V300" s="48" t="str">
        <f t="shared" si="71"/>
        <v/>
      </c>
      <c r="W300" s="48">
        <f t="shared" si="60"/>
        <v>0</v>
      </c>
      <c r="Y300" s="48" t="str">
        <f t="shared" si="61"/>
        <v/>
      </c>
      <c r="Z300" s="48" t="str">
        <f t="shared" si="62"/>
        <v/>
      </c>
      <c r="AA300" s="48" t="str">
        <f t="shared" si="63"/>
        <v/>
      </c>
      <c r="AB300" s="48" t="str">
        <f t="shared" si="72"/>
        <v/>
      </c>
      <c r="AC300" s="48" t="str">
        <f t="shared" si="64"/>
        <v/>
      </c>
      <c r="AD300" s="48" t="str">
        <f t="shared" si="65"/>
        <v/>
      </c>
      <c r="AE300" s="48" t="str">
        <f t="shared" si="66"/>
        <v/>
      </c>
      <c r="AF300" s="48" t="str">
        <f t="shared" si="67"/>
        <v/>
      </c>
      <c r="AG300" s="48" t="str">
        <f t="shared" si="68"/>
        <v/>
      </c>
      <c r="AH300" s="48" t="str">
        <f t="shared" si="69"/>
        <v/>
      </c>
      <c r="AI300" s="48" t="str">
        <f t="shared" si="70"/>
        <v/>
      </c>
      <c r="AJ300" s="48" t="str">
        <f t="shared" si="73"/>
        <v/>
      </c>
      <c r="AK300" s="48" t="str">
        <f t="shared" si="74"/>
        <v/>
      </c>
      <c r="AL300" s="48" t="str">
        <f>IF(W300=0,"",_xlfn.CONCAT(DADOS!$A$8,Y300:AK300,"
"))</f>
        <v/>
      </c>
    </row>
    <row r="301" spans="4:38" s="48" customFormat="1" ht="15" customHeight="1" x14ac:dyDescent="0.25">
      <c r="D301" s="49"/>
      <c r="E301" s="43"/>
      <c r="F301" s="20"/>
      <c r="G301" s="14"/>
      <c r="H301" s="20"/>
      <c r="I301" s="15"/>
      <c r="J301" s="16"/>
      <c r="K301" s="14"/>
      <c r="L301" s="17"/>
      <c r="M301" s="18"/>
      <c r="N301" s="17"/>
      <c r="O301" s="18"/>
      <c r="P301" s="19"/>
      <c r="Q301" s="17"/>
      <c r="R301" s="40"/>
      <c r="S301" s="42">
        <v>287</v>
      </c>
      <c r="T301" s="40"/>
      <c r="V301" s="48" t="str">
        <f t="shared" si="71"/>
        <v/>
      </c>
      <c r="W301" s="48">
        <f t="shared" si="60"/>
        <v>0</v>
      </c>
      <c r="Y301" s="48" t="str">
        <f t="shared" si="61"/>
        <v/>
      </c>
      <c r="Z301" s="48" t="str">
        <f t="shared" si="62"/>
        <v/>
      </c>
      <c r="AA301" s="48" t="str">
        <f t="shared" si="63"/>
        <v/>
      </c>
      <c r="AB301" s="48" t="str">
        <f t="shared" si="72"/>
        <v/>
      </c>
      <c r="AC301" s="48" t="str">
        <f t="shared" si="64"/>
        <v/>
      </c>
      <c r="AD301" s="48" t="str">
        <f t="shared" si="65"/>
        <v/>
      </c>
      <c r="AE301" s="48" t="str">
        <f t="shared" si="66"/>
        <v/>
      </c>
      <c r="AF301" s="48" t="str">
        <f t="shared" si="67"/>
        <v/>
      </c>
      <c r="AG301" s="48" t="str">
        <f t="shared" si="68"/>
        <v/>
      </c>
      <c r="AH301" s="48" t="str">
        <f t="shared" si="69"/>
        <v/>
      </c>
      <c r="AI301" s="48" t="str">
        <f t="shared" si="70"/>
        <v/>
      </c>
      <c r="AJ301" s="48" t="str">
        <f t="shared" si="73"/>
        <v/>
      </c>
      <c r="AK301" s="48" t="str">
        <f t="shared" si="74"/>
        <v/>
      </c>
      <c r="AL301" s="48" t="str">
        <f>IF(W301=0,"",_xlfn.CONCAT(DADOS!$A$8,Y301:AK301,"
"))</f>
        <v/>
      </c>
    </row>
    <row r="302" spans="4:38" s="48" customFormat="1" ht="15" customHeight="1" x14ac:dyDescent="0.25">
      <c r="D302" s="49"/>
      <c r="E302" s="43"/>
      <c r="F302" s="20"/>
      <c r="G302" s="14"/>
      <c r="H302" s="20"/>
      <c r="I302" s="15"/>
      <c r="J302" s="16"/>
      <c r="K302" s="14"/>
      <c r="L302" s="17"/>
      <c r="M302" s="18"/>
      <c r="N302" s="17"/>
      <c r="O302" s="18"/>
      <c r="P302" s="19"/>
      <c r="Q302" s="17"/>
      <c r="R302" s="40"/>
      <c r="S302" s="42">
        <v>288</v>
      </c>
      <c r="T302" s="40"/>
      <c r="V302" s="48" t="str">
        <f t="shared" si="71"/>
        <v/>
      </c>
      <c r="W302" s="48">
        <f t="shared" si="60"/>
        <v>0</v>
      </c>
      <c r="Y302" s="48" t="str">
        <f t="shared" si="61"/>
        <v/>
      </c>
      <c r="Z302" s="48" t="str">
        <f t="shared" si="62"/>
        <v/>
      </c>
      <c r="AA302" s="48" t="str">
        <f t="shared" si="63"/>
        <v/>
      </c>
      <c r="AB302" s="48" t="str">
        <f t="shared" si="72"/>
        <v/>
      </c>
      <c r="AC302" s="48" t="str">
        <f t="shared" si="64"/>
        <v/>
      </c>
      <c r="AD302" s="48" t="str">
        <f t="shared" si="65"/>
        <v/>
      </c>
      <c r="AE302" s="48" t="str">
        <f t="shared" si="66"/>
        <v/>
      </c>
      <c r="AF302" s="48" t="str">
        <f t="shared" si="67"/>
        <v/>
      </c>
      <c r="AG302" s="48" t="str">
        <f t="shared" si="68"/>
        <v/>
      </c>
      <c r="AH302" s="48" t="str">
        <f t="shared" si="69"/>
        <v/>
      </c>
      <c r="AI302" s="48" t="str">
        <f t="shared" si="70"/>
        <v/>
      </c>
      <c r="AJ302" s="48" t="str">
        <f t="shared" si="73"/>
        <v/>
      </c>
      <c r="AK302" s="48" t="str">
        <f t="shared" si="74"/>
        <v/>
      </c>
      <c r="AL302" s="48" t="str">
        <f>IF(W302=0,"",_xlfn.CONCAT(DADOS!$A$8,Y302:AK302,"
"))</f>
        <v/>
      </c>
    </row>
    <row r="303" spans="4:38" s="48" customFormat="1" ht="15" customHeight="1" x14ac:dyDescent="0.25">
      <c r="D303" s="49"/>
      <c r="E303" s="43"/>
      <c r="F303" s="20"/>
      <c r="G303" s="14"/>
      <c r="H303" s="20"/>
      <c r="I303" s="15"/>
      <c r="J303" s="16"/>
      <c r="K303" s="14"/>
      <c r="L303" s="17"/>
      <c r="M303" s="18"/>
      <c r="N303" s="17"/>
      <c r="O303" s="18"/>
      <c r="P303" s="19"/>
      <c r="Q303" s="17"/>
      <c r="R303" s="40"/>
      <c r="S303" s="42">
        <v>289</v>
      </c>
      <c r="T303" s="40"/>
      <c r="V303" s="48" t="str">
        <f t="shared" si="71"/>
        <v/>
      </c>
      <c r="W303" s="48">
        <f t="shared" si="60"/>
        <v>0</v>
      </c>
      <c r="Y303" s="48" t="str">
        <f t="shared" si="61"/>
        <v/>
      </c>
      <c r="Z303" s="48" t="str">
        <f t="shared" si="62"/>
        <v/>
      </c>
      <c r="AA303" s="48" t="str">
        <f t="shared" si="63"/>
        <v/>
      </c>
      <c r="AB303" s="48" t="str">
        <f t="shared" si="72"/>
        <v/>
      </c>
      <c r="AC303" s="48" t="str">
        <f t="shared" si="64"/>
        <v/>
      </c>
      <c r="AD303" s="48" t="str">
        <f t="shared" si="65"/>
        <v/>
      </c>
      <c r="AE303" s="48" t="str">
        <f t="shared" si="66"/>
        <v/>
      </c>
      <c r="AF303" s="48" t="str">
        <f t="shared" si="67"/>
        <v/>
      </c>
      <c r="AG303" s="48" t="str">
        <f t="shared" si="68"/>
        <v/>
      </c>
      <c r="AH303" s="48" t="str">
        <f t="shared" si="69"/>
        <v/>
      </c>
      <c r="AI303" s="48" t="str">
        <f t="shared" si="70"/>
        <v/>
      </c>
      <c r="AJ303" s="48" t="str">
        <f t="shared" si="73"/>
        <v/>
      </c>
      <c r="AK303" s="48" t="str">
        <f t="shared" si="74"/>
        <v/>
      </c>
      <c r="AL303" s="48" t="str">
        <f>IF(W303=0,"",_xlfn.CONCAT(DADOS!$A$8,Y303:AK303,"
"))</f>
        <v/>
      </c>
    </row>
    <row r="304" spans="4:38" s="48" customFormat="1" ht="15" customHeight="1" x14ac:dyDescent="0.25">
      <c r="D304" s="49"/>
      <c r="E304" s="43"/>
      <c r="F304" s="20"/>
      <c r="G304" s="14"/>
      <c r="H304" s="20"/>
      <c r="I304" s="15"/>
      <c r="J304" s="16"/>
      <c r="K304" s="14"/>
      <c r="L304" s="17"/>
      <c r="M304" s="18"/>
      <c r="N304" s="17"/>
      <c r="O304" s="18"/>
      <c r="P304" s="19"/>
      <c r="Q304" s="17"/>
      <c r="R304" s="40"/>
      <c r="S304" s="42">
        <v>290</v>
      </c>
      <c r="T304" s="40"/>
      <c r="V304" s="48" t="str">
        <f t="shared" si="71"/>
        <v/>
      </c>
      <c r="W304" s="48">
        <f t="shared" si="60"/>
        <v>0</v>
      </c>
      <c r="Y304" s="48" t="str">
        <f t="shared" si="61"/>
        <v/>
      </c>
      <c r="Z304" s="48" t="str">
        <f t="shared" si="62"/>
        <v/>
      </c>
      <c r="AA304" s="48" t="str">
        <f t="shared" si="63"/>
        <v/>
      </c>
      <c r="AB304" s="48" t="str">
        <f t="shared" si="72"/>
        <v/>
      </c>
      <c r="AC304" s="48" t="str">
        <f t="shared" si="64"/>
        <v/>
      </c>
      <c r="AD304" s="48" t="str">
        <f t="shared" si="65"/>
        <v/>
      </c>
      <c r="AE304" s="48" t="str">
        <f t="shared" si="66"/>
        <v/>
      </c>
      <c r="AF304" s="48" t="str">
        <f t="shared" si="67"/>
        <v/>
      </c>
      <c r="AG304" s="48" t="str">
        <f t="shared" si="68"/>
        <v/>
      </c>
      <c r="AH304" s="48" t="str">
        <f t="shared" si="69"/>
        <v/>
      </c>
      <c r="AI304" s="48" t="str">
        <f t="shared" si="70"/>
        <v/>
      </c>
      <c r="AJ304" s="48" t="str">
        <f t="shared" si="73"/>
        <v/>
      </c>
      <c r="AK304" s="48" t="str">
        <f t="shared" si="74"/>
        <v/>
      </c>
      <c r="AL304" s="48" t="str">
        <f>IF(W304=0,"",_xlfn.CONCAT(DADOS!$A$8,Y304:AK304,"
"))</f>
        <v/>
      </c>
    </row>
    <row r="305" spans="4:38" s="48" customFormat="1" ht="15" customHeight="1" x14ac:dyDescent="0.25">
      <c r="D305" s="49"/>
      <c r="E305" s="43"/>
      <c r="F305" s="20"/>
      <c r="G305" s="14"/>
      <c r="H305" s="20"/>
      <c r="I305" s="15"/>
      <c r="J305" s="16"/>
      <c r="K305" s="14"/>
      <c r="L305" s="17"/>
      <c r="M305" s="18"/>
      <c r="N305" s="17"/>
      <c r="O305" s="18"/>
      <c r="P305" s="19"/>
      <c r="Q305" s="17"/>
      <c r="R305" s="40"/>
      <c r="S305" s="42">
        <v>291</v>
      </c>
      <c r="T305" s="40"/>
      <c r="V305" s="48" t="str">
        <f t="shared" si="71"/>
        <v/>
      </c>
      <c r="W305" s="48">
        <f t="shared" si="60"/>
        <v>0</v>
      </c>
      <c r="Y305" s="48" t="str">
        <f t="shared" si="61"/>
        <v/>
      </c>
      <c r="Z305" s="48" t="str">
        <f t="shared" si="62"/>
        <v/>
      </c>
      <c r="AA305" s="48" t="str">
        <f t="shared" si="63"/>
        <v/>
      </c>
      <c r="AB305" s="48" t="str">
        <f t="shared" si="72"/>
        <v/>
      </c>
      <c r="AC305" s="48" t="str">
        <f t="shared" si="64"/>
        <v/>
      </c>
      <c r="AD305" s="48" t="str">
        <f t="shared" si="65"/>
        <v/>
      </c>
      <c r="AE305" s="48" t="str">
        <f t="shared" si="66"/>
        <v/>
      </c>
      <c r="AF305" s="48" t="str">
        <f t="shared" si="67"/>
        <v/>
      </c>
      <c r="AG305" s="48" t="str">
        <f t="shared" si="68"/>
        <v/>
      </c>
      <c r="AH305" s="48" t="str">
        <f t="shared" si="69"/>
        <v/>
      </c>
      <c r="AI305" s="48" t="str">
        <f t="shared" si="70"/>
        <v/>
      </c>
      <c r="AJ305" s="48" t="str">
        <f t="shared" si="73"/>
        <v/>
      </c>
      <c r="AK305" s="48" t="str">
        <f t="shared" si="74"/>
        <v/>
      </c>
      <c r="AL305" s="48" t="str">
        <f>IF(W305=0,"",_xlfn.CONCAT(DADOS!$A$8,Y305:AK305,"
"))</f>
        <v/>
      </c>
    </row>
    <row r="306" spans="4:38" s="48" customFormat="1" ht="15" customHeight="1" x14ac:dyDescent="0.25">
      <c r="D306" s="49"/>
      <c r="E306" s="43"/>
      <c r="F306" s="20"/>
      <c r="G306" s="14"/>
      <c r="H306" s="20"/>
      <c r="I306" s="15"/>
      <c r="J306" s="16"/>
      <c r="K306" s="14"/>
      <c r="L306" s="17"/>
      <c r="M306" s="18"/>
      <c r="N306" s="17"/>
      <c r="O306" s="18"/>
      <c r="P306" s="19"/>
      <c r="Q306" s="17"/>
      <c r="R306" s="40"/>
      <c r="S306" s="42">
        <v>292</v>
      </c>
      <c r="T306" s="40"/>
      <c r="V306" s="48" t="str">
        <f t="shared" si="71"/>
        <v/>
      </c>
      <c r="W306" s="48">
        <f t="shared" si="60"/>
        <v>0</v>
      </c>
      <c r="Y306" s="48" t="str">
        <f t="shared" si="61"/>
        <v/>
      </c>
      <c r="Z306" s="48" t="str">
        <f t="shared" si="62"/>
        <v/>
      </c>
      <c r="AA306" s="48" t="str">
        <f t="shared" si="63"/>
        <v/>
      </c>
      <c r="AB306" s="48" t="str">
        <f t="shared" si="72"/>
        <v/>
      </c>
      <c r="AC306" s="48" t="str">
        <f t="shared" si="64"/>
        <v/>
      </c>
      <c r="AD306" s="48" t="str">
        <f t="shared" si="65"/>
        <v/>
      </c>
      <c r="AE306" s="48" t="str">
        <f t="shared" si="66"/>
        <v/>
      </c>
      <c r="AF306" s="48" t="str">
        <f t="shared" si="67"/>
        <v/>
      </c>
      <c r="AG306" s="48" t="str">
        <f t="shared" si="68"/>
        <v/>
      </c>
      <c r="AH306" s="48" t="str">
        <f t="shared" si="69"/>
        <v/>
      </c>
      <c r="AI306" s="48" t="str">
        <f t="shared" si="70"/>
        <v/>
      </c>
      <c r="AJ306" s="48" t="str">
        <f t="shared" si="73"/>
        <v/>
      </c>
      <c r="AK306" s="48" t="str">
        <f t="shared" si="74"/>
        <v/>
      </c>
      <c r="AL306" s="48" t="str">
        <f>IF(W306=0,"",_xlfn.CONCAT(DADOS!$A$8,Y306:AK306,"
"))</f>
        <v/>
      </c>
    </row>
    <row r="307" spans="4:38" s="48" customFormat="1" ht="15" customHeight="1" x14ac:dyDescent="0.25">
      <c r="D307" s="49"/>
      <c r="E307" s="43"/>
      <c r="F307" s="20"/>
      <c r="G307" s="14"/>
      <c r="H307" s="20"/>
      <c r="I307" s="15"/>
      <c r="J307" s="16"/>
      <c r="K307" s="14"/>
      <c r="L307" s="17"/>
      <c r="M307" s="18"/>
      <c r="N307" s="17"/>
      <c r="O307" s="18"/>
      <c r="P307" s="19"/>
      <c r="Q307" s="17"/>
      <c r="R307" s="40"/>
      <c r="S307" s="42">
        <v>293</v>
      </c>
      <c r="T307" s="40"/>
      <c r="V307" s="48" t="str">
        <f t="shared" si="71"/>
        <v/>
      </c>
      <c r="W307" s="48">
        <f t="shared" si="60"/>
        <v>0</v>
      </c>
      <c r="Y307" s="48" t="str">
        <f t="shared" si="61"/>
        <v/>
      </c>
      <c r="Z307" s="48" t="str">
        <f t="shared" si="62"/>
        <v/>
      </c>
      <c r="AA307" s="48" t="str">
        <f t="shared" si="63"/>
        <v/>
      </c>
      <c r="AB307" s="48" t="str">
        <f t="shared" si="72"/>
        <v/>
      </c>
      <c r="AC307" s="48" t="str">
        <f t="shared" si="64"/>
        <v/>
      </c>
      <c r="AD307" s="48" t="str">
        <f t="shared" si="65"/>
        <v/>
      </c>
      <c r="AE307" s="48" t="str">
        <f t="shared" si="66"/>
        <v/>
      </c>
      <c r="AF307" s="48" t="str">
        <f t="shared" si="67"/>
        <v/>
      </c>
      <c r="AG307" s="48" t="str">
        <f t="shared" si="68"/>
        <v/>
      </c>
      <c r="AH307" s="48" t="str">
        <f t="shared" si="69"/>
        <v/>
      </c>
      <c r="AI307" s="48" t="str">
        <f t="shared" si="70"/>
        <v/>
      </c>
      <c r="AJ307" s="48" t="str">
        <f t="shared" si="73"/>
        <v/>
      </c>
      <c r="AK307" s="48" t="str">
        <f t="shared" si="74"/>
        <v/>
      </c>
      <c r="AL307" s="48" t="str">
        <f>IF(W307=0,"",_xlfn.CONCAT(DADOS!$A$8,Y307:AK307,"
"))</f>
        <v/>
      </c>
    </row>
    <row r="308" spans="4:38" s="48" customFormat="1" ht="15" customHeight="1" x14ac:dyDescent="0.25">
      <c r="D308" s="49"/>
      <c r="E308" s="43"/>
      <c r="F308" s="20"/>
      <c r="G308" s="14"/>
      <c r="H308" s="20"/>
      <c r="I308" s="15"/>
      <c r="J308" s="16"/>
      <c r="K308" s="14"/>
      <c r="L308" s="17"/>
      <c r="M308" s="18"/>
      <c r="N308" s="17"/>
      <c r="O308" s="18"/>
      <c r="P308" s="19"/>
      <c r="Q308" s="17"/>
      <c r="R308" s="40"/>
      <c r="S308" s="42">
        <v>294</v>
      </c>
      <c r="T308" s="40"/>
      <c r="V308" s="48" t="str">
        <f t="shared" si="71"/>
        <v/>
      </c>
      <c r="W308" s="48">
        <f t="shared" si="60"/>
        <v>0</v>
      </c>
      <c r="Y308" s="48" t="str">
        <f t="shared" si="61"/>
        <v/>
      </c>
      <c r="Z308" s="48" t="str">
        <f t="shared" si="62"/>
        <v/>
      </c>
      <c r="AA308" s="48" t="str">
        <f t="shared" si="63"/>
        <v/>
      </c>
      <c r="AB308" s="48" t="str">
        <f t="shared" si="72"/>
        <v/>
      </c>
      <c r="AC308" s="48" t="str">
        <f t="shared" si="64"/>
        <v/>
      </c>
      <c r="AD308" s="48" t="str">
        <f t="shared" si="65"/>
        <v/>
      </c>
      <c r="AE308" s="48" t="str">
        <f t="shared" si="66"/>
        <v/>
      </c>
      <c r="AF308" s="48" t="str">
        <f t="shared" si="67"/>
        <v/>
      </c>
      <c r="AG308" s="48" t="str">
        <f t="shared" si="68"/>
        <v/>
      </c>
      <c r="AH308" s="48" t="str">
        <f t="shared" si="69"/>
        <v/>
      </c>
      <c r="AI308" s="48" t="str">
        <f t="shared" si="70"/>
        <v/>
      </c>
      <c r="AJ308" s="48" t="str">
        <f t="shared" si="73"/>
        <v/>
      </c>
      <c r="AK308" s="48" t="str">
        <f t="shared" si="74"/>
        <v/>
      </c>
      <c r="AL308" s="48" t="str">
        <f>IF(W308=0,"",_xlfn.CONCAT(DADOS!$A$8,Y308:AK308,"
"))</f>
        <v/>
      </c>
    </row>
    <row r="309" spans="4:38" s="48" customFormat="1" ht="15" customHeight="1" x14ac:dyDescent="0.25">
      <c r="D309" s="49"/>
      <c r="E309" s="43"/>
      <c r="F309" s="20"/>
      <c r="G309" s="14"/>
      <c r="H309" s="20"/>
      <c r="I309" s="15"/>
      <c r="J309" s="16"/>
      <c r="K309" s="14"/>
      <c r="L309" s="17"/>
      <c r="M309" s="18"/>
      <c r="N309" s="17"/>
      <c r="O309" s="18"/>
      <c r="P309" s="19"/>
      <c r="Q309" s="17"/>
      <c r="R309" s="40"/>
      <c r="S309" s="42">
        <v>295</v>
      </c>
      <c r="T309" s="40"/>
      <c r="V309" s="48" t="str">
        <f t="shared" si="71"/>
        <v/>
      </c>
      <c r="W309" s="48">
        <f t="shared" si="60"/>
        <v>0</v>
      </c>
      <c r="Y309" s="48" t="str">
        <f t="shared" si="61"/>
        <v/>
      </c>
      <c r="Z309" s="48" t="str">
        <f t="shared" si="62"/>
        <v/>
      </c>
      <c r="AA309" s="48" t="str">
        <f t="shared" si="63"/>
        <v/>
      </c>
      <c r="AB309" s="48" t="str">
        <f t="shared" si="72"/>
        <v/>
      </c>
      <c r="AC309" s="48" t="str">
        <f t="shared" si="64"/>
        <v/>
      </c>
      <c r="AD309" s="48" t="str">
        <f t="shared" si="65"/>
        <v/>
      </c>
      <c r="AE309" s="48" t="str">
        <f t="shared" si="66"/>
        <v/>
      </c>
      <c r="AF309" s="48" t="str">
        <f t="shared" si="67"/>
        <v/>
      </c>
      <c r="AG309" s="48" t="str">
        <f t="shared" si="68"/>
        <v/>
      </c>
      <c r="AH309" s="48" t="str">
        <f t="shared" si="69"/>
        <v/>
      </c>
      <c r="AI309" s="48" t="str">
        <f t="shared" si="70"/>
        <v/>
      </c>
      <c r="AJ309" s="48" t="str">
        <f t="shared" si="73"/>
        <v/>
      </c>
      <c r="AK309" s="48" t="str">
        <f t="shared" si="74"/>
        <v/>
      </c>
      <c r="AL309" s="48" t="str">
        <f>IF(W309=0,"",_xlfn.CONCAT(DADOS!$A$8,Y309:AK309,"
"))</f>
        <v/>
      </c>
    </row>
    <row r="310" spans="4:38" s="48" customFormat="1" ht="15" customHeight="1" x14ac:dyDescent="0.25">
      <c r="D310" s="49"/>
      <c r="E310" s="43"/>
      <c r="F310" s="20"/>
      <c r="G310" s="14"/>
      <c r="H310" s="20"/>
      <c r="I310" s="15"/>
      <c r="J310" s="16"/>
      <c r="K310" s="14"/>
      <c r="L310" s="17"/>
      <c r="M310" s="18"/>
      <c r="N310" s="17"/>
      <c r="O310" s="18"/>
      <c r="P310" s="19"/>
      <c r="Q310" s="17"/>
      <c r="R310" s="40"/>
      <c r="S310" s="42">
        <v>296</v>
      </c>
      <c r="T310" s="40"/>
      <c r="V310" s="48" t="str">
        <f t="shared" si="71"/>
        <v/>
      </c>
      <c r="W310" s="48">
        <f t="shared" si="60"/>
        <v>0</v>
      </c>
      <c r="Y310" s="48" t="str">
        <f t="shared" si="61"/>
        <v/>
      </c>
      <c r="Z310" s="48" t="str">
        <f t="shared" si="62"/>
        <v/>
      </c>
      <c r="AA310" s="48" t="str">
        <f t="shared" si="63"/>
        <v/>
      </c>
      <c r="AB310" s="48" t="str">
        <f t="shared" si="72"/>
        <v/>
      </c>
      <c r="AC310" s="48" t="str">
        <f t="shared" si="64"/>
        <v/>
      </c>
      <c r="AD310" s="48" t="str">
        <f t="shared" si="65"/>
        <v/>
      </c>
      <c r="AE310" s="48" t="str">
        <f t="shared" si="66"/>
        <v/>
      </c>
      <c r="AF310" s="48" t="str">
        <f t="shared" si="67"/>
        <v/>
      </c>
      <c r="AG310" s="48" t="str">
        <f t="shared" si="68"/>
        <v/>
      </c>
      <c r="AH310" s="48" t="str">
        <f t="shared" si="69"/>
        <v/>
      </c>
      <c r="AI310" s="48" t="str">
        <f t="shared" si="70"/>
        <v/>
      </c>
      <c r="AJ310" s="48" t="str">
        <f t="shared" si="73"/>
        <v/>
      </c>
      <c r="AK310" s="48" t="str">
        <f t="shared" si="74"/>
        <v/>
      </c>
      <c r="AL310" s="48" t="str">
        <f>IF(W310=0,"",_xlfn.CONCAT(DADOS!$A$8,Y310:AK310,"
"))</f>
        <v/>
      </c>
    </row>
    <row r="311" spans="4:38" s="48" customFormat="1" ht="15" customHeight="1" x14ac:dyDescent="0.25">
      <c r="D311" s="49"/>
      <c r="E311" s="43"/>
      <c r="F311" s="20"/>
      <c r="G311" s="14"/>
      <c r="H311" s="20"/>
      <c r="I311" s="15"/>
      <c r="J311" s="16"/>
      <c r="K311" s="14"/>
      <c r="L311" s="17"/>
      <c r="M311" s="18"/>
      <c r="N311" s="17"/>
      <c r="O311" s="18"/>
      <c r="P311" s="19"/>
      <c r="Q311" s="17"/>
      <c r="R311" s="40"/>
      <c r="S311" s="42">
        <v>297</v>
      </c>
      <c r="T311" s="40"/>
      <c r="V311" s="48" t="str">
        <f t="shared" si="71"/>
        <v/>
      </c>
      <c r="W311" s="48">
        <f t="shared" si="60"/>
        <v>0</v>
      </c>
      <c r="Y311" s="48" t="str">
        <f t="shared" si="61"/>
        <v/>
      </c>
      <c r="Z311" s="48" t="str">
        <f t="shared" si="62"/>
        <v/>
      </c>
      <c r="AA311" s="48" t="str">
        <f t="shared" si="63"/>
        <v/>
      </c>
      <c r="AB311" s="48" t="str">
        <f t="shared" si="72"/>
        <v/>
      </c>
      <c r="AC311" s="48" t="str">
        <f t="shared" si="64"/>
        <v/>
      </c>
      <c r="AD311" s="48" t="str">
        <f t="shared" si="65"/>
        <v/>
      </c>
      <c r="AE311" s="48" t="str">
        <f t="shared" si="66"/>
        <v/>
      </c>
      <c r="AF311" s="48" t="str">
        <f t="shared" si="67"/>
        <v/>
      </c>
      <c r="AG311" s="48" t="str">
        <f t="shared" si="68"/>
        <v/>
      </c>
      <c r="AH311" s="48" t="str">
        <f t="shared" si="69"/>
        <v/>
      </c>
      <c r="AI311" s="48" t="str">
        <f t="shared" si="70"/>
        <v/>
      </c>
      <c r="AJ311" s="48" t="str">
        <f t="shared" si="73"/>
        <v/>
      </c>
      <c r="AK311" s="48" t="str">
        <f t="shared" si="74"/>
        <v/>
      </c>
      <c r="AL311" s="48" t="str">
        <f>IF(W311=0,"",_xlfn.CONCAT(DADOS!$A$8,Y311:AK311,"
"))</f>
        <v/>
      </c>
    </row>
    <row r="312" spans="4:38" s="48" customFormat="1" ht="15" customHeight="1" x14ac:dyDescent="0.25">
      <c r="D312" s="49"/>
      <c r="E312" s="43"/>
      <c r="F312" s="20"/>
      <c r="G312" s="14"/>
      <c r="H312" s="20"/>
      <c r="I312" s="15"/>
      <c r="J312" s="16"/>
      <c r="K312" s="14"/>
      <c r="L312" s="17"/>
      <c r="M312" s="18"/>
      <c r="N312" s="17"/>
      <c r="O312" s="18"/>
      <c r="P312" s="19"/>
      <c r="Q312" s="17"/>
      <c r="R312" s="40"/>
      <c r="S312" s="42">
        <v>298</v>
      </c>
      <c r="T312" s="40"/>
      <c r="V312" s="48" t="str">
        <f t="shared" si="71"/>
        <v/>
      </c>
      <c r="W312" s="48">
        <f t="shared" si="60"/>
        <v>0</v>
      </c>
      <c r="Y312" s="48" t="str">
        <f t="shared" si="61"/>
        <v/>
      </c>
      <c r="Z312" s="48" t="str">
        <f t="shared" si="62"/>
        <v/>
      </c>
      <c r="AA312" s="48" t="str">
        <f t="shared" si="63"/>
        <v/>
      </c>
      <c r="AB312" s="48" t="str">
        <f t="shared" si="72"/>
        <v/>
      </c>
      <c r="AC312" s="48" t="str">
        <f t="shared" si="64"/>
        <v/>
      </c>
      <c r="AD312" s="48" t="str">
        <f t="shared" si="65"/>
        <v/>
      </c>
      <c r="AE312" s="48" t="str">
        <f t="shared" si="66"/>
        <v/>
      </c>
      <c r="AF312" s="48" t="str">
        <f t="shared" si="67"/>
        <v/>
      </c>
      <c r="AG312" s="48" t="str">
        <f t="shared" si="68"/>
        <v/>
      </c>
      <c r="AH312" s="48" t="str">
        <f t="shared" si="69"/>
        <v/>
      </c>
      <c r="AI312" s="48" t="str">
        <f t="shared" si="70"/>
        <v/>
      </c>
      <c r="AJ312" s="48" t="str">
        <f t="shared" si="73"/>
        <v/>
      </c>
      <c r="AK312" s="48" t="str">
        <f t="shared" si="74"/>
        <v/>
      </c>
      <c r="AL312" s="48" t="str">
        <f>IF(W312=0,"",_xlfn.CONCAT(DADOS!$A$8,Y312:AK312,"
"))</f>
        <v/>
      </c>
    </row>
    <row r="313" spans="4:38" s="48" customFormat="1" ht="15" customHeight="1" x14ac:dyDescent="0.25">
      <c r="D313" s="49"/>
      <c r="E313" s="43"/>
      <c r="F313" s="20"/>
      <c r="G313" s="14"/>
      <c r="H313" s="20"/>
      <c r="I313" s="15"/>
      <c r="J313" s="16"/>
      <c r="K313" s="14"/>
      <c r="L313" s="17"/>
      <c r="M313" s="18"/>
      <c r="N313" s="17"/>
      <c r="O313" s="18"/>
      <c r="P313" s="19"/>
      <c r="Q313" s="17"/>
      <c r="R313" s="40"/>
      <c r="S313" s="42">
        <v>299</v>
      </c>
      <c r="T313" s="40"/>
      <c r="V313" s="48" t="str">
        <f t="shared" si="71"/>
        <v/>
      </c>
      <c r="W313" s="48">
        <f t="shared" si="60"/>
        <v>0</v>
      </c>
      <c r="Y313" s="48" t="str">
        <f t="shared" si="61"/>
        <v/>
      </c>
      <c r="Z313" s="48" t="str">
        <f t="shared" si="62"/>
        <v/>
      </c>
      <c r="AA313" s="48" t="str">
        <f t="shared" si="63"/>
        <v/>
      </c>
      <c r="AB313" s="48" t="str">
        <f t="shared" si="72"/>
        <v/>
      </c>
      <c r="AC313" s="48" t="str">
        <f t="shared" si="64"/>
        <v/>
      </c>
      <c r="AD313" s="48" t="str">
        <f t="shared" si="65"/>
        <v/>
      </c>
      <c r="AE313" s="48" t="str">
        <f t="shared" si="66"/>
        <v/>
      </c>
      <c r="AF313" s="48" t="str">
        <f t="shared" si="67"/>
        <v/>
      </c>
      <c r="AG313" s="48" t="str">
        <f t="shared" si="68"/>
        <v/>
      </c>
      <c r="AH313" s="48" t="str">
        <f t="shared" si="69"/>
        <v/>
      </c>
      <c r="AI313" s="48" t="str">
        <f t="shared" si="70"/>
        <v/>
      </c>
      <c r="AJ313" s="48" t="str">
        <f t="shared" si="73"/>
        <v/>
      </c>
      <c r="AK313" s="48" t="str">
        <f t="shared" si="74"/>
        <v/>
      </c>
      <c r="AL313" s="48" t="str">
        <f>IF(W313=0,"",_xlfn.CONCAT(DADOS!$A$8,Y313:AK313,"
"))</f>
        <v/>
      </c>
    </row>
    <row r="314" spans="4:38" s="48" customFormat="1" ht="15" customHeight="1" x14ac:dyDescent="0.25">
      <c r="D314" s="49"/>
      <c r="E314" s="43"/>
      <c r="F314" s="20"/>
      <c r="G314" s="14"/>
      <c r="H314" s="20"/>
      <c r="I314" s="15"/>
      <c r="J314" s="16"/>
      <c r="K314" s="14"/>
      <c r="L314" s="17"/>
      <c r="M314" s="18"/>
      <c r="N314" s="17"/>
      <c r="O314" s="18"/>
      <c r="P314" s="19"/>
      <c r="Q314" s="17"/>
      <c r="R314" s="40"/>
      <c r="S314" s="42">
        <v>300</v>
      </c>
      <c r="T314" s="40"/>
      <c r="V314" s="48" t="str">
        <f t="shared" si="71"/>
        <v/>
      </c>
      <c r="W314" s="48">
        <f t="shared" si="60"/>
        <v>0</v>
      </c>
      <c r="Y314" s="48" t="str">
        <f t="shared" si="61"/>
        <v/>
      </c>
      <c r="Z314" s="48" t="str">
        <f t="shared" si="62"/>
        <v/>
      </c>
      <c r="AA314" s="48" t="str">
        <f t="shared" si="63"/>
        <v/>
      </c>
      <c r="AB314" s="48" t="str">
        <f t="shared" si="72"/>
        <v/>
      </c>
      <c r="AC314" s="48" t="str">
        <f t="shared" si="64"/>
        <v/>
      </c>
      <c r="AD314" s="48" t="str">
        <f t="shared" si="65"/>
        <v/>
      </c>
      <c r="AE314" s="48" t="str">
        <f t="shared" si="66"/>
        <v/>
      </c>
      <c r="AF314" s="48" t="str">
        <f t="shared" si="67"/>
        <v/>
      </c>
      <c r="AG314" s="48" t="str">
        <f t="shared" si="68"/>
        <v/>
      </c>
      <c r="AH314" s="48" t="str">
        <f t="shared" si="69"/>
        <v/>
      </c>
      <c r="AI314" s="48" t="str">
        <f t="shared" si="70"/>
        <v/>
      </c>
      <c r="AJ314" s="48" t="str">
        <f t="shared" si="73"/>
        <v/>
      </c>
      <c r="AK314" s="48" t="str">
        <f t="shared" si="74"/>
        <v/>
      </c>
      <c r="AL314" s="48" t="str">
        <f>IF(W314=0,"",_xlfn.CONCAT(DADOS!$A$8,Y314:AK314,"
"))</f>
        <v/>
      </c>
    </row>
    <row r="315" spans="4:38" s="48" customFormat="1" ht="15" customHeight="1" x14ac:dyDescent="0.25">
      <c r="D315" s="49"/>
      <c r="E315" s="43"/>
      <c r="F315" s="20"/>
      <c r="G315" s="14"/>
      <c r="H315" s="20"/>
      <c r="I315" s="15"/>
      <c r="J315" s="16"/>
      <c r="K315" s="14"/>
      <c r="L315" s="17"/>
      <c r="M315" s="18"/>
      <c r="N315" s="17"/>
      <c r="O315" s="18"/>
      <c r="P315" s="19"/>
      <c r="Q315" s="17"/>
      <c r="R315" s="40"/>
      <c r="S315" s="42">
        <v>301</v>
      </c>
      <c r="T315" s="40"/>
      <c r="V315" s="48" t="str">
        <f t="shared" si="71"/>
        <v/>
      </c>
      <c r="W315" s="48">
        <f t="shared" si="60"/>
        <v>0</v>
      </c>
      <c r="Y315" s="48" t="str">
        <f t="shared" si="61"/>
        <v/>
      </c>
      <c r="Z315" s="48" t="str">
        <f t="shared" si="62"/>
        <v/>
      </c>
      <c r="AA315" s="48" t="str">
        <f t="shared" si="63"/>
        <v/>
      </c>
      <c r="AB315" s="48" t="str">
        <f t="shared" si="72"/>
        <v/>
      </c>
      <c r="AC315" s="48" t="str">
        <f t="shared" si="64"/>
        <v/>
      </c>
      <c r="AD315" s="48" t="str">
        <f t="shared" si="65"/>
        <v/>
      </c>
      <c r="AE315" s="48" t="str">
        <f t="shared" si="66"/>
        <v/>
      </c>
      <c r="AF315" s="48" t="str">
        <f t="shared" si="67"/>
        <v/>
      </c>
      <c r="AG315" s="48" t="str">
        <f t="shared" si="68"/>
        <v/>
      </c>
      <c r="AH315" s="48" t="str">
        <f t="shared" si="69"/>
        <v/>
      </c>
      <c r="AI315" s="48" t="str">
        <f t="shared" si="70"/>
        <v/>
      </c>
      <c r="AJ315" s="48" t="str">
        <f t="shared" si="73"/>
        <v/>
      </c>
      <c r="AK315" s="48" t="str">
        <f t="shared" si="74"/>
        <v/>
      </c>
      <c r="AL315" s="48" t="str">
        <f>IF(W315=0,"",_xlfn.CONCAT(DADOS!$A$8,Y315:AK315,"
"))</f>
        <v/>
      </c>
    </row>
    <row r="316" spans="4:38" s="48" customFormat="1" ht="15" customHeight="1" x14ac:dyDescent="0.25">
      <c r="D316" s="49"/>
      <c r="E316" s="43"/>
      <c r="F316" s="20"/>
      <c r="G316" s="14"/>
      <c r="H316" s="20"/>
      <c r="I316" s="15"/>
      <c r="J316" s="16"/>
      <c r="K316" s="14"/>
      <c r="L316" s="17"/>
      <c r="M316" s="18"/>
      <c r="N316" s="17"/>
      <c r="O316" s="18"/>
      <c r="P316" s="19"/>
      <c r="Q316" s="17"/>
      <c r="R316" s="40"/>
      <c r="S316" s="42">
        <v>302</v>
      </c>
      <c r="T316" s="40"/>
      <c r="V316" s="48" t="str">
        <f t="shared" si="71"/>
        <v/>
      </c>
      <c r="W316" s="48">
        <f t="shared" si="60"/>
        <v>0</v>
      </c>
      <c r="Y316" s="48" t="str">
        <f t="shared" si="61"/>
        <v/>
      </c>
      <c r="Z316" s="48" t="str">
        <f t="shared" si="62"/>
        <v/>
      </c>
      <c r="AA316" s="48" t="str">
        <f t="shared" si="63"/>
        <v/>
      </c>
      <c r="AB316" s="48" t="str">
        <f t="shared" si="72"/>
        <v/>
      </c>
      <c r="AC316" s="48" t="str">
        <f t="shared" si="64"/>
        <v/>
      </c>
      <c r="AD316" s="48" t="str">
        <f t="shared" si="65"/>
        <v/>
      </c>
      <c r="AE316" s="48" t="str">
        <f t="shared" si="66"/>
        <v/>
      </c>
      <c r="AF316" s="48" t="str">
        <f t="shared" si="67"/>
        <v/>
      </c>
      <c r="AG316" s="48" t="str">
        <f t="shared" si="68"/>
        <v/>
      </c>
      <c r="AH316" s="48" t="str">
        <f t="shared" si="69"/>
        <v/>
      </c>
      <c r="AI316" s="48" t="str">
        <f t="shared" si="70"/>
        <v/>
      </c>
      <c r="AJ316" s="48" t="str">
        <f t="shared" si="73"/>
        <v/>
      </c>
      <c r="AK316" s="48" t="str">
        <f t="shared" si="74"/>
        <v/>
      </c>
      <c r="AL316" s="48" t="str">
        <f>IF(W316=0,"",_xlfn.CONCAT(DADOS!$A$8,Y316:AK316,"
"))</f>
        <v/>
      </c>
    </row>
    <row r="317" spans="4:38" s="48" customFormat="1" ht="15" customHeight="1" x14ac:dyDescent="0.25">
      <c r="D317" s="49"/>
      <c r="E317" s="43"/>
      <c r="F317" s="20"/>
      <c r="G317" s="14"/>
      <c r="H317" s="20"/>
      <c r="I317" s="15"/>
      <c r="J317" s="16"/>
      <c r="K317" s="14"/>
      <c r="L317" s="17"/>
      <c r="M317" s="18"/>
      <c r="N317" s="17"/>
      <c r="O317" s="18"/>
      <c r="P317" s="19"/>
      <c r="Q317" s="17"/>
      <c r="R317" s="40"/>
      <c r="S317" s="42">
        <v>303</v>
      </c>
      <c r="T317" s="40"/>
      <c r="V317" s="48" t="str">
        <f t="shared" si="71"/>
        <v/>
      </c>
      <c r="W317" s="48">
        <f t="shared" si="60"/>
        <v>0</v>
      </c>
      <c r="Y317" s="48" t="str">
        <f t="shared" si="61"/>
        <v/>
      </c>
      <c r="Z317" s="48" t="str">
        <f t="shared" si="62"/>
        <v/>
      </c>
      <c r="AA317" s="48" t="str">
        <f t="shared" si="63"/>
        <v/>
      </c>
      <c r="AB317" s="48" t="str">
        <f t="shared" si="72"/>
        <v/>
      </c>
      <c r="AC317" s="48" t="str">
        <f t="shared" si="64"/>
        <v/>
      </c>
      <c r="AD317" s="48" t="str">
        <f t="shared" si="65"/>
        <v/>
      </c>
      <c r="AE317" s="48" t="str">
        <f t="shared" si="66"/>
        <v/>
      </c>
      <c r="AF317" s="48" t="str">
        <f t="shared" si="67"/>
        <v/>
      </c>
      <c r="AG317" s="48" t="str">
        <f t="shared" si="68"/>
        <v/>
      </c>
      <c r="AH317" s="48" t="str">
        <f t="shared" si="69"/>
        <v/>
      </c>
      <c r="AI317" s="48" t="str">
        <f t="shared" si="70"/>
        <v/>
      </c>
      <c r="AJ317" s="48" t="str">
        <f t="shared" si="73"/>
        <v/>
      </c>
      <c r="AK317" s="48" t="str">
        <f t="shared" si="74"/>
        <v/>
      </c>
      <c r="AL317" s="48" t="str">
        <f>IF(W317=0,"",_xlfn.CONCAT(DADOS!$A$8,Y317:AK317,"
"))</f>
        <v/>
      </c>
    </row>
    <row r="318" spans="4:38" s="48" customFormat="1" ht="15" customHeight="1" x14ac:dyDescent="0.25">
      <c r="D318" s="49"/>
      <c r="E318" s="43"/>
      <c r="F318" s="20"/>
      <c r="G318" s="14"/>
      <c r="H318" s="20"/>
      <c r="I318" s="15"/>
      <c r="J318" s="16"/>
      <c r="K318" s="14"/>
      <c r="L318" s="17"/>
      <c r="M318" s="18"/>
      <c r="N318" s="17"/>
      <c r="O318" s="18"/>
      <c r="P318" s="19"/>
      <c r="Q318" s="17"/>
      <c r="R318" s="40"/>
      <c r="S318" s="42">
        <v>304</v>
      </c>
      <c r="T318" s="40"/>
      <c r="V318" s="48" t="str">
        <f t="shared" si="71"/>
        <v/>
      </c>
      <c r="W318" s="48">
        <f t="shared" si="60"/>
        <v>0</v>
      </c>
      <c r="Y318" s="48" t="str">
        <f t="shared" si="61"/>
        <v/>
      </c>
      <c r="Z318" s="48" t="str">
        <f t="shared" si="62"/>
        <v/>
      </c>
      <c r="AA318" s="48" t="str">
        <f t="shared" si="63"/>
        <v/>
      </c>
      <c r="AB318" s="48" t="str">
        <f t="shared" si="72"/>
        <v/>
      </c>
      <c r="AC318" s="48" t="str">
        <f t="shared" si="64"/>
        <v/>
      </c>
      <c r="AD318" s="48" t="str">
        <f t="shared" si="65"/>
        <v/>
      </c>
      <c r="AE318" s="48" t="str">
        <f t="shared" si="66"/>
        <v/>
      </c>
      <c r="AF318" s="48" t="str">
        <f t="shared" si="67"/>
        <v/>
      </c>
      <c r="AG318" s="48" t="str">
        <f t="shared" si="68"/>
        <v/>
      </c>
      <c r="AH318" s="48" t="str">
        <f t="shared" si="69"/>
        <v/>
      </c>
      <c r="AI318" s="48" t="str">
        <f t="shared" si="70"/>
        <v/>
      </c>
      <c r="AJ318" s="48" t="str">
        <f t="shared" si="73"/>
        <v/>
      </c>
      <c r="AK318" s="48" t="str">
        <f t="shared" si="74"/>
        <v/>
      </c>
      <c r="AL318" s="48" t="str">
        <f>IF(W318=0,"",_xlfn.CONCAT(DADOS!$A$8,Y318:AK318,"
"))</f>
        <v/>
      </c>
    </row>
    <row r="319" spans="4:38" s="48" customFormat="1" ht="15" customHeight="1" x14ac:dyDescent="0.25">
      <c r="D319" s="49"/>
      <c r="E319" s="43"/>
      <c r="F319" s="20"/>
      <c r="G319" s="14"/>
      <c r="H319" s="20"/>
      <c r="I319" s="15"/>
      <c r="J319" s="16"/>
      <c r="K319" s="14"/>
      <c r="L319" s="17"/>
      <c r="M319" s="18"/>
      <c r="N319" s="17"/>
      <c r="O319" s="18"/>
      <c r="P319" s="19"/>
      <c r="Q319" s="17"/>
      <c r="R319" s="40"/>
      <c r="S319" s="42">
        <v>305</v>
      </c>
      <c r="T319" s="40"/>
      <c r="V319" s="48" t="str">
        <f t="shared" si="71"/>
        <v/>
      </c>
      <c r="W319" s="48">
        <f t="shared" si="60"/>
        <v>0</v>
      </c>
      <c r="Y319" s="48" t="str">
        <f t="shared" si="61"/>
        <v/>
      </c>
      <c r="Z319" s="48" t="str">
        <f t="shared" si="62"/>
        <v/>
      </c>
      <c r="AA319" s="48" t="str">
        <f t="shared" si="63"/>
        <v/>
      </c>
      <c r="AB319" s="48" t="str">
        <f t="shared" si="72"/>
        <v/>
      </c>
      <c r="AC319" s="48" t="str">
        <f t="shared" si="64"/>
        <v/>
      </c>
      <c r="AD319" s="48" t="str">
        <f t="shared" si="65"/>
        <v/>
      </c>
      <c r="AE319" s="48" t="str">
        <f t="shared" si="66"/>
        <v/>
      </c>
      <c r="AF319" s="48" t="str">
        <f t="shared" si="67"/>
        <v/>
      </c>
      <c r="AG319" s="48" t="str">
        <f t="shared" si="68"/>
        <v/>
      </c>
      <c r="AH319" s="48" t="str">
        <f t="shared" si="69"/>
        <v/>
      </c>
      <c r="AI319" s="48" t="str">
        <f t="shared" si="70"/>
        <v/>
      </c>
      <c r="AJ319" s="48" t="str">
        <f t="shared" si="73"/>
        <v/>
      </c>
      <c r="AK319" s="48" t="str">
        <f t="shared" si="74"/>
        <v/>
      </c>
      <c r="AL319" s="48" t="str">
        <f>IF(W319=0,"",_xlfn.CONCAT(DADOS!$A$8,Y319:AK319,"
"))</f>
        <v/>
      </c>
    </row>
    <row r="320" spans="4:38" s="48" customFormat="1" ht="15" customHeight="1" x14ac:dyDescent="0.25">
      <c r="D320" s="49"/>
      <c r="E320" s="43"/>
      <c r="F320" s="20"/>
      <c r="G320" s="14"/>
      <c r="H320" s="20"/>
      <c r="I320" s="15"/>
      <c r="J320" s="16"/>
      <c r="K320" s="14"/>
      <c r="L320" s="17"/>
      <c r="M320" s="18"/>
      <c r="N320" s="17"/>
      <c r="O320" s="18"/>
      <c r="P320" s="19"/>
      <c r="Q320" s="17"/>
      <c r="R320" s="40"/>
      <c r="S320" s="42">
        <v>306</v>
      </c>
      <c r="T320" s="40"/>
      <c r="V320" s="48" t="str">
        <f t="shared" si="71"/>
        <v/>
      </c>
      <c r="W320" s="48">
        <f t="shared" si="60"/>
        <v>0</v>
      </c>
      <c r="Y320" s="48" t="str">
        <f t="shared" si="61"/>
        <v/>
      </c>
      <c r="Z320" s="48" t="str">
        <f t="shared" si="62"/>
        <v/>
      </c>
      <c r="AA320" s="48" t="str">
        <f t="shared" si="63"/>
        <v/>
      </c>
      <c r="AB320" s="48" t="str">
        <f t="shared" si="72"/>
        <v/>
      </c>
      <c r="AC320" s="48" t="str">
        <f t="shared" si="64"/>
        <v/>
      </c>
      <c r="AD320" s="48" t="str">
        <f t="shared" si="65"/>
        <v/>
      </c>
      <c r="AE320" s="48" t="str">
        <f t="shared" si="66"/>
        <v/>
      </c>
      <c r="AF320" s="48" t="str">
        <f t="shared" si="67"/>
        <v/>
      </c>
      <c r="AG320" s="48" t="str">
        <f t="shared" si="68"/>
        <v/>
      </c>
      <c r="AH320" s="48" t="str">
        <f t="shared" si="69"/>
        <v/>
      </c>
      <c r="AI320" s="48" t="str">
        <f t="shared" si="70"/>
        <v/>
      </c>
      <c r="AJ320" s="48" t="str">
        <f t="shared" si="73"/>
        <v/>
      </c>
      <c r="AK320" s="48" t="str">
        <f t="shared" si="74"/>
        <v/>
      </c>
      <c r="AL320" s="48" t="str">
        <f>IF(W320=0,"",_xlfn.CONCAT(DADOS!$A$8,Y320:AK320,"
"))</f>
        <v/>
      </c>
    </row>
    <row r="321" spans="4:38" s="48" customFormat="1" ht="15" customHeight="1" x14ac:dyDescent="0.25">
      <c r="D321" s="49"/>
      <c r="E321" s="43"/>
      <c r="F321" s="20"/>
      <c r="G321" s="14"/>
      <c r="H321" s="20"/>
      <c r="I321" s="15"/>
      <c r="J321" s="16"/>
      <c r="K321" s="14"/>
      <c r="L321" s="17"/>
      <c r="M321" s="18"/>
      <c r="N321" s="17"/>
      <c r="O321" s="18"/>
      <c r="P321" s="19"/>
      <c r="Q321" s="17"/>
      <c r="R321" s="40"/>
      <c r="S321" s="42">
        <v>307</v>
      </c>
      <c r="T321" s="40"/>
      <c r="V321" s="48" t="str">
        <f t="shared" si="71"/>
        <v/>
      </c>
      <c r="W321" s="48">
        <f t="shared" si="60"/>
        <v>0</v>
      </c>
      <c r="Y321" s="48" t="str">
        <f t="shared" si="61"/>
        <v/>
      </c>
      <c r="Z321" s="48" t="str">
        <f t="shared" si="62"/>
        <v/>
      </c>
      <c r="AA321" s="48" t="str">
        <f t="shared" si="63"/>
        <v/>
      </c>
      <c r="AB321" s="48" t="str">
        <f t="shared" si="72"/>
        <v/>
      </c>
      <c r="AC321" s="48" t="str">
        <f t="shared" si="64"/>
        <v/>
      </c>
      <c r="AD321" s="48" t="str">
        <f t="shared" si="65"/>
        <v/>
      </c>
      <c r="AE321" s="48" t="str">
        <f t="shared" si="66"/>
        <v/>
      </c>
      <c r="AF321" s="48" t="str">
        <f t="shared" si="67"/>
        <v/>
      </c>
      <c r="AG321" s="48" t="str">
        <f t="shared" si="68"/>
        <v/>
      </c>
      <c r="AH321" s="48" t="str">
        <f t="shared" si="69"/>
        <v/>
      </c>
      <c r="AI321" s="48" t="str">
        <f t="shared" si="70"/>
        <v/>
      </c>
      <c r="AJ321" s="48" t="str">
        <f t="shared" si="73"/>
        <v/>
      </c>
      <c r="AK321" s="48" t="str">
        <f t="shared" si="74"/>
        <v/>
      </c>
      <c r="AL321" s="48" t="str">
        <f>IF(W321=0,"",_xlfn.CONCAT(DADOS!$A$8,Y321:AK321,"
"))</f>
        <v/>
      </c>
    </row>
    <row r="322" spans="4:38" s="48" customFormat="1" ht="15" customHeight="1" x14ac:dyDescent="0.25">
      <c r="D322" s="49"/>
      <c r="E322" s="43"/>
      <c r="F322" s="20"/>
      <c r="G322" s="14"/>
      <c r="H322" s="20"/>
      <c r="I322" s="15"/>
      <c r="J322" s="16"/>
      <c r="K322" s="14"/>
      <c r="L322" s="17"/>
      <c r="M322" s="18"/>
      <c r="N322" s="17"/>
      <c r="O322" s="18"/>
      <c r="P322" s="19"/>
      <c r="Q322" s="17"/>
      <c r="R322" s="40"/>
      <c r="S322" s="42">
        <v>308</v>
      </c>
      <c r="T322" s="40"/>
      <c r="V322" s="48" t="str">
        <f t="shared" si="71"/>
        <v/>
      </c>
      <c r="W322" s="48">
        <f t="shared" si="60"/>
        <v>0</v>
      </c>
      <c r="Y322" s="48" t="str">
        <f t="shared" si="61"/>
        <v/>
      </c>
      <c r="Z322" s="48" t="str">
        <f t="shared" si="62"/>
        <v/>
      </c>
      <c r="AA322" s="48" t="str">
        <f t="shared" si="63"/>
        <v/>
      </c>
      <c r="AB322" s="48" t="str">
        <f t="shared" si="72"/>
        <v/>
      </c>
      <c r="AC322" s="48" t="str">
        <f t="shared" si="64"/>
        <v/>
      </c>
      <c r="AD322" s="48" t="str">
        <f t="shared" si="65"/>
        <v/>
      </c>
      <c r="AE322" s="48" t="str">
        <f t="shared" si="66"/>
        <v/>
      </c>
      <c r="AF322" s="48" t="str">
        <f t="shared" si="67"/>
        <v/>
      </c>
      <c r="AG322" s="48" t="str">
        <f t="shared" si="68"/>
        <v/>
      </c>
      <c r="AH322" s="48" t="str">
        <f t="shared" si="69"/>
        <v/>
      </c>
      <c r="AI322" s="48" t="str">
        <f t="shared" si="70"/>
        <v/>
      </c>
      <c r="AJ322" s="48" t="str">
        <f t="shared" si="73"/>
        <v/>
      </c>
      <c r="AK322" s="48" t="str">
        <f t="shared" si="74"/>
        <v/>
      </c>
      <c r="AL322" s="48" t="str">
        <f>IF(W322=0,"",_xlfn.CONCAT(DADOS!$A$8,Y322:AK322,"
"))</f>
        <v/>
      </c>
    </row>
    <row r="323" spans="4:38" s="48" customFormat="1" ht="15" customHeight="1" x14ac:dyDescent="0.25">
      <c r="D323" s="49"/>
      <c r="E323" s="43"/>
      <c r="F323" s="20"/>
      <c r="G323" s="14"/>
      <c r="H323" s="20"/>
      <c r="I323" s="15"/>
      <c r="J323" s="16"/>
      <c r="K323" s="14"/>
      <c r="L323" s="17"/>
      <c r="M323" s="18"/>
      <c r="N323" s="17"/>
      <c r="O323" s="18"/>
      <c r="P323" s="19"/>
      <c r="Q323" s="17"/>
      <c r="R323" s="40"/>
      <c r="S323" s="42">
        <v>309</v>
      </c>
      <c r="T323" s="40"/>
      <c r="V323" s="48" t="str">
        <f t="shared" si="71"/>
        <v/>
      </c>
      <c r="W323" s="48">
        <f t="shared" si="60"/>
        <v>0</v>
      </c>
      <c r="Y323" s="48" t="str">
        <f t="shared" si="61"/>
        <v/>
      </c>
      <c r="Z323" s="48" t="str">
        <f t="shared" si="62"/>
        <v/>
      </c>
      <c r="AA323" s="48" t="str">
        <f t="shared" si="63"/>
        <v/>
      </c>
      <c r="AB323" s="48" t="str">
        <f t="shared" si="72"/>
        <v/>
      </c>
      <c r="AC323" s="48" t="str">
        <f t="shared" si="64"/>
        <v/>
      </c>
      <c r="AD323" s="48" t="str">
        <f t="shared" si="65"/>
        <v/>
      </c>
      <c r="AE323" s="48" t="str">
        <f t="shared" si="66"/>
        <v/>
      </c>
      <c r="AF323" s="48" t="str">
        <f t="shared" si="67"/>
        <v/>
      </c>
      <c r="AG323" s="48" t="str">
        <f t="shared" si="68"/>
        <v/>
      </c>
      <c r="AH323" s="48" t="str">
        <f t="shared" si="69"/>
        <v/>
      </c>
      <c r="AI323" s="48" t="str">
        <f t="shared" si="70"/>
        <v/>
      </c>
      <c r="AJ323" s="48" t="str">
        <f t="shared" si="73"/>
        <v/>
      </c>
      <c r="AK323" s="48" t="str">
        <f t="shared" si="74"/>
        <v/>
      </c>
      <c r="AL323" s="48" t="str">
        <f>IF(W323=0,"",_xlfn.CONCAT(DADOS!$A$8,Y323:AK323,"
"))</f>
        <v/>
      </c>
    </row>
    <row r="324" spans="4:38" s="48" customFormat="1" ht="15" customHeight="1" x14ac:dyDescent="0.25">
      <c r="D324" s="49"/>
      <c r="E324" s="43"/>
      <c r="F324" s="20"/>
      <c r="G324" s="14"/>
      <c r="H324" s="20"/>
      <c r="I324" s="15"/>
      <c r="J324" s="16"/>
      <c r="K324" s="14"/>
      <c r="L324" s="17"/>
      <c r="M324" s="18"/>
      <c r="N324" s="17"/>
      <c r="O324" s="18"/>
      <c r="P324" s="19"/>
      <c r="Q324" s="17"/>
      <c r="R324" s="40"/>
      <c r="S324" s="42">
        <v>310</v>
      </c>
      <c r="T324" s="40"/>
      <c r="V324" s="48" t="str">
        <f t="shared" si="71"/>
        <v/>
      </c>
      <c r="W324" s="48">
        <f t="shared" si="60"/>
        <v>0</v>
      </c>
      <c r="Y324" s="48" t="str">
        <f t="shared" si="61"/>
        <v/>
      </c>
      <c r="Z324" s="48" t="str">
        <f t="shared" si="62"/>
        <v/>
      </c>
      <c r="AA324" s="48" t="str">
        <f t="shared" si="63"/>
        <v/>
      </c>
      <c r="AB324" s="48" t="str">
        <f t="shared" si="72"/>
        <v/>
      </c>
      <c r="AC324" s="48" t="str">
        <f t="shared" si="64"/>
        <v/>
      </c>
      <c r="AD324" s="48" t="str">
        <f t="shared" si="65"/>
        <v/>
      </c>
      <c r="AE324" s="48" t="str">
        <f t="shared" si="66"/>
        <v/>
      </c>
      <c r="AF324" s="48" t="str">
        <f t="shared" si="67"/>
        <v/>
      </c>
      <c r="AG324" s="48" t="str">
        <f t="shared" si="68"/>
        <v/>
      </c>
      <c r="AH324" s="48" t="str">
        <f t="shared" si="69"/>
        <v/>
      </c>
      <c r="AI324" s="48" t="str">
        <f t="shared" si="70"/>
        <v/>
      </c>
      <c r="AJ324" s="48" t="str">
        <f t="shared" si="73"/>
        <v/>
      </c>
      <c r="AK324" s="48" t="str">
        <f t="shared" si="74"/>
        <v/>
      </c>
      <c r="AL324" s="48" t="str">
        <f>IF(W324=0,"",_xlfn.CONCAT(DADOS!$A$8,Y324:AK324,"
"))</f>
        <v/>
      </c>
    </row>
    <row r="325" spans="4:38" s="48" customFormat="1" ht="15" customHeight="1" x14ac:dyDescent="0.25">
      <c r="D325" s="49"/>
      <c r="E325" s="43"/>
      <c r="F325" s="20"/>
      <c r="G325" s="14"/>
      <c r="H325" s="20"/>
      <c r="I325" s="15"/>
      <c r="J325" s="16"/>
      <c r="K325" s="14"/>
      <c r="L325" s="17"/>
      <c r="M325" s="18"/>
      <c r="N325" s="17"/>
      <c r="O325" s="18"/>
      <c r="P325" s="19"/>
      <c r="Q325" s="17"/>
      <c r="R325" s="40"/>
      <c r="S325" s="42">
        <v>311</v>
      </c>
      <c r="T325" s="40"/>
      <c r="V325" s="48" t="str">
        <f t="shared" si="71"/>
        <v/>
      </c>
      <c r="W325" s="48">
        <f t="shared" si="60"/>
        <v>0</v>
      </c>
      <c r="Y325" s="48" t="str">
        <f t="shared" si="61"/>
        <v/>
      </c>
      <c r="Z325" s="48" t="str">
        <f t="shared" si="62"/>
        <v/>
      </c>
      <c r="AA325" s="48" t="str">
        <f t="shared" si="63"/>
        <v/>
      </c>
      <c r="AB325" s="48" t="str">
        <f t="shared" si="72"/>
        <v/>
      </c>
      <c r="AC325" s="48" t="str">
        <f t="shared" si="64"/>
        <v/>
      </c>
      <c r="AD325" s="48" t="str">
        <f t="shared" si="65"/>
        <v/>
      </c>
      <c r="AE325" s="48" t="str">
        <f t="shared" si="66"/>
        <v/>
      </c>
      <c r="AF325" s="48" t="str">
        <f t="shared" si="67"/>
        <v/>
      </c>
      <c r="AG325" s="48" t="str">
        <f t="shared" si="68"/>
        <v/>
      </c>
      <c r="AH325" s="48" t="str">
        <f t="shared" si="69"/>
        <v/>
      </c>
      <c r="AI325" s="48" t="str">
        <f t="shared" si="70"/>
        <v/>
      </c>
      <c r="AJ325" s="48" t="str">
        <f t="shared" si="73"/>
        <v/>
      </c>
      <c r="AK325" s="48" t="str">
        <f t="shared" si="74"/>
        <v/>
      </c>
      <c r="AL325" s="48" t="str">
        <f>IF(W325=0,"",_xlfn.CONCAT(DADOS!$A$8,Y325:AK325,"
"))</f>
        <v/>
      </c>
    </row>
    <row r="326" spans="4:38" s="48" customFormat="1" ht="15" customHeight="1" x14ac:dyDescent="0.25">
      <c r="D326" s="49"/>
      <c r="E326" s="43"/>
      <c r="F326" s="20"/>
      <c r="G326" s="14"/>
      <c r="H326" s="20"/>
      <c r="I326" s="15"/>
      <c r="J326" s="16"/>
      <c r="K326" s="14"/>
      <c r="L326" s="17"/>
      <c r="M326" s="18"/>
      <c r="N326" s="17"/>
      <c r="O326" s="18"/>
      <c r="P326" s="19"/>
      <c r="Q326" s="17"/>
      <c r="R326" s="40"/>
      <c r="S326" s="42">
        <v>312</v>
      </c>
      <c r="T326" s="40"/>
      <c r="V326" s="48" t="str">
        <f t="shared" si="71"/>
        <v/>
      </c>
      <c r="W326" s="48">
        <f t="shared" si="60"/>
        <v>0</v>
      </c>
      <c r="Y326" s="48" t="str">
        <f t="shared" si="61"/>
        <v/>
      </c>
      <c r="Z326" s="48" t="str">
        <f t="shared" si="62"/>
        <v/>
      </c>
      <c r="AA326" s="48" t="str">
        <f t="shared" si="63"/>
        <v/>
      </c>
      <c r="AB326" s="48" t="str">
        <f t="shared" si="72"/>
        <v/>
      </c>
      <c r="AC326" s="48" t="str">
        <f t="shared" si="64"/>
        <v/>
      </c>
      <c r="AD326" s="48" t="str">
        <f t="shared" si="65"/>
        <v/>
      </c>
      <c r="AE326" s="48" t="str">
        <f t="shared" si="66"/>
        <v/>
      </c>
      <c r="AF326" s="48" t="str">
        <f t="shared" si="67"/>
        <v/>
      </c>
      <c r="AG326" s="48" t="str">
        <f t="shared" si="68"/>
        <v/>
      </c>
      <c r="AH326" s="48" t="str">
        <f t="shared" si="69"/>
        <v/>
      </c>
      <c r="AI326" s="48" t="str">
        <f t="shared" si="70"/>
        <v/>
      </c>
      <c r="AJ326" s="48" t="str">
        <f t="shared" si="73"/>
        <v/>
      </c>
      <c r="AK326" s="48" t="str">
        <f t="shared" si="74"/>
        <v/>
      </c>
      <c r="AL326" s="48" t="str">
        <f>IF(W326=0,"",_xlfn.CONCAT(DADOS!$A$8,Y326:AK326,"
"))</f>
        <v/>
      </c>
    </row>
    <row r="327" spans="4:38" s="48" customFormat="1" ht="15" customHeight="1" x14ac:dyDescent="0.25">
      <c r="D327" s="49"/>
      <c r="E327" s="43"/>
      <c r="F327" s="20"/>
      <c r="G327" s="14"/>
      <c r="H327" s="20"/>
      <c r="I327" s="15"/>
      <c r="J327" s="16"/>
      <c r="K327" s="14"/>
      <c r="L327" s="17"/>
      <c r="M327" s="18"/>
      <c r="N327" s="17"/>
      <c r="O327" s="18"/>
      <c r="P327" s="19"/>
      <c r="Q327" s="17"/>
      <c r="R327" s="40"/>
      <c r="S327" s="42">
        <v>313</v>
      </c>
      <c r="T327" s="40"/>
      <c r="V327" s="48" t="str">
        <f t="shared" si="71"/>
        <v/>
      </c>
      <c r="W327" s="48">
        <f t="shared" si="60"/>
        <v>0</v>
      </c>
      <c r="Y327" s="48" t="str">
        <f t="shared" si="61"/>
        <v/>
      </c>
      <c r="Z327" s="48" t="str">
        <f t="shared" si="62"/>
        <v/>
      </c>
      <c r="AA327" s="48" t="str">
        <f t="shared" si="63"/>
        <v/>
      </c>
      <c r="AB327" s="48" t="str">
        <f t="shared" si="72"/>
        <v/>
      </c>
      <c r="AC327" s="48" t="str">
        <f t="shared" si="64"/>
        <v/>
      </c>
      <c r="AD327" s="48" t="str">
        <f t="shared" si="65"/>
        <v/>
      </c>
      <c r="AE327" s="48" t="str">
        <f t="shared" si="66"/>
        <v/>
      </c>
      <c r="AF327" s="48" t="str">
        <f t="shared" si="67"/>
        <v/>
      </c>
      <c r="AG327" s="48" t="str">
        <f t="shared" si="68"/>
        <v/>
      </c>
      <c r="AH327" s="48" t="str">
        <f t="shared" si="69"/>
        <v/>
      </c>
      <c r="AI327" s="48" t="str">
        <f t="shared" si="70"/>
        <v/>
      </c>
      <c r="AJ327" s="48" t="str">
        <f t="shared" si="73"/>
        <v/>
      </c>
      <c r="AK327" s="48" t="str">
        <f t="shared" si="74"/>
        <v/>
      </c>
      <c r="AL327" s="48" t="str">
        <f>IF(W327=0,"",_xlfn.CONCAT(DADOS!$A$8,Y327:AK327,"
"))</f>
        <v/>
      </c>
    </row>
    <row r="328" spans="4:38" s="48" customFormat="1" ht="15" customHeight="1" x14ac:dyDescent="0.25">
      <c r="D328" s="49"/>
      <c r="E328" s="43"/>
      <c r="F328" s="20"/>
      <c r="G328" s="14"/>
      <c r="H328" s="20"/>
      <c r="I328" s="15"/>
      <c r="J328" s="16"/>
      <c r="K328" s="14"/>
      <c r="L328" s="17"/>
      <c r="M328" s="18"/>
      <c r="N328" s="17"/>
      <c r="O328" s="18"/>
      <c r="P328" s="19"/>
      <c r="Q328" s="17"/>
      <c r="R328" s="40"/>
      <c r="S328" s="42">
        <v>314</v>
      </c>
      <c r="T328" s="40"/>
      <c r="V328" s="48" t="str">
        <f t="shared" si="71"/>
        <v/>
      </c>
      <c r="W328" s="48">
        <f t="shared" si="60"/>
        <v>0</v>
      </c>
      <c r="Y328" s="48" t="str">
        <f t="shared" si="61"/>
        <v/>
      </c>
      <c r="Z328" s="48" t="str">
        <f t="shared" si="62"/>
        <v/>
      </c>
      <c r="AA328" s="48" t="str">
        <f t="shared" si="63"/>
        <v/>
      </c>
      <c r="AB328" s="48" t="str">
        <f t="shared" si="72"/>
        <v/>
      </c>
      <c r="AC328" s="48" t="str">
        <f t="shared" si="64"/>
        <v/>
      </c>
      <c r="AD328" s="48" t="str">
        <f t="shared" si="65"/>
        <v/>
      </c>
      <c r="AE328" s="48" t="str">
        <f t="shared" si="66"/>
        <v/>
      </c>
      <c r="AF328" s="48" t="str">
        <f t="shared" si="67"/>
        <v/>
      </c>
      <c r="AG328" s="48" t="str">
        <f t="shared" si="68"/>
        <v/>
      </c>
      <c r="AH328" s="48" t="str">
        <f t="shared" si="69"/>
        <v/>
      </c>
      <c r="AI328" s="48" t="str">
        <f t="shared" si="70"/>
        <v/>
      </c>
      <c r="AJ328" s="48" t="str">
        <f t="shared" si="73"/>
        <v/>
      </c>
      <c r="AK328" s="48" t="str">
        <f t="shared" si="74"/>
        <v/>
      </c>
      <c r="AL328" s="48" t="str">
        <f>IF(W328=0,"",_xlfn.CONCAT(DADOS!$A$8,Y328:AK328,"
"))</f>
        <v/>
      </c>
    </row>
    <row r="329" spans="4:38" s="48" customFormat="1" ht="15" customHeight="1" x14ac:dyDescent="0.25">
      <c r="D329" s="49"/>
      <c r="E329" s="43"/>
      <c r="F329" s="20"/>
      <c r="G329" s="14"/>
      <c r="H329" s="20"/>
      <c r="I329" s="15"/>
      <c r="J329" s="16"/>
      <c r="K329" s="14"/>
      <c r="L329" s="17"/>
      <c r="M329" s="18"/>
      <c r="N329" s="17"/>
      <c r="O329" s="18"/>
      <c r="P329" s="19"/>
      <c r="Q329" s="17"/>
      <c r="R329" s="40"/>
      <c r="S329" s="42">
        <v>315</v>
      </c>
      <c r="T329" s="40"/>
      <c r="V329" s="48" t="str">
        <f t="shared" si="71"/>
        <v/>
      </c>
      <c r="W329" s="48">
        <f t="shared" si="60"/>
        <v>0</v>
      </c>
      <c r="Y329" s="48" t="str">
        <f t="shared" si="61"/>
        <v/>
      </c>
      <c r="Z329" s="48" t="str">
        <f t="shared" si="62"/>
        <v/>
      </c>
      <c r="AA329" s="48" t="str">
        <f t="shared" si="63"/>
        <v/>
      </c>
      <c r="AB329" s="48" t="str">
        <f t="shared" si="72"/>
        <v/>
      </c>
      <c r="AC329" s="48" t="str">
        <f t="shared" si="64"/>
        <v/>
      </c>
      <c r="AD329" s="48" t="str">
        <f t="shared" si="65"/>
        <v/>
      </c>
      <c r="AE329" s="48" t="str">
        <f t="shared" si="66"/>
        <v/>
      </c>
      <c r="AF329" s="48" t="str">
        <f t="shared" si="67"/>
        <v/>
      </c>
      <c r="AG329" s="48" t="str">
        <f t="shared" si="68"/>
        <v/>
      </c>
      <c r="AH329" s="48" t="str">
        <f t="shared" si="69"/>
        <v/>
      </c>
      <c r="AI329" s="48" t="str">
        <f t="shared" si="70"/>
        <v/>
      </c>
      <c r="AJ329" s="48" t="str">
        <f t="shared" si="73"/>
        <v/>
      </c>
      <c r="AK329" s="48" t="str">
        <f t="shared" si="74"/>
        <v/>
      </c>
      <c r="AL329" s="48" t="str">
        <f>IF(W329=0,"",_xlfn.CONCAT(DADOS!$A$8,Y329:AK329,"
"))</f>
        <v/>
      </c>
    </row>
    <row r="330" spans="4:38" s="48" customFormat="1" ht="15" customHeight="1" x14ac:dyDescent="0.25">
      <c r="D330" s="49"/>
      <c r="E330" s="43"/>
      <c r="F330" s="20"/>
      <c r="G330" s="14"/>
      <c r="H330" s="20"/>
      <c r="I330" s="15"/>
      <c r="J330" s="16"/>
      <c r="K330" s="14"/>
      <c r="L330" s="17"/>
      <c r="M330" s="18"/>
      <c r="N330" s="17"/>
      <c r="O330" s="18"/>
      <c r="P330" s="19"/>
      <c r="Q330" s="17"/>
      <c r="R330" s="40"/>
      <c r="S330" s="42">
        <v>316</v>
      </c>
      <c r="T330" s="40"/>
      <c r="V330" s="48" t="str">
        <f t="shared" si="71"/>
        <v/>
      </c>
      <c r="W330" s="48">
        <f t="shared" si="60"/>
        <v>0</v>
      </c>
      <c r="Y330" s="48" t="str">
        <f t="shared" si="61"/>
        <v/>
      </c>
      <c r="Z330" s="48" t="str">
        <f t="shared" si="62"/>
        <v/>
      </c>
      <c r="AA330" s="48" t="str">
        <f t="shared" si="63"/>
        <v/>
      </c>
      <c r="AB330" s="48" t="str">
        <f t="shared" si="72"/>
        <v/>
      </c>
      <c r="AC330" s="48" t="str">
        <f t="shared" si="64"/>
        <v/>
      </c>
      <c r="AD330" s="48" t="str">
        <f t="shared" si="65"/>
        <v/>
      </c>
      <c r="AE330" s="48" t="str">
        <f t="shared" si="66"/>
        <v/>
      </c>
      <c r="AF330" s="48" t="str">
        <f t="shared" si="67"/>
        <v/>
      </c>
      <c r="AG330" s="48" t="str">
        <f t="shared" si="68"/>
        <v/>
      </c>
      <c r="AH330" s="48" t="str">
        <f t="shared" si="69"/>
        <v/>
      </c>
      <c r="AI330" s="48" t="str">
        <f t="shared" si="70"/>
        <v/>
      </c>
      <c r="AJ330" s="48" t="str">
        <f t="shared" si="73"/>
        <v/>
      </c>
      <c r="AK330" s="48" t="str">
        <f t="shared" si="74"/>
        <v/>
      </c>
      <c r="AL330" s="48" t="str">
        <f>IF(W330=0,"",_xlfn.CONCAT(DADOS!$A$8,Y330:AK330,"
"))</f>
        <v/>
      </c>
    </row>
    <row r="331" spans="4:38" s="48" customFormat="1" ht="15" customHeight="1" x14ac:dyDescent="0.25">
      <c r="D331" s="49"/>
      <c r="E331" s="43"/>
      <c r="F331" s="20"/>
      <c r="G331" s="14"/>
      <c r="H331" s="20"/>
      <c r="I331" s="15"/>
      <c r="J331" s="16"/>
      <c r="K331" s="14"/>
      <c r="L331" s="17"/>
      <c r="M331" s="18"/>
      <c r="N331" s="17"/>
      <c r="O331" s="18"/>
      <c r="P331" s="19"/>
      <c r="Q331" s="17"/>
      <c r="R331" s="40"/>
      <c r="S331" s="42">
        <v>317</v>
      </c>
      <c r="T331" s="40"/>
      <c r="V331" s="48" t="str">
        <f t="shared" si="71"/>
        <v/>
      </c>
      <c r="W331" s="48">
        <f t="shared" si="60"/>
        <v>0</v>
      </c>
      <c r="Y331" s="48" t="str">
        <f t="shared" si="61"/>
        <v/>
      </c>
      <c r="Z331" s="48" t="str">
        <f t="shared" si="62"/>
        <v/>
      </c>
      <c r="AA331" s="48" t="str">
        <f t="shared" si="63"/>
        <v/>
      </c>
      <c r="AB331" s="48" t="str">
        <f t="shared" si="72"/>
        <v/>
      </c>
      <c r="AC331" s="48" t="str">
        <f t="shared" si="64"/>
        <v/>
      </c>
      <c r="AD331" s="48" t="str">
        <f t="shared" si="65"/>
        <v/>
      </c>
      <c r="AE331" s="48" t="str">
        <f t="shared" si="66"/>
        <v/>
      </c>
      <c r="AF331" s="48" t="str">
        <f t="shared" si="67"/>
        <v/>
      </c>
      <c r="AG331" s="48" t="str">
        <f t="shared" si="68"/>
        <v/>
      </c>
      <c r="AH331" s="48" t="str">
        <f t="shared" si="69"/>
        <v/>
      </c>
      <c r="AI331" s="48" t="str">
        <f t="shared" si="70"/>
        <v/>
      </c>
      <c r="AJ331" s="48" t="str">
        <f t="shared" si="73"/>
        <v/>
      </c>
      <c r="AK331" s="48" t="str">
        <f t="shared" si="74"/>
        <v/>
      </c>
      <c r="AL331" s="48" t="str">
        <f>IF(W331=0,"",_xlfn.CONCAT(DADOS!$A$8,Y331:AK331,"
"))</f>
        <v/>
      </c>
    </row>
    <row r="332" spans="4:38" s="48" customFormat="1" ht="15" customHeight="1" x14ac:dyDescent="0.25">
      <c r="D332" s="49"/>
      <c r="E332" s="43"/>
      <c r="F332" s="20"/>
      <c r="G332" s="14"/>
      <c r="H332" s="20"/>
      <c r="I332" s="15"/>
      <c r="J332" s="16"/>
      <c r="K332" s="14"/>
      <c r="L332" s="17"/>
      <c r="M332" s="18"/>
      <c r="N332" s="17"/>
      <c r="O332" s="18"/>
      <c r="P332" s="19"/>
      <c r="Q332" s="17"/>
      <c r="R332" s="40"/>
      <c r="S332" s="42">
        <v>318</v>
      </c>
      <c r="T332" s="40"/>
      <c r="V332" s="48" t="str">
        <f t="shared" si="71"/>
        <v/>
      </c>
      <c r="W332" s="48">
        <f t="shared" si="60"/>
        <v>0</v>
      </c>
      <c r="Y332" s="48" t="str">
        <f t="shared" si="61"/>
        <v/>
      </c>
      <c r="Z332" s="48" t="str">
        <f t="shared" si="62"/>
        <v/>
      </c>
      <c r="AA332" s="48" t="str">
        <f t="shared" si="63"/>
        <v/>
      </c>
      <c r="AB332" s="48" t="str">
        <f t="shared" si="72"/>
        <v/>
      </c>
      <c r="AC332" s="48" t="str">
        <f t="shared" si="64"/>
        <v/>
      </c>
      <c r="AD332" s="48" t="str">
        <f t="shared" si="65"/>
        <v/>
      </c>
      <c r="AE332" s="48" t="str">
        <f t="shared" si="66"/>
        <v/>
      </c>
      <c r="AF332" s="48" t="str">
        <f t="shared" si="67"/>
        <v/>
      </c>
      <c r="AG332" s="48" t="str">
        <f t="shared" si="68"/>
        <v/>
      </c>
      <c r="AH332" s="48" t="str">
        <f t="shared" si="69"/>
        <v/>
      </c>
      <c r="AI332" s="48" t="str">
        <f t="shared" si="70"/>
        <v/>
      </c>
      <c r="AJ332" s="48" t="str">
        <f t="shared" si="73"/>
        <v/>
      </c>
      <c r="AK332" s="48" t="str">
        <f t="shared" si="74"/>
        <v/>
      </c>
      <c r="AL332" s="48" t="str">
        <f>IF(W332=0,"",_xlfn.CONCAT(DADOS!$A$8,Y332:AK332,"
"))</f>
        <v/>
      </c>
    </row>
    <row r="333" spans="4:38" s="48" customFormat="1" ht="15" customHeight="1" x14ac:dyDescent="0.25">
      <c r="D333" s="49"/>
      <c r="E333" s="43"/>
      <c r="F333" s="20"/>
      <c r="G333" s="14"/>
      <c r="H333" s="20"/>
      <c r="I333" s="15"/>
      <c r="J333" s="16"/>
      <c r="K333" s="14"/>
      <c r="L333" s="17"/>
      <c r="M333" s="18"/>
      <c r="N333" s="17"/>
      <c r="O333" s="18"/>
      <c r="P333" s="19"/>
      <c r="Q333" s="17"/>
      <c r="R333" s="40"/>
      <c r="S333" s="42">
        <v>319</v>
      </c>
      <c r="T333" s="40"/>
      <c r="V333" s="48" t="str">
        <f t="shared" si="71"/>
        <v/>
      </c>
      <c r="W333" s="48">
        <f t="shared" si="60"/>
        <v>0</v>
      </c>
      <c r="Y333" s="48" t="str">
        <f t="shared" si="61"/>
        <v/>
      </c>
      <c r="Z333" s="48" t="str">
        <f t="shared" si="62"/>
        <v/>
      </c>
      <c r="AA333" s="48" t="str">
        <f t="shared" si="63"/>
        <v/>
      </c>
      <c r="AB333" s="48" t="str">
        <f t="shared" si="72"/>
        <v/>
      </c>
      <c r="AC333" s="48" t="str">
        <f t="shared" si="64"/>
        <v/>
      </c>
      <c r="AD333" s="48" t="str">
        <f t="shared" si="65"/>
        <v/>
      </c>
      <c r="AE333" s="48" t="str">
        <f t="shared" si="66"/>
        <v/>
      </c>
      <c r="AF333" s="48" t="str">
        <f t="shared" si="67"/>
        <v/>
      </c>
      <c r="AG333" s="48" t="str">
        <f t="shared" si="68"/>
        <v/>
      </c>
      <c r="AH333" s="48" t="str">
        <f t="shared" si="69"/>
        <v/>
      </c>
      <c r="AI333" s="48" t="str">
        <f t="shared" si="70"/>
        <v/>
      </c>
      <c r="AJ333" s="48" t="str">
        <f t="shared" si="73"/>
        <v/>
      </c>
      <c r="AK333" s="48" t="str">
        <f t="shared" si="74"/>
        <v/>
      </c>
      <c r="AL333" s="48" t="str">
        <f>IF(W333=0,"",_xlfn.CONCAT(DADOS!$A$8,Y333:AK333,"
"))</f>
        <v/>
      </c>
    </row>
    <row r="334" spans="4:38" s="48" customFormat="1" ht="15" customHeight="1" x14ac:dyDescent="0.25">
      <c r="D334" s="49"/>
      <c r="E334" s="43"/>
      <c r="F334" s="20"/>
      <c r="G334" s="14"/>
      <c r="H334" s="20"/>
      <c r="I334" s="15"/>
      <c r="J334" s="16"/>
      <c r="K334" s="14"/>
      <c r="L334" s="17"/>
      <c r="M334" s="18"/>
      <c r="N334" s="17"/>
      <c r="O334" s="18"/>
      <c r="P334" s="19"/>
      <c r="Q334" s="17"/>
      <c r="R334" s="40"/>
      <c r="S334" s="42">
        <v>320</v>
      </c>
      <c r="T334" s="40"/>
      <c r="V334" s="48" t="str">
        <f t="shared" si="71"/>
        <v/>
      </c>
      <c r="W334" s="48">
        <f t="shared" si="60"/>
        <v>0</v>
      </c>
      <c r="Y334" s="48" t="str">
        <f t="shared" si="61"/>
        <v/>
      </c>
      <c r="Z334" s="48" t="str">
        <f t="shared" si="62"/>
        <v/>
      </c>
      <c r="AA334" s="48" t="str">
        <f t="shared" si="63"/>
        <v/>
      </c>
      <c r="AB334" s="48" t="str">
        <f t="shared" si="72"/>
        <v/>
      </c>
      <c r="AC334" s="48" t="str">
        <f t="shared" si="64"/>
        <v/>
      </c>
      <c r="AD334" s="48" t="str">
        <f t="shared" si="65"/>
        <v/>
      </c>
      <c r="AE334" s="48" t="str">
        <f t="shared" si="66"/>
        <v/>
      </c>
      <c r="AF334" s="48" t="str">
        <f t="shared" si="67"/>
        <v/>
      </c>
      <c r="AG334" s="48" t="str">
        <f t="shared" si="68"/>
        <v/>
      </c>
      <c r="AH334" s="48" t="str">
        <f t="shared" si="69"/>
        <v/>
      </c>
      <c r="AI334" s="48" t="str">
        <f t="shared" si="70"/>
        <v/>
      </c>
      <c r="AJ334" s="48" t="str">
        <f t="shared" si="73"/>
        <v/>
      </c>
      <c r="AK334" s="48" t="str">
        <f t="shared" si="74"/>
        <v/>
      </c>
      <c r="AL334" s="48" t="str">
        <f>IF(W334=0,"",_xlfn.CONCAT(DADOS!$A$8,Y334:AK334,"
"))</f>
        <v/>
      </c>
    </row>
    <row r="335" spans="4:38" s="48" customFormat="1" ht="15" customHeight="1" x14ac:dyDescent="0.25">
      <c r="D335" s="49"/>
      <c r="E335" s="43"/>
      <c r="F335" s="20"/>
      <c r="G335" s="14"/>
      <c r="H335" s="20"/>
      <c r="I335" s="15"/>
      <c r="J335" s="16"/>
      <c r="K335" s="14"/>
      <c r="L335" s="17"/>
      <c r="M335" s="18"/>
      <c r="N335" s="17"/>
      <c r="O335" s="18"/>
      <c r="P335" s="19"/>
      <c r="Q335" s="17"/>
      <c r="R335" s="40"/>
      <c r="S335" s="42">
        <v>321</v>
      </c>
      <c r="T335" s="40"/>
      <c r="V335" s="48" t="str">
        <f t="shared" si="71"/>
        <v/>
      </c>
      <c r="W335" s="48">
        <f t="shared" ref="W335:W398" si="75">IF(E335="",0,1)</f>
        <v>0</v>
      </c>
      <c r="Y335" s="48" t="str">
        <f t="shared" ref="Y335:Y398" si="76">_xlfn.CONCAT(E335,IF(LEN(E335)=1,"  ",IF(LEN(E335)=2," ","")))</f>
        <v/>
      </c>
      <c r="Z335" s="48" t="str">
        <f t="shared" ref="Z335:Z398" si="77">_xlfn.CONCAT(F335,IF(LEN(F335)=1,"  ",IF(LEN(F335)=2," ","")))</f>
        <v/>
      </c>
      <c r="AA335" s="48" t="str">
        <f t="shared" ref="AA335:AA398" si="78">IF(W335=0,"",G335)</f>
        <v/>
      </c>
      <c r="AB335" s="48" t="str">
        <f t="shared" si="72"/>
        <v/>
      </c>
      <c r="AC335" s="48" t="str">
        <f t="shared" ref="AC335:AC398" si="79">IF(W335=0,"",IF(LEN(I335)=1,_xlfn.CONCAT(0,I335),I335))</f>
        <v/>
      </c>
      <c r="AD335" s="48" t="str">
        <f t="shared" ref="AD335:AD398" si="80">IF(I335=20,"",(IF(I335=8,IF(LEN(J335)=1,_xlfn.CONCAT("00",J335),IF(LEN(J335)=2,_xlfn.CONCAT("0",J335),J335)),"")))</f>
        <v/>
      </c>
      <c r="AE335" s="48" t="str">
        <f t="shared" ref="AE335:AE398" si="81">IF(I335=20,"",IF(I335=8,IF(LEN(K335)=1,_xlfn.CONCAT(0,K335),K335),""))</f>
        <v/>
      </c>
      <c r="AF335" s="48" t="str">
        <f t="shared" ref="AF335:AF398" si="82">IF(I335=8,L335,"")</f>
        <v/>
      </c>
      <c r="AG335" s="48" t="str">
        <f t="shared" ref="AG335:AG398" si="83">IF(W335=0,"",IF($I335=20,"",IF(LEN(M335)=1,_xlfn.CONCAT("00",M335),IF(LEN(M335)=2,_xlfn.CONCAT("0",M335),M335))))</f>
        <v/>
      </c>
      <c r="AH335" s="48" t="str">
        <f t="shared" ref="AH335:AH398" si="84">IF(W335=0,"",IF($I335=20,"",IF(LEN(N335)=1,_xlfn.CONCAT(0,N335),N335)))</f>
        <v/>
      </c>
      <c r="AI335" s="48" t="str">
        <f t="shared" ref="AI335:AI398" si="85">IF(W335=0,"",IF($I335=20,"",IF(LEN(P335)=3,_xlfn.CONCAT("00",P335),_xlfn.CONCAT("0",P335))))</f>
        <v/>
      </c>
      <c r="AJ335" s="48" t="str">
        <f t="shared" si="73"/>
        <v/>
      </c>
      <c r="AK335" s="48" t="str">
        <f t="shared" si="74"/>
        <v/>
      </c>
      <c r="AL335" s="48" t="str">
        <f>IF(W335=0,"",_xlfn.CONCAT(DADOS!$A$8,Y335:AK335,"
"))</f>
        <v/>
      </c>
    </row>
    <row r="336" spans="4:38" s="48" customFormat="1" ht="15" customHeight="1" x14ac:dyDescent="0.25">
      <c r="D336" s="49"/>
      <c r="E336" s="43"/>
      <c r="F336" s="20"/>
      <c r="G336" s="14"/>
      <c r="H336" s="20"/>
      <c r="I336" s="15"/>
      <c r="J336" s="16"/>
      <c r="K336" s="14"/>
      <c r="L336" s="17"/>
      <c r="M336" s="18"/>
      <c r="N336" s="17"/>
      <c r="O336" s="18"/>
      <c r="P336" s="19"/>
      <c r="Q336" s="17"/>
      <c r="R336" s="40"/>
      <c r="S336" s="42">
        <v>322</v>
      </c>
      <c r="T336" s="40"/>
      <c r="V336" s="48" t="str">
        <f t="shared" ref="V336:V399" si="86">IF(E336="","",IF(R337="",IF(R336&lt;21,1,0),0))</f>
        <v/>
      </c>
      <c r="W336" s="48">
        <f t="shared" si="75"/>
        <v>0</v>
      </c>
      <c r="Y336" s="48" t="str">
        <f t="shared" si="76"/>
        <v/>
      </c>
      <c r="Z336" s="48" t="str">
        <f t="shared" si="77"/>
        <v/>
      </c>
      <c r="AA336" s="48" t="str">
        <f t="shared" si="78"/>
        <v/>
      </c>
      <c r="AB336" s="48" t="str">
        <f t="shared" ref="AB336:AB399" si="87">IF(OR(G336=0,G336=4),"",H336)</f>
        <v/>
      </c>
      <c r="AC336" s="48" t="str">
        <f t="shared" si="79"/>
        <v/>
      </c>
      <c r="AD336" s="48" t="str">
        <f t="shared" si="80"/>
        <v/>
      </c>
      <c r="AE336" s="48" t="str">
        <f t="shared" si="81"/>
        <v/>
      </c>
      <c r="AF336" s="48" t="str">
        <f t="shared" si="82"/>
        <v/>
      </c>
      <c r="AG336" s="48" t="str">
        <f t="shared" si="83"/>
        <v/>
      </c>
      <c r="AH336" s="48" t="str">
        <f t="shared" si="84"/>
        <v/>
      </c>
      <c r="AI336" s="48" t="str">
        <f t="shared" si="85"/>
        <v/>
      </c>
      <c r="AJ336" s="48" t="str">
        <f t="shared" ref="AJ336:AJ399" si="88">IF(W336=0,"",IF(I336=20,"",_xlfn.CONCAT(ROUNDUP(R336*10,0),$AK$14)))</f>
        <v/>
      </c>
      <c r="AK336" s="48" t="str">
        <f t="shared" ref="AK336:AK399" si="89">IF(W336=0,"",IF(R336&lt;999,$AK$14,""))</f>
        <v/>
      </c>
      <c r="AL336" s="48" t="str">
        <f>IF(W336=0,"",_xlfn.CONCAT(DADOS!$A$8,Y336:AK336,"
"))</f>
        <v/>
      </c>
    </row>
    <row r="337" spans="4:38" s="48" customFormat="1" ht="15" customHeight="1" x14ac:dyDescent="0.25">
      <c r="D337" s="49"/>
      <c r="E337" s="43"/>
      <c r="F337" s="20"/>
      <c r="G337" s="14"/>
      <c r="H337" s="20"/>
      <c r="I337" s="15"/>
      <c r="J337" s="16"/>
      <c r="K337" s="14"/>
      <c r="L337" s="17"/>
      <c r="M337" s="18"/>
      <c r="N337" s="17"/>
      <c r="O337" s="18"/>
      <c r="P337" s="19"/>
      <c r="Q337" s="17"/>
      <c r="R337" s="40"/>
      <c r="S337" s="42">
        <v>323</v>
      </c>
      <c r="T337" s="40"/>
      <c r="V337" s="48" t="str">
        <f t="shared" si="86"/>
        <v/>
      </c>
      <c r="W337" s="48">
        <f t="shared" si="75"/>
        <v>0</v>
      </c>
      <c r="Y337" s="48" t="str">
        <f t="shared" si="76"/>
        <v/>
      </c>
      <c r="Z337" s="48" t="str">
        <f t="shared" si="77"/>
        <v/>
      </c>
      <c r="AA337" s="48" t="str">
        <f t="shared" si="78"/>
        <v/>
      </c>
      <c r="AB337" s="48" t="str">
        <f t="shared" si="87"/>
        <v/>
      </c>
      <c r="AC337" s="48" t="str">
        <f t="shared" si="79"/>
        <v/>
      </c>
      <c r="AD337" s="48" t="str">
        <f t="shared" si="80"/>
        <v/>
      </c>
      <c r="AE337" s="48" t="str">
        <f t="shared" si="81"/>
        <v/>
      </c>
      <c r="AF337" s="48" t="str">
        <f t="shared" si="82"/>
        <v/>
      </c>
      <c r="AG337" s="48" t="str">
        <f t="shared" si="83"/>
        <v/>
      </c>
      <c r="AH337" s="48" t="str">
        <f t="shared" si="84"/>
        <v/>
      </c>
      <c r="AI337" s="48" t="str">
        <f t="shared" si="85"/>
        <v/>
      </c>
      <c r="AJ337" s="48" t="str">
        <f t="shared" si="88"/>
        <v/>
      </c>
      <c r="AK337" s="48" t="str">
        <f t="shared" si="89"/>
        <v/>
      </c>
      <c r="AL337" s="48" t="str">
        <f>IF(W337=0,"",_xlfn.CONCAT(DADOS!$A$8,Y337:AK337,"
"))</f>
        <v/>
      </c>
    </row>
    <row r="338" spans="4:38" s="48" customFormat="1" ht="15" customHeight="1" x14ac:dyDescent="0.25">
      <c r="D338" s="49"/>
      <c r="E338" s="43"/>
      <c r="F338" s="20"/>
      <c r="G338" s="14"/>
      <c r="H338" s="20"/>
      <c r="I338" s="15"/>
      <c r="J338" s="16"/>
      <c r="K338" s="14"/>
      <c r="L338" s="17"/>
      <c r="M338" s="18"/>
      <c r="N338" s="17"/>
      <c r="O338" s="18"/>
      <c r="P338" s="19"/>
      <c r="Q338" s="17"/>
      <c r="R338" s="40"/>
      <c r="S338" s="42">
        <v>324</v>
      </c>
      <c r="T338" s="40"/>
      <c r="V338" s="48" t="str">
        <f t="shared" si="86"/>
        <v/>
      </c>
      <c r="W338" s="48">
        <f t="shared" si="75"/>
        <v>0</v>
      </c>
      <c r="Y338" s="48" t="str">
        <f t="shared" si="76"/>
        <v/>
      </c>
      <c r="Z338" s="48" t="str">
        <f t="shared" si="77"/>
        <v/>
      </c>
      <c r="AA338" s="48" t="str">
        <f t="shared" si="78"/>
        <v/>
      </c>
      <c r="AB338" s="48" t="str">
        <f t="shared" si="87"/>
        <v/>
      </c>
      <c r="AC338" s="48" t="str">
        <f t="shared" si="79"/>
        <v/>
      </c>
      <c r="AD338" s="48" t="str">
        <f t="shared" si="80"/>
        <v/>
      </c>
      <c r="AE338" s="48" t="str">
        <f t="shared" si="81"/>
        <v/>
      </c>
      <c r="AF338" s="48" t="str">
        <f t="shared" si="82"/>
        <v/>
      </c>
      <c r="AG338" s="48" t="str">
        <f t="shared" si="83"/>
        <v/>
      </c>
      <c r="AH338" s="48" t="str">
        <f t="shared" si="84"/>
        <v/>
      </c>
      <c r="AI338" s="48" t="str">
        <f t="shared" si="85"/>
        <v/>
      </c>
      <c r="AJ338" s="48" t="str">
        <f t="shared" si="88"/>
        <v/>
      </c>
      <c r="AK338" s="48" t="str">
        <f t="shared" si="89"/>
        <v/>
      </c>
      <c r="AL338" s="48" t="str">
        <f>IF(W338=0,"",_xlfn.CONCAT(DADOS!$A$8,Y338:AK338,"
"))</f>
        <v/>
      </c>
    </row>
    <row r="339" spans="4:38" s="48" customFormat="1" ht="15" customHeight="1" x14ac:dyDescent="0.25">
      <c r="D339" s="49"/>
      <c r="E339" s="43"/>
      <c r="F339" s="20"/>
      <c r="G339" s="14"/>
      <c r="H339" s="20"/>
      <c r="I339" s="15"/>
      <c r="J339" s="16"/>
      <c r="K339" s="14"/>
      <c r="L339" s="17"/>
      <c r="M339" s="18"/>
      <c r="N339" s="17"/>
      <c r="O339" s="18"/>
      <c r="P339" s="19"/>
      <c r="Q339" s="17"/>
      <c r="R339" s="40"/>
      <c r="S339" s="42">
        <v>325</v>
      </c>
      <c r="T339" s="40"/>
      <c r="V339" s="48" t="str">
        <f t="shared" si="86"/>
        <v/>
      </c>
      <c r="W339" s="48">
        <f t="shared" si="75"/>
        <v>0</v>
      </c>
      <c r="Y339" s="48" t="str">
        <f t="shared" si="76"/>
        <v/>
      </c>
      <c r="Z339" s="48" t="str">
        <f t="shared" si="77"/>
        <v/>
      </c>
      <c r="AA339" s="48" t="str">
        <f t="shared" si="78"/>
        <v/>
      </c>
      <c r="AB339" s="48" t="str">
        <f t="shared" si="87"/>
        <v/>
      </c>
      <c r="AC339" s="48" t="str">
        <f t="shared" si="79"/>
        <v/>
      </c>
      <c r="AD339" s="48" t="str">
        <f t="shared" si="80"/>
        <v/>
      </c>
      <c r="AE339" s="48" t="str">
        <f t="shared" si="81"/>
        <v/>
      </c>
      <c r="AF339" s="48" t="str">
        <f t="shared" si="82"/>
        <v/>
      </c>
      <c r="AG339" s="48" t="str">
        <f t="shared" si="83"/>
        <v/>
      </c>
      <c r="AH339" s="48" t="str">
        <f t="shared" si="84"/>
        <v/>
      </c>
      <c r="AI339" s="48" t="str">
        <f t="shared" si="85"/>
        <v/>
      </c>
      <c r="AJ339" s="48" t="str">
        <f t="shared" si="88"/>
        <v/>
      </c>
      <c r="AK339" s="48" t="str">
        <f t="shared" si="89"/>
        <v/>
      </c>
      <c r="AL339" s="48" t="str">
        <f>IF(W339=0,"",_xlfn.CONCAT(DADOS!$A$8,Y339:AK339,"
"))</f>
        <v/>
      </c>
    </row>
    <row r="340" spans="4:38" s="48" customFormat="1" ht="15" customHeight="1" x14ac:dyDescent="0.25">
      <c r="D340" s="49"/>
      <c r="E340" s="43"/>
      <c r="F340" s="20"/>
      <c r="G340" s="14"/>
      <c r="H340" s="20"/>
      <c r="I340" s="15"/>
      <c r="J340" s="16"/>
      <c r="K340" s="14"/>
      <c r="L340" s="17"/>
      <c r="M340" s="18"/>
      <c r="N340" s="17"/>
      <c r="O340" s="18"/>
      <c r="P340" s="19"/>
      <c r="Q340" s="17"/>
      <c r="R340" s="40"/>
      <c r="S340" s="42">
        <v>326</v>
      </c>
      <c r="T340" s="40"/>
      <c r="V340" s="48" t="str">
        <f t="shared" si="86"/>
        <v/>
      </c>
      <c r="W340" s="48">
        <f t="shared" si="75"/>
        <v>0</v>
      </c>
      <c r="Y340" s="48" t="str">
        <f t="shared" si="76"/>
        <v/>
      </c>
      <c r="Z340" s="48" t="str">
        <f t="shared" si="77"/>
        <v/>
      </c>
      <c r="AA340" s="48" t="str">
        <f t="shared" si="78"/>
        <v/>
      </c>
      <c r="AB340" s="48" t="str">
        <f t="shared" si="87"/>
        <v/>
      </c>
      <c r="AC340" s="48" t="str">
        <f t="shared" si="79"/>
        <v/>
      </c>
      <c r="AD340" s="48" t="str">
        <f t="shared" si="80"/>
        <v/>
      </c>
      <c r="AE340" s="48" t="str">
        <f t="shared" si="81"/>
        <v/>
      </c>
      <c r="AF340" s="48" t="str">
        <f t="shared" si="82"/>
        <v/>
      </c>
      <c r="AG340" s="48" t="str">
        <f t="shared" si="83"/>
        <v/>
      </c>
      <c r="AH340" s="48" t="str">
        <f t="shared" si="84"/>
        <v/>
      </c>
      <c r="AI340" s="48" t="str">
        <f t="shared" si="85"/>
        <v/>
      </c>
      <c r="AJ340" s="48" t="str">
        <f t="shared" si="88"/>
        <v/>
      </c>
      <c r="AK340" s="48" t="str">
        <f t="shared" si="89"/>
        <v/>
      </c>
      <c r="AL340" s="48" t="str">
        <f>IF(W340=0,"",_xlfn.CONCAT(DADOS!$A$8,Y340:AK340,"
"))</f>
        <v/>
      </c>
    </row>
    <row r="341" spans="4:38" s="48" customFormat="1" ht="15" customHeight="1" x14ac:dyDescent="0.25">
      <c r="D341" s="49"/>
      <c r="E341" s="43"/>
      <c r="F341" s="20"/>
      <c r="G341" s="14"/>
      <c r="H341" s="20"/>
      <c r="I341" s="15"/>
      <c r="J341" s="16"/>
      <c r="K341" s="14"/>
      <c r="L341" s="17"/>
      <c r="M341" s="18"/>
      <c r="N341" s="17"/>
      <c r="O341" s="18"/>
      <c r="P341" s="19"/>
      <c r="Q341" s="17"/>
      <c r="R341" s="40"/>
      <c r="S341" s="42">
        <v>327</v>
      </c>
      <c r="T341" s="40"/>
      <c r="V341" s="48" t="str">
        <f t="shared" si="86"/>
        <v/>
      </c>
      <c r="W341" s="48">
        <f t="shared" si="75"/>
        <v>0</v>
      </c>
      <c r="Y341" s="48" t="str">
        <f t="shared" si="76"/>
        <v/>
      </c>
      <c r="Z341" s="48" t="str">
        <f t="shared" si="77"/>
        <v/>
      </c>
      <c r="AA341" s="48" t="str">
        <f t="shared" si="78"/>
        <v/>
      </c>
      <c r="AB341" s="48" t="str">
        <f t="shared" si="87"/>
        <v/>
      </c>
      <c r="AC341" s="48" t="str">
        <f t="shared" si="79"/>
        <v/>
      </c>
      <c r="AD341" s="48" t="str">
        <f t="shared" si="80"/>
        <v/>
      </c>
      <c r="AE341" s="48" t="str">
        <f t="shared" si="81"/>
        <v/>
      </c>
      <c r="AF341" s="48" t="str">
        <f t="shared" si="82"/>
        <v/>
      </c>
      <c r="AG341" s="48" t="str">
        <f t="shared" si="83"/>
        <v/>
      </c>
      <c r="AH341" s="48" t="str">
        <f t="shared" si="84"/>
        <v/>
      </c>
      <c r="AI341" s="48" t="str">
        <f t="shared" si="85"/>
        <v/>
      </c>
      <c r="AJ341" s="48" t="str">
        <f t="shared" si="88"/>
        <v/>
      </c>
      <c r="AK341" s="48" t="str">
        <f t="shared" si="89"/>
        <v/>
      </c>
      <c r="AL341" s="48" t="str">
        <f>IF(W341=0,"",_xlfn.CONCAT(DADOS!$A$8,Y341:AK341,"
"))</f>
        <v/>
      </c>
    </row>
    <row r="342" spans="4:38" s="48" customFormat="1" ht="15" customHeight="1" x14ac:dyDescent="0.25">
      <c r="D342" s="49"/>
      <c r="E342" s="43"/>
      <c r="F342" s="20"/>
      <c r="G342" s="14"/>
      <c r="H342" s="20"/>
      <c r="I342" s="15"/>
      <c r="J342" s="16"/>
      <c r="K342" s="14"/>
      <c r="L342" s="17"/>
      <c r="M342" s="18"/>
      <c r="N342" s="17"/>
      <c r="O342" s="18"/>
      <c r="P342" s="19"/>
      <c r="Q342" s="17"/>
      <c r="R342" s="40"/>
      <c r="S342" s="42">
        <v>328</v>
      </c>
      <c r="T342" s="40"/>
      <c r="V342" s="48" t="str">
        <f t="shared" si="86"/>
        <v/>
      </c>
      <c r="W342" s="48">
        <f t="shared" si="75"/>
        <v>0</v>
      </c>
      <c r="Y342" s="48" t="str">
        <f t="shared" si="76"/>
        <v/>
      </c>
      <c r="Z342" s="48" t="str">
        <f t="shared" si="77"/>
        <v/>
      </c>
      <c r="AA342" s="48" t="str">
        <f t="shared" si="78"/>
        <v/>
      </c>
      <c r="AB342" s="48" t="str">
        <f t="shared" si="87"/>
        <v/>
      </c>
      <c r="AC342" s="48" t="str">
        <f t="shared" si="79"/>
        <v/>
      </c>
      <c r="AD342" s="48" t="str">
        <f t="shared" si="80"/>
        <v/>
      </c>
      <c r="AE342" s="48" t="str">
        <f t="shared" si="81"/>
        <v/>
      </c>
      <c r="AF342" s="48" t="str">
        <f t="shared" si="82"/>
        <v/>
      </c>
      <c r="AG342" s="48" t="str">
        <f t="shared" si="83"/>
        <v/>
      </c>
      <c r="AH342" s="48" t="str">
        <f t="shared" si="84"/>
        <v/>
      </c>
      <c r="AI342" s="48" t="str">
        <f t="shared" si="85"/>
        <v/>
      </c>
      <c r="AJ342" s="48" t="str">
        <f t="shared" si="88"/>
        <v/>
      </c>
      <c r="AK342" s="48" t="str">
        <f t="shared" si="89"/>
        <v/>
      </c>
      <c r="AL342" s="48" t="str">
        <f>IF(W342=0,"",_xlfn.CONCAT(DADOS!$A$8,Y342:AK342,"
"))</f>
        <v/>
      </c>
    </row>
    <row r="343" spans="4:38" s="48" customFormat="1" ht="15" customHeight="1" x14ac:dyDescent="0.25">
      <c r="D343" s="49"/>
      <c r="E343" s="43"/>
      <c r="F343" s="20"/>
      <c r="G343" s="14"/>
      <c r="H343" s="20"/>
      <c r="I343" s="15"/>
      <c r="J343" s="16"/>
      <c r="K343" s="14"/>
      <c r="L343" s="17"/>
      <c r="M343" s="18"/>
      <c r="N343" s="17"/>
      <c r="O343" s="18"/>
      <c r="P343" s="19"/>
      <c r="Q343" s="17"/>
      <c r="R343" s="40"/>
      <c r="S343" s="42">
        <v>329</v>
      </c>
      <c r="T343" s="40"/>
      <c r="V343" s="48" t="str">
        <f t="shared" si="86"/>
        <v/>
      </c>
      <c r="W343" s="48">
        <f t="shared" si="75"/>
        <v>0</v>
      </c>
      <c r="Y343" s="48" t="str">
        <f t="shared" si="76"/>
        <v/>
      </c>
      <c r="Z343" s="48" t="str">
        <f t="shared" si="77"/>
        <v/>
      </c>
      <c r="AA343" s="48" t="str">
        <f t="shared" si="78"/>
        <v/>
      </c>
      <c r="AB343" s="48" t="str">
        <f t="shared" si="87"/>
        <v/>
      </c>
      <c r="AC343" s="48" t="str">
        <f t="shared" si="79"/>
        <v/>
      </c>
      <c r="AD343" s="48" t="str">
        <f t="shared" si="80"/>
        <v/>
      </c>
      <c r="AE343" s="48" t="str">
        <f t="shared" si="81"/>
        <v/>
      </c>
      <c r="AF343" s="48" t="str">
        <f t="shared" si="82"/>
        <v/>
      </c>
      <c r="AG343" s="48" t="str">
        <f t="shared" si="83"/>
        <v/>
      </c>
      <c r="AH343" s="48" t="str">
        <f t="shared" si="84"/>
        <v/>
      </c>
      <c r="AI343" s="48" t="str">
        <f t="shared" si="85"/>
        <v/>
      </c>
      <c r="AJ343" s="48" t="str">
        <f t="shared" si="88"/>
        <v/>
      </c>
      <c r="AK343" s="48" t="str">
        <f t="shared" si="89"/>
        <v/>
      </c>
      <c r="AL343" s="48" t="str">
        <f>IF(W343=0,"",_xlfn.CONCAT(DADOS!$A$8,Y343:AK343,"
"))</f>
        <v/>
      </c>
    </row>
    <row r="344" spans="4:38" s="48" customFormat="1" ht="15" customHeight="1" x14ac:dyDescent="0.25">
      <c r="D344" s="49"/>
      <c r="E344" s="43"/>
      <c r="F344" s="20"/>
      <c r="G344" s="14"/>
      <c r="H344" s="20"/>
      <c r="I344" s="15"/>
      <c r="J344" s="16"/>
      <c r="K344" s="14"/>
      <c r="L344" s="17"/>
      <c r="M344" s="18"/>
      <c r="N344" s="17"/>
      <c r="O344" s="18"/>
      <c r="P344" s="19"/>
      <c r="Q344" s="17"/>
      <c r="R344" s="40"/>
      <c r="S344" s="42">
        <v>330</v>
      </c>
      <c r="T344" s="40"/>
      <c r="V344" s="48" t="str">
        <f t="shared" si="86"/>
        <v/>
      </c>
      <c r="W344" s="48">
        <f t="shared" si="75"/>
        <v>0</v>
      </c>
      <c r="Y344" s="48" t="str">
        <f t="shared" si="76"/>
        <v/>
      </c>
      <c r="Z344" s="48" t="str">
        <f t="shared" si="77"/>
        <v/>
      </c>
      <c r="AA344" s="48" t="str">
        <f t="shared" si="78"/>
        <v/>
      </c>
      <c r="AB344" s="48" t="str">
        <f t="shared" si="87"/>
        <v/>
      </c>
      <c r="AC344" s="48" t="str">
        <f t="shared" si="79"/>
        <v/>
      </c>
      <c r="AD344" s="48" t="str">
        <f t="shared" si="80"/>
        <v/>
      </c>
      <c r="AE344" s="48" t="str">
        <f t="shared" si="81"/>
        <v/>
      </c>
      <c r="AF344" s="48" t="str">
        <f t="shared" si="82"/>
        <v/>
      </c>
      <c r="AG344" s="48" t="str">
        <f t="shared" si="83"/>
        <v/>
      </c>
      <c r="AH344" s="48" t="str">
        <f t="shared" si="84"/>
        <v/>
      </c>
      <c r="AI344" s="48" t="str">
        <f t="shared" si="85"/>
        <v/>
      </c>
      <c r="AJ344" s="48" t="str">
        <f t="shared" si="88"/>
        <v/>
      </c>
      <c r="AK344" s="48" t="str">
        <f t="shared" si="89"/>
        <v/>
      </c>
      <c r="AL344" s="48" t="str">
        <f>IF(W344=0,"",_xlfn.CONCAT(DADOS!$A$8,Y344:AK344,"
"))</f>
        <v/>
      </c>
    </row>
    <row r="345" spans="4:38" s="48" customFormat="1" ht="15" customHeight="1" x14ac:dyDescent="0.25">
      <c r="D345" s="49"/>
      <c r="E345" s="43"/>
      <c r="F345" s="20"/>
      <c r="G345" s="14"/>
      <c r="H345" s="20"/>
      <c r="I345" s="15"/>
      <c r="J345" s="16"/>
      <c r="K345" s="14"/>
      <c r="L345" s="17"/>
      <c r="M345" s="18"/>
      <c r="N345" s="17"/>
      <c r="O345" s="18"/>
      <c r="P345" s="19"/>
      <c r="Q345" s="17"/>
      <c r="R345" s="40"/>
      <c r="S345" s="42">
        <v>331</v>
      </c>
      <c r="T345" s="40"/>
      <c r="V345" s="48" t="str">
        <f t="shared" si="86"/>
        <v/>
      </c>
      <c r="W345" s="48">
        <f t="shared" si="75"/>
        <v>0</v>
      </c>
      <c r="Y345" s="48" t="str">
        <f t="shared" si="76"/>
        <v/>
      </c>
      <c r="Z345" s="48" t="str">
        <f t="shared" si="77"/>
        <v/>
      </c>
      <c r="AA345" s="48" t="str">
        <f t="shared" si="78"/>
        <v/>
      </c>
      <c r="AB345" s="48" t="str">
        <f t="shared" si="87"/>
        <v/>
      </c>
      <c r="AC345" s="48" t="str">
        <f t="shared" si="79"/>
        <v/>
      </c>
      <c r="AD345" s="48" t="str">
        <f t="shared" si="80"/>
        <v/>
      </c>
      <c r="AE345" s="48" t="str">
        <f t="shared" si="81"/>
        <v/>
      </c>
      <c r="AF345" s="48" t="str">
        <f t="shared" si="82"/>
        <v/>
      </c>
      <c r="AG345" s="48" t="str">
        <f t="shared" si="83"/>
        <v/>
      </c>
      <c r="AH345" s="48" t="str">
        <f t="shared" si="84"/>
        <v/>
      </c>
      <c r="AI345" s="48" t="str">
        <f t="shared" si="85"/>
        <v/>
      </c>
      <c r="AJ345" s="48" t="str">
        <f t="shared" si="88"/>
        <v/>
      </c>
      <c r="AK345" s="48" t="str">
        <f t="shared" si="89"/>
        <v/>
      </c>
      <c r="AL345" s="48" t="str">
        <f>IF(W345=0,"",_xlfn.CONCAT(DADOS!$A$8,Y345:AK345,"
"))</f>
        <v/>
      </c>
    </row>
    <row r="346" spans="4:38" s="48" customFormat="1" ht="15" customHeight="1" x14ac:dyDescent="0.25">
      <c r="D346" s="49"/>
      <c r="E346" s="43"/>
      <c r="F346" s="20"/>
      <c r="G346" s="14"/>
      <c r="H346" s="20"/>
      <c r="I346" s="15"/>
      <c r="J346" s="16"/>
      <c r="K346" s="14"/>
      <c r="L346" s="17"/>
      <c r="M346" s="18"/>
      <c r="N346" s="17"/>
      <c r="O346" s="18"/>
      <c r="P346" s="19"/>
      <c r="Q346" s="17"/>
      <c r="R346" s="40"/>
      <c r="S346" s="42">
        <v>332</v>
      </c>
      <c r="T346" s="40"/>
      <c r="V346" s="48" t="str">
        <f t="shared" si="86"/>
        <v/>
      </c>
      <c r="W346" s="48">
        <f t="shared" si="75"/>
        <v>0</v>
      </c>
      <c r="Y346" s="48" t="str">
        <f t="shared" si="76"/>
        <v/>
      </c>
      <c r="Z346" s="48" t="str">
        <f t="shared" si="77"/>
        <v/>
      </c>
      <c r="AA346" s="48" t="str">
        <f t="shared" si="78"/>
        <v/>
      </c>
      <c r="AB346" s="48" t="str">
        <f t="shared" si="87"/>
        <v/>
      </c>
      <c r="AC346" s="48" t="str">
        <f t="shared" si="79"/>
        <v/>
      </c>
      <c r="AD346" s="48" t="str">
        <f t="shared" si="80"/>
        <v/>
      </c>
      <c r="AE346" s="48" t="str">
        <f t="shared" si="81"/>
        <v/>
      </c>
      <c r="AF346" s="48" t="str">
        <f t="shared" si="82"/>
        <v/>
      </c>
      <c r="AG346" s="48" t="str">
        <f t="shared" si="83"/>
        <v/>
      </c>
      <c r="AH346" s="48" t="str">
        <f t="shared" si="84"/>
        <v/>
      </c>
      <c r="AI346" s="48" t="str">
        <f t="shared" si="85"/>
        <v/>
      </c>
      <c r="AJ346" s="48" t="str">
        <f t="shared" si="88"/>
        <v/>
      </c>
      <c r="AK346" s="48" t="str">
        <f t="shared" si="89"/>
        <v/>
      </c>
      <c r="AL346" s="48" t="str">
        <f>IF(W346=0,"",_xlfn.CONCAT(DADOS!$A$8,Y346:AK346,"
"))</f>
        <v/>
      </c>
    </row>
    <row r="347" spans="4:38" s="48" customFormat="1" ht="15" customHeight="1" x14ac:dyDescent="0.25">
      <c r="D347" s="49"/>
      <c r="E347" s="43"/>
      <c r="F347" s="20"/>
      <c r="G347" s="14"/>
      <c r="H347" s="20"/>
      <c r="I347" s="15"/>
      <c r="J347" s="16"/>
      <c r="K347" s="14"/>
      <c r="L347" s="17"/>
      <c r="M347" s="18"/>
      <c r="N347" s="17"/>
      <c r="O347" s="18"/>
      <c r="P347" s="19"/>
      <c r="Q347" s="17"/>
      <c r="R347" s="40"/>
      <c r="S347" s="42">
        <v>333</v>
      </c>
      <c r="T347" s="40"/>
      <c r="V347" s="48" t="str">
        <f t="shared" si="86"/>
        <v/>
      </c>
      <c r="W347" s="48">
        <f t="shared" si="75"/>
        <v>0</v>
      </c>
      <c r="Y347" s="48" t="str">
        <f t="shared" si="76"/>
        <v/>
      </c>
      <c r="Z347" s="48" t="str">
        <f t="shared" si="77"/>
        <v/>
      </c>
      <c r="AA347" s="48" t="str">
        <f t="shared" si="78"/>
        <v/>
      </c>
      <c r="AB347" s="48" t="str">
        <f t="shared" si="87"/>
        <v/>
      </c>
      <c r="AC347" s="48" t="str">
        <f t="shared" si="79"/>
        <v/>
      </c>
      <c r="AD347" s="48" t="str">
        <f t="shared" si="80"/>
        <v/>
      </c>
      <c r="AE347" s="48" t="str">
        <f t="shared" si="81"/>
        <v/>
      </c>
      <c r="AF347" s="48" t="str">
        <f t="shared" si="82"/>
        <v/>
      </c>
      <c r="AG347" s="48" t="str">
        <f t="shared" si="83"/>
        <v/>
      </c>
      <c r="AH347" s="48" t="str">
        <f t="shared" si="84"/>
        <v/>
      </c>
      <c r="AI347" s="48" t="str">
        <f t="shared" si="85"/>
        <v/>
      </c>
      <c r="AJ347" s="48" t="str">
        <f t="shared" si="88"/>
        <v/>
      </c>
      <c r="AK347" s="48" t="str">
        <f t="shared" si="89"/>
        <v/>
      </c>
      <c r="AL347" s="48" t="str">
        <f>IF(W347=0,"",_xlfn.CONCAT(DADOS!$A$8,Y347:AK347,"
"))</f>
        <v/>
      </c>
    </row>
    <row r="348" spans="4:38" s="48" customFormat="1" ht="15" customHeight="1" x14ac:dyDescent="0.25">
      <c r="D348" s="49"/>
      <c r="E348" s="43"/>
      <c r="F348" s="20"/>
      <c r="G348" s="14"/>
      <c r="H348" s="20"/>
      <c r="I348" s="15"/>
      <c r="J348" s="16"/>
      <c r="K348" s="14"/>
      <c r="L348" s="17"/>
      <c r="M348" s="18"/>
      <c r="N348" s="17"/>
      <c r="O348" s="18"/>
      <c r="P348" s="19"/>
      <c r="Q348" s="17"/>
      <c r="R348" s="40"/>
      <c r="S348" s="42">
        <v>334</v>
      </c>
      <c r="T348" s="40"/>
      <c r="V348" s="48" t="str">
        <f t="shared" si="86"/>
        <v/>
      </c>
      <c r="W348" s="48">
        <f t="shared" si="75"/>
        <v>0</v>
      </c>
      <c r="Y348" s="48" t="str">
        <f t="shared" si="76"/>
        <v/>
      </c>
      <c r="Z348" s="48" t="str">
        <f t="shared" si="77"/>
        <v/>
      </c>
      <c r="AA348" s="48" t="str">
        <f t="shared" si="78"/>
        <v/>
      </c>
      <c r="AB348" s="48" t="str">
        <f t="shared" si="87"/>
        <v/>
      </c>
      <c r="AC348" s="48" t="str">
        <f t="shared" si="79"/>
        <v/>
      </c>
      <c r="AD348" s="48" t="str">
        <f t="shared" si="80"/>
        <v/>
      </c>
      <c r="AE348" s="48" t="str">
        <f t="shared" si="81"/>
        <v/>
      </c>
      <c r="AF348" s="48" t="str">
        <f t="shared" si="82"/>
        <v/>
      </c>
      <c r="AG348" s="48" t="str">
        <f t="shared" si="83"/>
        <v/>
      </c>
      <c r="AH348" s="48" t="str">
        <f t="shared" si="84"/>
        <v/>
      </c>
      <c r="AI348" s="48" t="str">
        <f t="shared" si="85"/>
        <v/>
      </c>
      <c r="AJ348" s="48" t="str">
        <f t="shared" si="88"/>
        <v/>
      </c>
      <c r="AK348" s="48" t="str">
        <f t="shared" si="89"/>
        <v/>
      </c>
      <c r="AL348" s="48" t="str">
        <f>IF(W348=0,"",_xlfn.CONCAT(DADOS!$A$8,Y348:AK348,"
"))</f>
        <v/>
      </c>
    </row>
    <row r="349" spans="4:38" s="48" customFormat="1" ht="15" customHeight="1" x14ac:dyDescent="0.25">
      <c r="D349" s="49"/>
      <c r="E349" s="43"/>
      <c r="F349" s="20"/>
      <c r="G349" s="14"/>
      <c r="H349" s="20"/>
      <c r="I349" s="15"/>
      <c r="J349" s="16"/>
      <c r="K349" s="14"/>
      <c r="L349" s="17"/>
      <c r="M349" s="18"/>
      <c r="N349" s="17"/>
      <c r="O349" s="18"/>
      <c r="P349" s="19"/>
      <c r="Q349" s="17"/>
      <c r="R349" s="40"/>
      <c r="S349" s="42">
        <v>335</v>
      </c>
      <c r="T349" s="40"/>
      <c r="V349" s="48" t="str">
        <f t="shared" si="86"/>
        <v/>
      </c>
      <c r="W349" s="48">
        <f t="shared" si="75"/>
        <v>0</v>
      </c>
      <c r="Y349" s="48" t="str">
        <f t="shared" si="76"/>
        <v/>
      </c>
      <c r="Z349" s="48" t="str">
        <f t="shared" si="77"/>
        <v/>
      </c>
      <c r="AA349" s="48" t="str">
        <f t="shared" si="78"/>
        <v/>
      </c>
      <c r="AB349" s="48" t="str">
        <f t="shared" si="87"/>
        <v/>
      </c>
      <c r="AC349" s="48" t="str">
        <f t="shared" si="79"/>
        <v/>
      </c>
      <c r="AD349" s="48" t="str">
        <f t="shared" si="80"/>
        <v/>
      </c>
      <c r="AE349" s="48" t="str">
        <f t="shared" si="81"/>
        <v/>
      </c>
      <c r="AF349" s="48" t="str">
        <f t="shared" si="82"/>
        <v/>
      </c>
      <c r="AG349" s="48" t="str">
        <f t="shared" si="83"/>
        <v/>
      </c>
      <c r="AH349" s="48" t="str">
        <f t="shared" si="84"/>
        <v/>
      </c>
      <c r="AI349" s="48" t="str">
        <f t="shared" si="85"/>
        <v/>
      </c>
      <c r="AJ349" s="48" t="str">
        <f t="shared" si="88"/>
        <v/>
      </c>
      <c r="AK349" s="48" t="str">
        <f t="shared" si="89"/>
        <v/>
      </c>
      <c r="AL349" s="48" t="str">
        <f>IF(W349=0,"",_xlfn.CONCAT(DADOS!$A$8,Y349:AK349,"
"))</f>
        <v/>
      </c>
    </row>
    <row r="350" spans="4:38" s="48" customFormat="1" ht="15" customHeight="1" x14ac:dyDescent="0.25">
      <c r="D350" s="49"/>
      <c r="E350" s="43"/>
      <c r="F350" s="20"/>
      <c r="G350" s="14"/>
      <c r="H350" s="20"/>
      <c r="I350" s="15"/>
      <c r="J350" s="16"/>
      <c r="K350" s="14"/>
      <c r="L350" s="17"/>
      <c r="M350" s="18"/>
      <c r="N350" s="17"/>
      <c r="O350" s="18"/>
      <c r="P350" s="19"/>
      <c r="Q350" s="17"/>
      <c r="R350" s="40"/>
      <c r="S350" s="42">
        <v>336</v>
      </c>
      <c r="T350" s="40"/>
      <c r="V350" s="48" t="str">
        <f t="shared" si="86"/>
        <v/>
      </c>
      <c r="W350" s="48">
        <f t="shared" si="75"/>
        <v>0</v>
      </c>
      <c r="Y350" s="48" t="str">
        <f t="shared" si="76"/>
        <v/>
      </c>
      <c r="Z350" s="48" t="str">
        <f t="shared" si="77"/>
        <v/>
      </c>
      <c r="AA350" s="48" t="str">
        <f t="shared" si="78"/>
        <v/>
      </c>
      <c r="AB350" s="48" t="str">
        <f t="shared" si="87"/>
        <v/>
      </c>
      <c r="AC350" s="48" t="str">
        <f t="shared" si="79"/>
        <v/>
      </c>
      <c r="AD350" s="48" t="str">
        <f t="shared" si="80"/>
        <v/>
      </c>
      <c r="AE350" s="48" t="str">
        <f t="shared" si="81"/>
        <v/>
      </c>
      <c r="AF350" s="48" t="str">
        <f t="shared" si="82"/>
        <v/>
      </c>
      <c r="AG350" s="48" t="str">
        <f t="shared" si="83"/>
        <v/>
      </c>
      <c r="AH350" s="48" t="str">
        <f t="shared" si="84"/>
        <v/>
      </c>
      <c r="AI350" s="48" t="str">
        <f t="shared" si="85"/>
        <v/>
      </c>
      <c r="AJ350" s="48" t="str">
        <f t="shared" si="88"/>
        <v/>
      </c>
      <c r="AK350" s="48" t="str">
        <f t="shared" si="89"/>
        <v/>
      </c>
      <c r="AL350" s="48" t="str">
        <f>IF(W350=0,"",_xlfn.CONCAT(DADOS!$A$8,Y350:AK350,"
"))</f>
        <v/>
      </c>
    </row>
    <row r="351" spans="4:38" s="48" customFormat="1" ht="15" customHeight="1" x14ac:dyDescent="0.25">
      <c r="D351" s="49"/>
      <c r="E351" s="43"/>
      <c r="F351" s="20"/>
      <c r="G351" s="14"/>
      <c r="H351" s="20"/>
      <c r="I351" s="15"/>
      <c r="J351" s="16"/>
      <c r="K351" s="14"/>
      <c r="L351" s="17"/>
      <c r="M351" s="18"/>
      <c r="N351" s="17"/>
      <c r="O351" s="18"/>
      <c r="P351" s="19"/>
      <c r="Q351" s="17"/>
      <c r="R351" s="40"/>
      <c r="S351" s="42">
        <v>337</v>
      </c>
      <c r="T351" s="40"/>
      <c r="V351" s="48" t="str">
        <f t="shared" si="86"/>
        <v/>
      </c>
      <c r="W351" s="48">
        <f t="shared" si="75"/>
        <v>0</v>
      </c>
      <c r="Y351" s="48" t="str">
        <f t="shared" si="76"/>
        <v/>
      </c>
      <c r="Z351" s="48" t="str">
        <f t="shared" si="77"/>
        <v/>
      </c>
      <c r="AA351" s="48" t="str">
        <f t="shared" si="78"/>
        <v/>
      </c>
      <c r="AB351" s="48" t="str">
        <f t="shared" si="87"/>
        <v/>
      </c>
      <c r="AC351" s="48" t="str">
        <f t="shared" si="79"/>
        <v/>
      </c>
      <c r="AD351" s="48" t="str">
        <f t="shared" si="80"/>
        <v/>
      </c>
      <c r="AE351" s="48" t="str">
        <f t="shared" si="81"/>
        <v/>
      </c>
      <c r="AF351" s="48" t="str">
        <f t="shared" si="82"/>
        <v/>
      </c>
      <c r="AG351" s="48" t="str">
        <f t="shared" si="83"/>
        <v/>
      </c>
      <c r="AH351" s="48" t="str">
        <f t="shared" si="84"/>
        <v/>
      </c>
      <c r="AI351" s="48" t="str">
        <f t="shared" si="85"/>
        <v/>
      </c>
      <c r="AJ351" s="48" t="str">
        <f t="shared" si="88"/>
        <v/>
      </c>
      <c r="AK351" s="48" t="str">
        <f t="shared" si="89"/>
        <v/>
      </c>
      <c r="AL351" s="48" t="str">
        <f>IF(W351=0,"",_xlfn.CONCAT(DADOS!$A$8,Y351:AK351,"
"))</f>
        <v/>
      </c>
    </row>
    <row r="352" spans="4:38" s="48" customFormat="1" ht="15" customHeight="1" x14ac:dyDescent="0.25">
      <c r="D352" s="49"/>
      <c r="E352" s="43"/>
      <c r="F352" s="20"/>
      <c r="G352" s="14"/>
      <c r="H352" s="20"/>
      <c r="I352" s="15"/>
      <c r="J352" s="16"/>
      <c r="K352" s="14"/>
      <c r="L352" s="17"/>
      <c r="M352" s="18"/>
      <c r="N352" s="17"/>
      <c r="O352" s="18"/>
      <c r="P352" s="19"/>
      <c r="Q352" s="17"/>
      <c r="R352" s="40"/>
      <c r="S352" s="42">
        <v>338</v>
      </c>
      <c r="T352" s="40"/>
      <c r="V352" s="48" t="str">
        <f t="shared" si="86"/>
        <v/>
      </c>
      <c r="W352" s="48">
        <f t="shared" si="75"/>
        <v>0</v>
      </c>
      <c r="Y352" s="48" t="str">
        <f t="shared" si="76"/>
        <v/>
      </c>
      <c r="Z352" s="48" t="str">
        <f t="shared" si="77"/>
        <v/>
      </c>
      <c r="AA352" s="48" t="str">
        <f t="shared" si="78"/>
        <v/>
      </c>
      <c r="AB352" s="48" t="str">
        <f t="shared" si="87"/>
        <v/>
      </c>
      <c r="AC352" s="48" t="str">
        <f t="shared" si="79"/>
        <v/>
      </c>
      <c r="AD352" s="48" t="str">
        <f t="shared" si="80"/>
        <v/>
      </c>
      <c r="AE352" s="48" t="str">
        <f t="shared" si="81"/>
        <v/>
      </c>
      <c r="AF352" s="48" t="str">
        <f t="shared" si="82"/>
        <v/>
      </c>
      <c r="AG352" s="48" t="str">
        <f t="shared" si="83"/>
        <v/>
      </c>
      <c r="AH352" s="48" t="str">
        <f t="shared" si="84"/>
        <v/>
      </c>
      <c r="AI352" s="48" t="str">
        <f t="shared" si="85"/>
        <v/>
      </c>
      <c r="AJ352" s="48" t="str">
        <f t="shared" si="88"/>
        <v/>
      </c>
      <c r="AK352" s="48" t="str">
        <f t="shared" si="89"/>
        <v/>
      </c>
      <c r="AL352" s="48" t="str">
        <f>IF(W352=0,"",_xlfn.CONCAT(DADOS!$A$8,Y352:AK352,"
"))</f>
        <v/>
      </c>
    </row>
    <row r="353" spans="4:38" s="48" customFormat="1" ht="15" customHeight="1" x14ac:dyDescent="0.25">
      <c r="D353" s="49"/>
      <c r="E353" s="43"/>
      <c r="F353" s="20"/>
      <c r="G353" s="14"/>
      <c r="H353" s="20"/>
      <c r="I353" s="15"/>
      <c r="J353" s="16"/>
      <c r="K353" s="14"/>
      <c r="L353" s="17"/>
      <c r="M353" s="18"/>
      <c r="N353" s="17"/>
      <c r="O353" s="18"/>
      <c r="P353" s="19"/>
      <c r="Q353" s="17"/>
      <c r="R353" s="40"/>
      <c r="S353" s="42">
        <v>339</v>
      </c>
      <c r="T353" s="40"/>
      <c r="V353" s="48" t="str">
        <f t="shared" si="86"/>
        <v/>
      </c>
      <c r="W353" s="48">
        <f t="shared" si="75"/>
        <v>0</v>
      </c>
      <c r="Y353" s="48" t="str">
        <f t="shared" si="76"/>
        <v/>
      </c>
      <c r="Z353" s="48" t="str">
        <f t="shared" si="77"/>
        <v/>
      </c>
      <c r="AA353" s="48" t="str">
        <f t="shared" si="78"/>
        <v/>
      </c>
      <c r="AB353" s="48" t="str">
        <f t="shared" si="87"/>
        <v/>
      </c>
      <c r="AC353" s="48" t="str">
        <f t="shared" si="79"/>
        <v/>
      </c>
      <c r="AD353" s="48" t="str">
        <f t="shared" si="80"/>
        <v/>
      </c>
      <c r="AE353" s="48" t="str">
        <f t="shared" si="81"/>
        <v/>
      </c>
      <c r="AF353" s="48" t="str">
        <f t="shared" si="82"/>
        <v/>
      </c>
      <c r="AG353" s="48" t="str">
        <f t="shared" si="83"/>
        <v/>
      </c>
      <c r="AH353" s="48" t="str">
        <f t="shared" si="84"/>
        <v/>
      </c>
      <c r="AI353" s="48" t="str">
        <f t="shared" si="85"/>
        <v/>
      </c>
      <c r="AJ353" s="48" t="str">
        <f t="shared" si="88"/>
        <v/>
      </c>
      <c r="AK353" s="48" t="str">
        <f t="shared" si="89"/>
        <v/>
      </c>
      <c r="AL353" s="48" t="str">
        <f>IF(W353=0,"",_xlfn.CONCAT(DADOS!$A$8,Y353:AK353,"
"))</f>
        <v/>
      </c>
    </row>
    <row r="354" spans="4:38" s="48" customFormat="1" ht="15" customHeight="1" x14ac:dyDescent="0.25">
      <c r="D354" s="49"/>
      <c r="E354" s="43"/>
      <c r="F354" s="20"/>
      <c r="G354" s="14"/>
      <c r="H354" s="20"/>
      <c r="I354" s="15"/>
      <c r="J354" s="16"/>
      <c r="K354" s="14"/>
      <c r="L354" s="17"/>
      <c r="M354" s="18"/>
      <c r="N354" s="17"/>
      <c r="O354" s="18"/>
      <c r="P354" s="19"/>
      <c r="Q354" s="17"/>
      <c r="R354" s="40"/>
      <c r="S354" s="42">
        <v>340</v>
      </c>
      <c r="T354" s="40"/>
      <c r="V354" s="48" t="str">
        <f t="shared" si="86"/>
        <v/>
      </c>
      <c r="W354" s="48">
        <f t="shared" si="75"/>
        <v>0</v>
      </c>
      <c r="Y354" s="48" t="str">
        <f t="shared" si="76"/>
        <v/>
      </c>
      <c r="Z354" s="48" t="str">
        <f t="shared" si="77"/>
        <v/>
      </c>
      <c r="AA354" s="48" t="str">
        <f t="shared" si="78"/>
        <v/>
      </c>
      <c r="AB354" s="48" t="str">
        <f t="shared" si="87"/>
        <v/>
      </c>
      <c r="AC354" s="48" t="str">
        <f t="shared" si="79"/>
        <v/>
      </c>
      <c r="AD354" s="48" t="str">
        <f t="shared" si="80"/>
        <v/>
      </c>
      <c r="AE354" s="48" t="str">
        <f t="shared" si="81"/>
        <v/>
      </c>
      <c r="AF354" s="48" t="str">
        <f t="shared" si="82"/>
        <v/>
      </c>
      <c r="AG354" s="48" t="str">
        <f t="shared" si="83"/>
        <v/>
      </c>
      <c r="AH354" s="48" t="str">
        <f t="shared" si="84"/>
        <v/>
      </c>
      <c r="AI354" s="48" t="str">
        <f t="shared" si="85"/>
        <v/>
      </c>
      <c r="AJ354" s="48" t="str">
        <f t="shared" si="88"/>
        <v/>
      </c>
      <c r="AK354" s="48" t="str">
        <f t="shared" si="89"/>
        <v/>
      </c>
      <c r="AL354" s="48" t="str">
        <f>IF(W354=0,"",_xlfn.CONCAT(DADOS!$A$8,Y354:AK354,"
"))</f>
        <v/>
      </c>
    </row>
    <row r="355" spans="4:38" s="48" customFormat="1" ht="15" customHeight="1" x14ac:dyDescent="0.25">
      <c r="D355" s="49"/>
      <c r="E355" s="43"/>
      <c r="F355" s="20"/>
      <c r="G355" s="14"/>
      <c r="H355" s="20"/>
      <c r="I355" s="15"/>
      <c r="J355" s="16"/>
      <c r="K355" s="14"/>
      <c r="L355" s="17"/>
      <c r="M355" s="18"/>
      <c r="N355" s="17"/>
      <c r="O355" s="18"/>
      <c r="P355" s="19"/>
      <c r="Q355" s="17"/>
      <c r="R355" s="40"/>
      <c r="S355" s="42">
        <v>341</v>
      </c>
      <c r="T355" s="40"/>
      <c r="V355" s="48" t="str">
        <f t="shared" si="86"/>
        <v/>
      </c>
      <c r="W355" s="48">
        <f t="shared" si="75"/>
        <v>0</v>
      </c>
      <c r="Y355" s="48" t="str">
        <f t="shared" si="76"/>
        <v/>
      </c>
      <c r="Z355" s="48" t="str">
        <f t="shared" si="77"/>
        <v/>
      </c>
      <c r="AA355" s="48" t="str">
        <f t="shared" si="78"/>
        <v/>
      </c>
      <c r="AB355" s="48" t="str">
        <f t="shared" si="87"/>
        <v/>
      </c>
      <c r="AC355" s="48" t="str">
        <f t="shared" si="79"/>
        <v/>
      </c>
      <c r="AD355" s="48" t="str">
        <f t="shared" si="80"/>
        <v/>
      </c>
      <c r="AE355" s="48" t="str">
        <f t="shared" si="81"/>
        <v/>
      </c>
      <c r="AF355" s="48" t="str">
        <f t="shared" si="82"/>
        <v/>
      </c>
      <c r="AG355" s="48" t="str">
        <f t="shared" si="83"/>
        <v/>
      </c>
      <c r="AH355" s="48" t="str">
        <f t="shared" si="84"/>
        <v/>
      </c>
      <c r="AI355" s="48" t="str">
        <f t="shared" si="85"/>
        <v/>
      </c>
      <c r="AJ355" s="48" t="str">
        <f t="shared" si="88"/>
        <v/>
      </c>
      <c r="AK355" s="48" t="str">
        <f t="shared" si="89"/>
        <v/>
      </c>
      <c r="AL355" s="48" t="str">
        <f>IF(W355=0,"",_xlfn.CONCAT(DADOS!$A$8,Y355:AK355,"
"))</f>
        <v/>
      </c>
    </row>
    <row r="356" spans="4:38" s="48" customFormat="1" ht="15" customHeight="1" x14ac:dyDescent="0.25">
      <c r="D356" s="49"/>
      <c r="E356" s="43"/>
      <c r="F356" s="20"/>
      <c r="G356" s="14"/>
      <c r="H356" s="20"/>
      <c r="I356" s="15"/>
      <c r="J356" s="16"/>
      <c r="K356" s="14"/>
      <c r="L356" s="17"/>
      <c r="M356" s="18"/>
      <c r="N356" s="17"/>
      <c r="O356" s="18"/>
      <c r="P356" s="19"/>
      <c r="Q356" s="17"/>
      <c r="R356" s="40"/>
      <c r="S356" s="42">
        <v>342</v>
      </c>
      <c r="T356" s="40"/>
      <c r="V356" s="48" t="str">
        <f t="shared" si="86"/>
        <v/>
      </c>
      <c r="W356" s="48">
        <f t="shared" si="75"/>
        <v>0</v>
      </c>
      <c r="Y356" s="48" t="str">
        <f t="shared" si="76"/>
        <v/>
      </c>
      <c r="Z356" s="48" t="str">
        <f t="shared" si="77"/>
        <v/>
      </c>
      <c r="AA356" s="48" t="str">
        <f t="shared" si="78"/>
        <v/>
      </c>
      <c r="AB356" s="48" t="str">
        <f t="shared" si="87"/>
        <v/>
      </c>
      <c r="AC356" s="48" t="str">
        <f t="shared" si="79"/>
        <v/>
      </c>
      <c r="AD356" s="48" t="str">
        <f t="shared" si="80"/>
        <v/>
      </c>
      <c r="AE356" s="48" t="str">
        <f t="shared" si="81"/>
        <v/>
      </c>
      <c r="AF356" s="48" t="str">
        <f t="shared" si="82"/>
        <v/>
      </c>
      <c r="AG356" s="48" t="str">
        <f t="shared" si="83"/>
        <v/>
      </c>
      <c r="AH356" s="48" t="str">
        <f t="shared" si="84"/>
        <v/>
      </c>
      <c r="AI356" s="48" t="str">
        <f t="shared" si="85"/>
        <v/>
      </c>
      <c r="AJ356" s="48" t="str">
        <f t="shared" si="88"/>
        <v/>
      </c>
      <c r="AK356" s="48" t="str">
        <f t="shared" si="89"/>
        <v/>
      </c>
      <c r="AL356" s="48" t="str">
        <f>IF(W356=0,"",_xlfn.CONCAT(DADOS!$A$8,Y356:AK356,"
"))</f>
        <v/>
      </c>
    </row>
    <row r="357" spans="4:38" s="48" customFormat="1" ht="15" customHeight="1" x14ac:dyDescent="0.25">
      <c r="D357" s="49"/>
      <c r="E357" s="43"/>
      <c r="F357" s="20"/>
      <c r="G357" s="14"/>
      <c r="H357" s="20"/>
      <c r="I357" s="15"/>
      <c r="J357" s="16"/>
      <c r="K357" s="14"/>
      <c r="L357" s="17"/>
      <c r="M357" s="18"/>
      <c r="N357" s="17"/>
      <c r="O357" s="18"/>
      <c r="P357" s="19"/>
      <c r="Q357" s="17"/>
      <c r="R357" s="40"/>
      <c r="S357" s="42">
        <v>343</v>
      </c>
      <c r="T357" s="40"/>
      <c r="V357" s="48" t="str">
        <f t="shared" si="86"/>
        <v/>
      </c>
      <c r="W357" s="48">
        <f t="shared" si="75"/>
        <v>0</v>
      </c>
      <c r="Y357" s="48" t="str">
        <f t="shared" si="76"/>
        <v/>
      </c>
      <c r="Z357" s="48" t="str">
        <f t="shared" si="77"/>
        <v/>
      </c>
      <c r="AA357" s="48" t="str">
        <f t="shared" si="78"/>
        <v/>
      </c>
      <c r="AB357" s="48" t="str">
        <f t="shared" si="87"/>
        <v/>
      </c>
      <c r="AC357" s="48" t="str">
        <f t="shared" si="79"/>
        <v/>
      </c>
      <c r="AD357" s="48" t="str">
        <f t="shared" si="80"/>
        <v/>
      </c>
      <c r="AE357" s="48" t="str">
        <f t="shared" si="81"/>
        <v/>
      </c>
      <c r="AF357" s="48" t="str">
        <f t="shared" si="82"/>
        <v/>
      </c>
      <c r="AG357" s="48" t="str">
        <f t="shared" si="83"/>
        <v/>
      </c>
      <c r="AH357" s="48" t="str">
        <f t="shared" si="84"/>
        <v/>
      </c>
      <c r="AI357" s="48" t="str">
        <f t="shared" si="85"/>
        <v/>
      </c>
      <c r="AJ357" s="48" t="str">
        <f t="shared" si="88"/>
        <v/>
      </c>
      <c r="AK357" s="48" t="str">
        <f t="shared" si="89"/>
        <v/>
      </c>
      <c r="AL357" s="48" t="str">
        <f>IF(W357=0,"",_xlfn.CONCAT(DADOS!$A$8,Y357:AK357,"
"))</f>
        <v/>
      </c>
    </row>
    <row r="358" spans="4:38" s="48" customFormat="1" ht="15" customHeight="1" x14ac:dyDescent="0.25">
      <c r="D358" s="49"/>
      <c r="E358" s="43"/>
      <c r="F358" s="20"/>
      <c r="G358" s="14"/>
      <c r="H358" s="20"/>
      <c r="I358" s="15"/>
      <c r="J358" s="16"/>
      <c r="K358" s="14"/>
      <c r="L358" s="17"/>
      <c r="M358" s="18"/>
      <c r="N358" s="17"/>
      <c r="O358" s="18"/>
      <c r="P358" s="19"/>
      <c r="Q358" s="17"/>
      <c r="R358" s="40"/>
      <c r="S358" s="42">
        <v>344</v>
      </c>
      <c r="T358" s="40"/>
      <c r="V358" s="48" t="str">
        <f t="shared" si="86"/>
        <v/>
      </c>
      <c r="W358" s="48">
        <f t="shared" si="75"/>
        <v>0</v>
      </c>
      <c r="Y358" s="48" t="str">
        <f t="shared" si="76"/>
        <v/>
      </c>
      <c r="Z358" s="48" t="str">
        <f t="shared" si="77"/>
        <v/>
      </c>
      <c r="AA358" s="48" t="str">
        <f t="shared" si="78"/>
        <v/>
      </c>
      <c r="AB358" s="48" t="str">
        <f t="shared" si="87"/>
        <v/>
      </c>
      <c r="AC358" s="48" t="str">
        <f t="shared" si="79"/>
        <v/>
      </c>
      <c r="AD358" s="48" t="str">
        <f t="shared" si="80"/>
        <v/>
      </c>
      <c r="AE358" s="48" t="str">
        <f t="shared" si="81"/>
        <v/>
      </c>
      <c r="AF358" s="48" t="str">
        <f t="shared" si="82"/>
        <v/>
      </c>
      <c r="AG358" s="48" t="str">
        <f t="shared" si="83"/>
        <v/>
      </c>
      <c r="AH358" s="48" t="str">
        <f t="shared" si="84"/>
        <v/>
      </c>
      <c r="AI358" s="48" t="str">
        <f t="shared" si="85"/>
        <v/>
      </c>
      <c r="AJ358" s="48" t="str">
        <f t="shared" si="88"/>
        <v/>
      </c>
      <c r="AK358" s="48" t="str">
        <f t="shared" si="89"/>
        <v/>
      </c>
      <c r="AL358" s="48" t="str">
        <f>IF(W358=0,"",_xlfn.CONCAT(DADOS!$A$8,Y358:AK358,"
"))</f>
        <v/>
      </c>
    </row>
    <row r="359" spans="4:38" s="48" customFormat="1" ht="15" customHeight="1" x14ac:dyDescent="0.25">
      <c r="D359" s="49"/>
      <c r="E359" s="43"/>
      <c r="F359" s="20"/>
      <c r="G359" s="14"/>
      <c r="H359" s="20"/>
      <c r="I359" s="15"/>
      <c r="J359" s="16"/>
      <c r="K359" s="14"/>
      <c r="L359" s="17"/>
      <c r="M359" s="18"/>
      <c r="N359" s="17"/>
      <c r="O359" s="18"/>
      <c r="P359" s="19"/>
      <c r="Q359" s="17"/>
      <c r="R359" s="40"/>
      <c r="S359" s="42">
        <v>345</v>
      </c>
      <c r="T359" s="40"/>
      <c r="V359" s="48" t="str">
        <f t="shared" si="86"/>
        <v/>
      </c>
      <c r="W359" s="48">
        <f t="shared" si="75"/>
        <v>0</v>
      </c>
      <c r="Y359" s="48" t="str">
        <f t="shared" si="76"/>
        <v/>
      </c>
      <c r="Z359" s="48" t="str">
        <f t="shared" si="77"/>
        <v/>
      </c>
      <c r="AA359" s="48" t="str">
        <f t="shared" si="78"/>
        <v/>
      </c>
      <c r="AB359" s="48" t="str">
        <f t="shared" si="87"/>
        <v/>
      </c>
      <c r="AC359" s="48" t="str">
        <f t="shared" si="79"/>
        <v/>
      </c>
      <c r="AD359" s="48" t="str">
        <f t="shared" si="80"/>
        <v/>
      </c>
      <c r="AE359" s="48" t="str">
        <f t="shared" si="81"/>
        <v/>
      </c>
      <c r="AF359" s="48" t="str">
        <f t="shared" si="82"/>
        <v/>
      </c>
      <c r="AG359" s="48" t="str">
        <f t="shared" si="83"/>
        <v/>
      </c>
      <c r="AH359" s="48" t="str">
        <f t="shared" si="84"/>
        <v/>
      </c>
      <c r="AI359" s="48" t="str">
        <f t="shared" si="85"/>
        <v/>
      </c>
      <c r="AJ359" s="48" t="str">
        <f t="shared" si="88"/>
        <v/>
      </c>
      <c r="AK359" s="48" t="str">
        <f t="shared" si="89"/>
        <v/>
      </c>
      <c r="AL359" s="48" t="str">
        <f>IF(W359=0,"",_xlfn.CONCAT(DADOS!$A$8,Y359:AK359,"
"))</f>
        <v/>
      </c>
    </row>
    <row r="360" spans="4:38" s="48" customFormat="1" ht="15" customHeight="1" x14ac:dyDescent="0.25">
      <c r="D360" s="49"/>
      <c r="E360" s="43"/>
      <c r="F360" s="20"/>
      <c r="G360" s="14"/>
      <c r="H360" s="20"/>
      <c r="I360" s="15"/>
      <c r="J360" s="16"/>
      <c r="K360" s="14"/>
      <c r="L360" s="17"/>
      <c r="M360" s="18"/>
      <c r="N360" s="17"/>
      <c r="O360" s="18"/>
      <c r="P360" s="19"/>
      <c r="Q360" s="17"/>
      <c r="R360" s="40"/>
      <c r="S360" s="42">
        <v>346</v>
      </c>
      <c r="T360" s="40"/>
      <c r="V360" s="48" t="str">
        <f t="shared" si="86"/>
        <v/>
      </c>
      <c r="W360" s="48">
        <f t="shared" si="75"/>
        <v>0</v>
      </c>
      <c r="Y360" s="48" t="str">
        <f t="shared" si="76"/>
        <v/>
      </c>
      <c r="Z360" s="48" t="str">
        <f t="shared" si="77"/>
        <v/>
      </c>
      <c r="AA360" s="48" t="str">
        <f t="shared" si="78"/>
        <v/>
      </c>
      <c r="AB360" s="48" t="str">
        <f t="shared" si="87"/>
        <v/>
      </c>
      <c r="AC360" s="48" t="str">
        <f t="shared" si="79"/>
        <v/>
      </c>
      <c r="AD360" s="48" t="str">
        <f t="shared" si="80"/>
        <v/>
      </c>
      <c r="AE360" s="48" t="str">
        <f t="shared" si="81"/>
        <v/>
      </c>
      <c r="AF360" s="48" t="str">
        <f t="shared" si="82"/>
        <v/>
      </c>
      <c r="AG360" s="48" t="str">
        <f t="shared" si="83"/>
        <v/>
      </c>
      <c r="AH360" s="48" t="str">
        <f t="shared" si="84"/>
        <v/>
      </c>
      <c r="AI360" s="48" t="str">
        <f t="shared" si="85"/>
        <v/>
      </c>
      <c r="AJ360" s="48" t="str">
        <f t="shared" si="88"/>
        <v/>
      </c>
      <c r="AK360" s="48" t="str">
        <f t="shared" si="89"/>
        <v/>
      </c>
      <c r="AL360" s="48" t="str">
        <f>IF(W360=0,"",_xlfn.CONCAT(DADOS!$A$8,Y360:AK360,"
"))</f>
        <v/>
      </c>
    </row>
    <row r="361" spans="4:38" s="48" customFormat="1" ht="15" customHeight="1" x14ac:dyDescent="0.25">
      <c r="D361" s="49"/>
      <c r="E361" s="43"/>
      <c r="F361" s="20"/>
      <c r="G361" s="14"/>
      <c r="H361" s="20"/>
      <c r="I361" s="15"/>
      <c r="J361" s="16"/>
      <c r="K361" s="14"/>
      <c r="L361" s="17"/>
      <c r="M361" s="18"/>
      <c r="N361" s="17"/>
      <c r="O361" s="18"/>
      <c r="P361" s="19"/>
      <c r="Q361" s="17"/>
      <c r="R361" s="40"/>
      <c r="S361" s="42">
        <v>347</v>
      </c>
      <c r="T361" s="40"/>
      <c r="V361" s="48" t="str">
        <f t="shared" si="86"/>
        <v/>
      </c>
      <c r="W361" s="48">
        <f t="shared" si="75"/>
        <v>0</v>
      </c>
      <c r="Y361" s="48" t="str">
        <f t="shared" si="76"/>
        <v/>
      </c>
      <c r="Z361" s="48" t="str">
        <f t="shared" si="77"/>
        <v/>
      </c>
      <c r="AA361" s="48" t="str">
        <f t="shared" si="78"/>
        <v/>
      </c>
      <c r="AB361" s="48" t="str">
        <f t="shared" si="87"/>
        <v/>
      </c>
      <c r="AC361" s="48" t="str">
        <f t="shared" si="79"/>
        <v/>
      </c>
      <c r="AD361" s="48" t="str">
        <f t="shared" si="80"/>
        <v/>
      </c>
      <c r="AE361" s="48" t="str">
        <f t="shared" si="81"/>
        <v/>
      </c>
      <c r="AF361" s="48" t="str">
        <f t="shared" si="82"/>
        <v/>
      </c>
      <c r="AG361" s="48" t="str">
        <f t="shared" si="83"/>
        <v/>
      </c>
      <c r="AH361" s="48" t="str">
        <f t="shared" si="84"/>
        <v/>
      </c>
      <c r="AI361" s="48" t="str">
        <f t="shared" si="85"/>
        <v/>
      </c>
      <c r="AJ361" s="48" t="str">
        <f t="shared" si="88"/>
        <v/>
      </c>
      <c r="AK361" s="48" t="str">
        <f t="shared" si="89"/>
        <v/>
      </c>
      <c r="AL361" s="48" t="str">
        <f>IF(W361=0,"",_xlfn.CONCAT(DADOS!$A$8,Y361:AK361,"
"))</f>
        <v/>
      </c>
    </row>
    <row r="362" spans="4:38" s="48" customFormat="1" ht="15" customHeight="1" x14ac:dyDescent="0.25">
      <c r="D362" s="49"/>
      <c r="E362" s="43"/>
      <c r="F362" s="20"/>
      <c r="G362" s="14"/>
      <c r="H362" s="20"/>
      <c r="I362" s="15"/>
      <c r="J362" s="16"/>
      <c r="K362" s="14"/>
      <c r="L362" s="17"/>
      <c r="M362" s="18"/>
      <c r="N362" s="17"/>
      <c r="O362" s="18"/>
      <c r="P362" s="19"/>
      <c r="Q362" s="17"/>
      <c r="R362" s="40"/>
      <c r="S362" s="42">
        <v>348</v>
      </c>
      <c r="T362" s="40"/>
      <c r="V362" s="48" t="str">
        <f t="shared" si="86"/>
        <v/>
      </c>
      <c r="W362" s="48">
        <f t="shared" si="75"/>
        <v>0</v>
      </c>
      <c r="Y362" s="48" t="str">
        <f t="shared" si="76"/>
        <v/>
      </c>
      <c r="Z362" s="48" t="str">
        <f t="shared" si="77"/>
        <v/>
      </c>
      <c r="AA362" s="48" t="str">
        <f t="shared" si="78"/>
        <v/>
      </c>
      <c r="AB362" s="48" t="str">
        <f t="shared" si="87"/>
        <v/>
      </c>
      <c r="AC362" s="48" t="str">
        <f t="shared" si="79"/>
        <v/>
      </c>
      <c r="AD362" s="48" t="str">
        <f t="shared" si="80"/>
        <v/>
      </c>
      <c r="AE362" s="48" t="str">
        <f t="shared" si="81"/>
        <v/>
      </c>
      <c r="AF362" s="48" t="str">
        <f t="shared" si="82"/>
        <v/>
      </c>
      <c r="AG362" s="48" t="str">
        <f t="shared" si="83"/>
        <v/>
      </c>
      <c r="AH362" s="48" t="str">
        <f t="shared" si="84"/>
        <v/>
      </c>
      <c r="AI362" s="48" t="str">
        <f t="shared" si="85"/>
        <v/>
      </c>
      <c r="AJ362" s="48" t="str">
        <f t="shared" si="88"/>
        <v/>
      </c>
      <c r="AK362" s="48" t="str">
        <f t="shared" si="89"/>
        <v/>
      </c>
      <c r="AL362" s="48" t="str">
        <f>IF(W362=0,"",_xlfn.CONCAT(DADOS!$A$8,Y362:AK362,"
"))</f>
        <v/>
      </c>
    </row>
    <row r="363" spans="4:38" s="48" customFormat="1" ht="15" customHeight="1" x14ac:dyDescent="0.25">
      <c r="D363" s="49"/>
      <c r="E363" s="43"/>
      <c r="F363" s="20"/>
      <c r="G363" s="14"/>
      <c r="H363" s="20"/>
      <c r="I363" s="15"/>
      <c r="J363" s="16"/>
      <c r="K363" s="14"/>
      <c r="L363" s="17"/>
      <c r="M363" s="18"/>
      <c r="N363" s="17"/>
      <c r="O363" s="18"/>
      <c r="P363" s="19"/>
      <c r="Q363" s="17"/>
      <c r="R363" s="40"/>
      <c r="S363" s="42">
        <v>349</v>
      </c>
      <c r="T363" s="40"/>
      <c r="V363" s="48" t="str">
        <f t="shared" si="86"/>
        <v/>
      </c>
      <c r="W363" s="48">
        <f t="shared" si="75"/>
        <v>0</v>
      </c>
      <c r="Y363" s="48" t="str">
        <f t="shared" si="76"/>
        <v/>
      </c>
      <c r="Z363" s="48" t="str">
        <f t="shared" si="77"/>
        <v/>
      </c>
      <c r="AA363" s="48" t="str">
        <f t="shared" si="78"/>
        <v/>
      </c>
      <c r="AB363" s="48" t="str">
        <f t="shared" si="87"/>
        <v/>
      </c>
      <c r="AC363" s="48" t="str">
        <f t="shared" si="79"/>
        <v/>
      </c>
      <c r="AD363" s="48" t="str">
        <f t="shared" si="80"/>
        <v/>
      </c>
      <c r="AE363" s="48" t="str">
        <f t="shared" si="81"/>
        <v/>
      </c>
      <c r="AF363" s="48" t="str">
        <f t="shared" si="82"/>
        <v/>
      </c>
      <c r="AG363" s="48" t="str">
        <f t="shared" si="83"/>
        <v/>
      </c>
      <c r="AH363" s="48" t="str">
        <f t="shared" si="84"/>
        <v/>
      </c>
      <c r="AI363" s="48" t="str">
        <f t="shared" si="85"/>
        <v/>
      </c>
      <c r="AJ363" s="48" t="str">
        <f t="shared" si="88"/>
        <v/>
      </c>
      <c r="AK363" s="48" t="str">
        <f t="shared" si="89"/>
        <v/>
      </c>
      <c r="AL363" s="48" t="str">
        <f>IF(W363=0,"",_xlfn.CONCAT(DADOS!$A$8,Y363:AK363,"
"))</f>
        <v/>
      </c>
    </row>
    <row r="364" spans="4:38" s="48" customFormat="1" ht="15" customHeight="1" x14ac:dyDescent="0.25">
      <c r="D364" s="49"/>
      <c r="E364" s="43"/>
      <c r="F364" s="20"/>
      <c r="G364" s="14"/>
      <c r="H364" s="20"/>
      <c r="I364" s="15"/>
      <c r="J364" s="16"/>
      <c r="K364" s="14"/>
      <c r="L364" s="17"/>
      <c r="M364" s="18"/>
      <c r="N364" s="17"/>
      <c r="O364" s="18"/>
      <c r="P364" s="19"/>
      <c r="Q364" s="17"/>
      <c r="R364" s="40"/>
      <c r="S364" s="42">
        <v>350</v>
      </c>
      <c r="T364" s="40"/>
      <c r="V364" s="48" t="str">
        <f t="shared" si="86"/>
        <v/>
      </c>
      <c r="W364" s="48">
        <f t="shared" si="75"/>
        <v>0</v>
      </c>
      <c r="Y364" s="48" t="str">
        <f t="shared" si="76"/>
        <v/>
      </c>
      <c r="Z364" s="48" t="str">
        <f t="shared" si="77"/>
        <v/>
      </c>
      <c r="AA364" s="48" t="str">
        <f t="shared" si="78"/>
        <v/>
      </c>
      <c r="AB364" s="48" t="str">
        <f t="shared" si="87"/>
        <v/>
      </c>
      <c r="AC364" s="48" t="str">
        <f t="shared" si="79"/>
        <v/>
      </c>
      <c r="AD364" s="48" t="str">
        <f t="shared" si="80"/>
        <v/>
      </c>
      <c r="AE364" s="48" t="str">
        <f t="shared" si="81"/>
        <v/>
      </c>
      <c r="AF364" s="48" t="str">
        <f t="shared" si="82"/>
        <v/>
      </c>
      <c r="AG364" s="48" t="str">
        <f t="shared" si="83"/>
        <v/>
      </c>
      <c r="AH364" s="48" t="str">
        <f t="shared" si="84"/>
        <v/>
      </c>
      <c r="AI364" s="48" t="str">
        <f t="shared" si="85"/>
        <v/>
      </c>
      <c r="AJ364" s="48" t="str">
        <f t="shared" si="88"/>
        <v/>
      </c>
      <c r="AK364" s="48" t="str">
        <f t="shared" si="89"/>
        <v/>
      </c>
      <c r="AL364" s="48" t="str">
        <f>IF(W364=0,"",_xlfn.CONCAT(DADOS!$A$8,Y364:AK364,"
"))</f>
        <v/>
      </c>
    </row>
    <row r="365" spans="4:38" s="48" customFormat="1" ht="15" customHeight="1" x14ac:dyDescent="0.25">
      <c r="D365" s="49"/>
      <c r="E365" s="43"/>
      <c r="F365" s="20"/>
      <c r="G365" s="14"/>
      <c r="H365" s="20"/>
      <c r="I365" s="15"/>
      <c r="J365" s="16"/>
      <c r="K365" s="14"/>
      <c r="L365" s="17"/>
      <c r="M365" s="18"/>
      <c r="N365" s="17"/>
      <c r="O365" s="18"/>
      <c r="P365" s="19"/>
      <c r="Q365" s="17"/>
      <c r="R365" s="40"/>
      <c r="S365" s="42">
        <v>351</v>
      </c>
      <c r="T365" s="40"/>
      <c r="V365" s="48" t="str">
        <f t="shared" si="86"/>
        <v/>
      </c>
      <c r="W365" s="48">
        <f t="shared" si="75"/>
        <v>0</v>
      </c>
      <c r="Y365" s="48" t="str">
        <f t="shared" si="76"/>
        <v/>
      </c>
      <c r="Z365" s="48" t="str">
        <f t="shared" si="77"/>
        <v/>
      </c>
      <c r="AA365" s="48" t="str">
        <f t="shared" si="78"/>
        <v/>
      </c>
      <c r="AB365" s="48" t="str">
        <f t="shared" si="87"/>
        <v/>
      </c>
      <c r="AC365" s="48" t="str">
        <f t="shared" si="79"/>
        <v/>
      </c>
      <c r="AD365" s="48" t="str">
        <f t="shared" si="80"/>
        <v/>
      </c>
      <c r="AE365" s="48" t="str">
        <f t="shared" si="81"/>
        <v/>
      </c>
      <c r="AF365" s="48" t="str">
        <f t="shared" si="82"/>
        <v/>
      </c>
      <c r="AG365" s="48" t="str">
        <f t="shared" si="83"/>
        <v/>
      </c>
      <c r="AH365" s="48" t="str">
        <f t="shared" si="84"/>
        <v/>
      </c>
      <c r="AI365" s="48" t="str">
        <f t="shared" si="85"/>
        <v/>
      </c>
      <c r="AJ365" s="48" t="str">
        <f t="shared" si="88"/>
        <v/>
      </c>
      <c r="AK365" s="48" t="str">
        <f t="shared" si="89"/>
        <v/>
      </c>
      <c r="AL365" s="48" t="str">
        <f>IF(W365=0,"",_xlfn.CONCAT(DADOS!$A$8,Y365:AK365,"
"))</f>
        <v/>
      </c>
    </row>
    <row r="366" spans="4:38" s="48" customFormat="1" ht="15" customHeight="1" x14ac:dyDescent="0.25">
      <c r="D366" s="49"/>
      <c r="E366" s="43"/>
      <c r="F366" s="20"/>
      <c r="G366" s="14"/>
      <c r="H366" s="20"/>
      <c r="I366" s="15"/>
      <c r="J366" s="16"/>
      <c r="K366" s="14"/>
      <c r="L366" s="17"/>
      <c r="M366" s="18"/>
      <c r="N366" s="17"/>
      <c r="O366" s="18"/>
      <c r="P366" s="19"/>
      <c r="Q366" s="17"/>
      <c r="R366" s="40"/>
      <c r="S366" s="42">
        <v>352</v>
      </c>
      <c r="T366" s="40"/>
      <c r="V366" s="48" t="str">
        <f t="shared" si="86"/>
        <v/>
      </c>
      <c r="W366" s="48">
        <f t="shared" si="75"/>
        <v>0</v>
      </c>
      <c r="Y366" s="48" t="str">
        <f t="shared" si="76"/>
        <v/>
      </c>
      <c r="Z366" s="48" t="str">
        <f t="shared" si="77"/>
        <v/>
      </c>
      <c r="AA366" s="48" t="str">
        <f t="shared" si="78"/>
        <v/>
      </c>
      <c r="AB366" s="48" t="str">
        <f t="shared" si="87"/>
        <v/>
      </c>
      <c r="AC366" s="48" t="str">
        <f t="shared" si="79"/>
        <v/>
      </c>
      <c r="AD366" s="48" t="str">
        <f t="shared" si="80"/>
        <v/>
      </c>
      <c r="AE366" s="48" t="str">
        <f t="shared" si="81"/>
        <v/>
      </c>
      <c r="AF366" s="48" t="str">
        <f t="shared" si="82"/>
        <v/>
      </c>
      <c r="AG366" s="48" t="str">
        <f t="shared" si="83"/>
        <v/>
      </c>
      <c r="AH366" s="48" t="str">
        <f t="shared" si="84"/>
        <v/>
      </c>
      <c r="AI366" s="48" t="str">
        <f t="shared" si="85"/>
        <v/>
      </c>
      <c r="AJ366" s="48" t="str">
        <f t="shared" si="88"/>
        <v/>
      </c>
      <c r="AK366" s="48" t="str">
        <f t="shared" si="89"/>
        <v/>
      </c>
      <c r="AL366" s="48" t="str">
        <f>IF(W366=0,"",_xlfn.CONCAT(DADOS!$A$8,Y366:AK366,"
"))</f>
        <v/>
      </c>
    </row>
    <row r="367" spans="4:38" s="48" customFormat="1" ht="15" customHeight="1" x14ac:dyDescent="0.25">
      <c r="D367" s="49"/>
      <c r="E367" s="43"/>
      <c r="F367" s="20"/>
      <c r="G367" s="14"/>
      <c r="H367" s="20"/>
      <c r="I367" s="15"/>
      <c r="J367" s="16"/>
      <c r="K367" s="14"/>
      <c r="L367" s="17"/>
      <c r="M367" s="18"/>
      <c r="N367" s="17"/>
      <c r="O367" s="18"/>
      <c r="P367" s="19"/>
      <c r="Q367" s="17"/>
      <c r="R367" s="40"/>
      <c r="S367" s="42">
        <v>353</v>
      </c>
      <c r="T367" s="40"/>
      <c r="V367" s="48" t="str">
        <f t="shared" si="86"/>
        <v/>
      </c>
      <c r="W367" s="48">
        <f t="shared" si="75"/>
        <v>0</v>
      </c>
      <c r="Y367" s="48" t="str">
        <f t="shared" si="76"/>
        <v/>
      </c>
      <c r="Z367" s="48" t="str">
        <f t="shared" si="77"/>
        <v/>
      </c>
      <c r="AA367" s="48" t="str">
        <f t="shared" si="78"/>
        <v/>
      </c>
      <c r="AB367" s="48" t="str">
        <f t="shared" si="87"/>
        <v/>
      </c>
      <c r="AC367" s="48" t="str">
        <f t="shared" si="79"/>
        <v/>
      </c>
      <c r="AD367" s="48" t="str">
        <f t="shared" si="80"/>
        <v/>
      </c>
      <c r="AE367" s="48" t="str">
        <f t="shared" si="81"/>
        <v/>
      </c>
      <c r="AF367" s="48" t="str">
        <f t="shared" si="82"/>
        <v/>
      </c>
      <c r="AG367" s="48" t="str">
        <f t="shared" si="83"/>
        <v/>
      </c>
      <c r="AH367" s="48" t="str">
        <f t="shared" si="84"/>
        <v/>
      </c>
      <c r="AI367" s="48" t="str">
        <f t="shared" si="85"/>
        <v/>
      </c>
      <c r="AJ367" s="48" t="str">
        <f t="shared" si="88"/>
        <v/>
      </c>
      <c r="AK367" s="48" t="str">
        <f t="shared" si="89"/>
        <v/>
      </c>
      <c r="AL367" s="48" t="str">
        <f>IF(W367=0,"",_xlfn.CONCAT(DADOS!$A$8,Y367:AK367,"
"))</f>
        <v/>
      </c>
    </row>
    <row r="368" spans="4:38" s="48" customFormat="1" ht="15" customHeight="1" x14ac:dyDescent="0.25">
      <c r="D368" s="49"/>
      <c r="E368" s="43"/>
      <c r="F368" s="20"/>
      <c r="G368" s="14"/>
      <c r="H368" s="20"/>
      <c r="I368" s="15"/>
      <c r="J368" s="16"/>
      <c r="K368" s="14"/>
      <c r="L368" s="17"/>
      <c r="M368" s="18"/>
      <c r="N368" s="17"/>
      <c r="O368" s="18"/>
      <c r="P368" s="19"/>
      <c r="Q368" s="17"/>
      <c r="R368" s="40"/>
      <c r="S368" s="42">
        <v>354</v>
      </c>
      <c r="T368" s="40"/>
      <c r="V368" s="48" t="str">
        <f t="shared" si="86"/>
        <v/>
      </c>
      <c r="W368" s="48">
        <f t="shared" si="75"/>
        <v>0</v>
      </c>
      <c r="Y368" s="48" t="str">
        <f t="shared" si="76"/>
        <v/>
      </c>
      <c r="Z368" s="48" t="str">
        <f t="shared" si="77"/>
        <v/>
      </c>
      <c r="AA368" s="48" t="str">
        <f t="shared" si="78"/>
        <v/>
      </c>
      <c r="AB368" s="48" t="str">
        <f t="shared" si="87"/>
        <v/>
      </c>
      <c r="AC368" s="48" t="str">
        <f t="shared" si="79"/>
        <v/>
      </c>
      <c r="AD368" s="48" t="str">
        <f t="shared" si="80"/>
        <v/>
      </c>
      <c r="AE368" s="48" t="str">
        <f t="shared" si="81"/>
        <v/>
      </c>
      <c r="AF368" s="48" t="str">
        <f t="shared" si="82"/>
        <v/>
      </c>
      <c r="AG368" s="48" t="str">
        <f t="shared" si="83"/>
        <v/>
      </c>
      <c r="AH368" s="48" t="str">
        <f t="shared" si="84"/>
        <v/>
      </c>
      <c r="AI368" s="48" t="str">
        <f t="shared" si="85"/>
        <v/>
      </c>
      <c r="AJ368" s="48" t="str">
        <f t="shared" si="88"/>
        <v/>
      </c>
      <c r="AK368" s="48" t="str">
        <f t="shared" si="89"/>
        <v/>
      </c>
      <c r="AL368" s="48" t="str">
        <f>IF(W368=0,"",_xlfn.CONCAT(DADOS!$A$8,Y368:AK368,"
"))</f>
        <v/>
      </c>
    </row>
    <row r="369" spans="4:38" s="48" customFormat="1" ht="15" customHeight="1" x14ac:dyDescent="0.25">
      <c r="D369" s="49"/>
      <c r="E369" s="43"/>
      <c r="F369" s="20"/>
      <c r="G369" s="14"/>
      <c r="H369" s="20"/>
      <c r="I369" s="15"/>
      <c r="J369" s="16"/>
      <c r="K369" s="14"/>
      <c r="L369" s="17"/>
      <c r="M369" s="18"/>
      <c r="N369" s="17"/>
      <c r="O369" s="18"/>
      <c r="P369" s="19"/>
      <c r="Q369" s="17"/>
      <c r="R369" s="40"/>
      <c r="S369" s="42">
        <v>355</v>
      </c>
      <c r="T369" s="40"/>
      <c r="V369" s="48" t="str">
        <f t="shared" si="86"/>
        <v/>
      </c>
      <c r="W369" s="48">
        <f t="shared" si="75"/>
        <v>0</v>
      </c>
      <c r="Y369" s="48" t="str">
        <f t="shared" si="76"/>
        <v/>
      </c>
      <c r="Z369" s="48" t="str">
        <f t="shared" si="77"/>
        <v/>
      </c>
      <c r="AA369" s="48" t="str">
        <f t="shared" si="78"/>
        <v/>
      </c>
      <c r="AB369" s="48" t="str">
        <f t="shared" si="87"/>
        <v/>
      </c>
      <c r="AC369" s="48" t="str">
        <f t="shared" si="79"/>
        <v/>
      </c>
      <c r="AD369" s="48" t="str">
        <f t="shared" si="80"/>
        <v/>
      </c>
      <c r="AE369" s="48" t="str">
        <f t="shared" si="81"/>
        <v/>
      </c>
      <c r="AF369" s="48" t="str">
        <f t="shared" si="82"/>
        <v/>
      </c>
      <c r="AG369" s="48" t="str">
        <f t="shared" si="83"/>
        <v/>
      </c>
      <c r="AH369" s="48" t="str">
        <f t="shared" si="84"/>
        <v/>
      </c>
      <c r="AI369" s="48" t="str">
        <f t="shared" si="85"/>
        <v/>
      </c>
      <c r="AJ369" s="48" t="str">
        <f t="shared" si="88"/>
        <v/>
      </c>
      <c r="AK369" s="48" t="str">
        <f t="shared" si="89"/>
        <v/>
      </c>
      <c r="AL369" s="48" t="str">
        <f>IF(W369=0,"",_xlfn.CONCAT(DADOS!$A$8,Y369:AK369,"
"))</f>
        <v/>
      </c>
    </row>
    <row r="370" spans="4:38" s="48" customFormat="1" ht="15" customHeight="1" x14ac:dyDescent="0.25">
      <c r="D370" s="49"/>
      <c r="E370" s="43"/>
      <c r="F370" s="20"/>
      <c r="G370" s="14"/>
      <c r="H370" s="20"/>
      <c r="I370" s="15"/>
      <c r="J370" s="16"/>
      <c r="K370" s="14"/>
      <c r="L370" s="17"/>
      <c r="M370" s="18"/>
      <c r="N370" s="17"/>
      <c r="O370" s="18"/>
      <c r="P370" s="19"/>
      <c r="Q370" s="17"/>
      <c r="R370" s="40"/>
      <c r="S370" s="42">
        <v>356</v>
      </c>
      <c r="T370" s="40"/>
      <c r="V370" s="48" t="str">
        <f t="shared" si="86"/>
        <v/>
      </c>
      <c r="W370" s="48">
        <f t="shared" si="75"/>
        <v>0</v>
      </c>
      <c r="Y370" s="48" t="str">
        <f t="shared" si="76"/>
        <v/>
      </c>
      <c r="Z370" s="48" t="str">
        <f t="shared" si="77"/>
        <v/>
      </c>
      <c r="AA370" s="48" t="str">
        <f t="shared" si="78"/>
        <v/>
      </c>
      <c r="AB370" s="48" t="str">
        <f t="shared" si="87"/>
        <v/>
      </c>
      <c r="AC370" s="48" t="str">
        <f t="shared" si="79"/>
        <v/>
      </c>
      <c r="AD370" s="48" t="str">
        <f t="shared" si="80"/>
        <v/>
      </c>
      <c r="AE370" s="48" t="str">
        <f t="shared" si="81"/>
        <v/>
      </c>
      <c r="AF370" s="48" t="str">
        <f t="shared" si="82"/>
        <v/>
      </c>
      <c r="AG370" s="48" t="str">
        <f t="shared" si="83"/>
        <v/>
      </c>
      <c r="AH370" s="48" t="str">
        <f t="shared" si="84"/>
        <v/>
      </c>
      <c r="AI370" s="48" t="str">
        <f t="shared" si="85"/>
        <v/>
      </c>
      <c r="AJ370" s="48" t="str">
        <f t="shared" si="88"/>
        <v/>
      </c>
      <c r="AK370" s="48" t="str">
        <f t="shared" si="89"/>
        <v/>
      </c>
      <c r="AL370" s="48" t="str">
        <f>IF(W370=0,"",_xlfn.CONCAT(DADOS!$A$8,Y370:AK370,"
"))</f>
        <v/>
      </c>
    </row>
    <row r="371" spans="4:38" s="48" customFormat="1" ht="15" customHeight="1" x14ac:dyDescent="0.25">
      <c r="D371" s="49"/>
      <c r="E371" s="43"/>
      <c r="F371" s="20"/>
      <c r="G371" s="14"/>
      <c r="H371" s="20"/>
      <c r="I371" s="15"/>
      <c r="J371" s="16"/>
      <c r="K371" s="14"/>
      <c r="L371" s="17"/>
      <c r="M371" s="18"/>
      <c r="N371" s="17"/>
      <c r="O371" s="18"/>
      <c r="P371" s="19"/>
      <c r="Q371" s="17"/>
      <c r="R371" s="40"/>
      <c r="S371" s="42">
        <v>357</v>
      </c>
      <c r="T371" s="40"/>
      <c r="V371" s="48" t="str">
        <f t="shared" si="86"/>
        <v/>
      </c>
      <c r="W371" s="48">
        <f t="shared" si="75"/>
        <v>0</v>
      </c>
      <c r="Y371" s="48" t="str">
        <f t="shared" si="76"/>
        <v/>
      </c>
      <c r="Z371" s="48" t="str">
        <f t="shared" si="77"/>
        <v/>
      </c>
      <c r="AA371" s="48" t="str">
        <f t="shared" si="78"/>
        <v/>
      </c>
      <c r="AB371" s="48" t="str">
        <f t="shared" si="87"/>
        <v/>
      </c>
      <c r="AC371" s="48" t="str">
        <f t="shared" si="79"/>
        <v/>
      </c>
      <c r="AD371" s="48" t="str">
        <f t="shared" si="80"/>
        <v/>
      </c>
      <c r="AE371" s="48" t="str">
        <f t="shared" si="81"/>
        <v/>
      </c>
      <c r="AF371" s="48" t="str">
        <f t="shared" si="82"/>
        <v/>
      </c>
      <c r="AG371" s="48" t="str">
        <f t="shared" si="83"/>
        <v/>
      </c>
      <c r="AH371" s="48" t="str">
        <f t="shared" si="84"/>
        <v/>
      </c>
      <c r="AI371" s="48" t="str">
        <f t="shared" si="85"/>
        <v/>
      </c>
      <c r="AJ371" s="48" t="str">
        <f t="shared" si="88"/>
        <v/>
      </c>
      <c r="AK371" s="48" t="str">
        <f t="shared" si="89"/>
        <v/>
      </c>
      <c r="AL371" s="48" t="str">
        <f>IF(W371=0,"",_xlfn.CONCAT(DADOS!$A$8,Y371:AK371,"
"))</f>
        <v/>
      </c>
    </row>
    <row r="372" spans="4:38" s="48" customFormat="1" ht="15" customHeight="1" x14ac:dyDescent="0.25">
      <c r="D372" s="49"/>
      <c r="E372" s="43"/>
      <c r="F372" s="20"/>
      <c r="G372" s="14"/>
      <c r="H372" s="20"/>
      <c r="I372" s="15"/>
      <c r="J372" s="16"/>
      <c r="K372" s="14"/>
      <c r="L372" s="17"/>
      <c r="M372" s="18"/>
      <c r="N372" s="17"/>
      <c r="O372" s="18"/>
      <c r="P372" s="19"/>
      <c r="Q372" s="17"/>
      <c r="R372" s="40"/>
      <c r="S372" s="42">
        <v>358</v>
      </c>
      <c r="T372" s="40"/>
      <c r="V372" s="48" t="str">
        <f t="shared" si="86"/>
        <v/>
      </c>
      <c r="W372" s="48">
        <f t="shared" si="75"/>
        <v>0</v>
      </c>
      <c r="Y372" s="48" t="str">
        <f t="shared" si="76"/>
        <v/>
      </c>
      <c r="Z372" s="48" t="str">
        <f t="shared" si="77"/>
        <v/>
      </c>
      <c r="AA372" s="48" t="str">
        <f t="shared" si="78"/>
        <v/>
      </c>
      <c r="AB372" s="48" t="str">
        <f t="shared" si="87"/>
        <v/>
      </c>
      <c r="AC372" s="48" t="str">
        <f t="shared" si="79"/>
        <v/>
      </c>
      <c r="AD372" s="48" t="str">
        <f t="shared" si="80"/>
        <v/>
      </c>
      <c r="AE372" s="48" t="str">
        <f t="shared" si="81"/>
        <v/>
      </c>
      <c r="AF372" s="48" t="str">
        <f t="shared" si="82"/>
        <v/>
      </c>
      <c r="AG372" s="48" t="str">
        <f t="shared" si="83"/>
        <v/>
      </c>
      <c r="AH372" s="48" t="str">
        <f t="shared" si="84"/>
        <v/>
      </c>
      <c r="AI372" s="48" t="str">
        <f t="shared" si="85"/>
        <v/>
      </c>
      <c r="AJ372" s="48" t="str">
        <f t="shared" si="88"/>
        <v/>
      </c>
      <c r="AK372" s="48" t="str">
        <f t="shared" si="89"/>
        <v/>
      </c>
      <c r="AL372" s="48" t="str">
        <f>IF(W372=0,"",_xlfn.CONCAT(DADOS!$A$8,Y372:AK372,"
"))</f>
        <v/>
      </c>
    </row>
    <row r="373" spans="4:38" s="48" customFormat="1" ht="15" customHeight="1" x14ac:dyDescent="0.25">
      <c r="D373" s="49"/>
      <c r="E373" s="43"/>
      <c r="F373" s="20"/>
      <c r="G373" s="14"/>
      <c r="H373" s="20"/>
      <c r="I373" s="15"/>
      <c r="J373" s="16"/>
      <c r="K373" s="14"/>
      <c r="L373" s="17"/>
      <c r="M373" s="18"/>
      <c r="N373" s="17"/>
      <c r="O373" s="18"/>
      <c r="P373" s="19"/>
      <c r="Q373" s="17"/>
      <c r="R373" s="40"/>
      <c r="S373" s="42">
        <v>359</v>
      </c>
      <c r="T373" s="40"/>
      <c r="V373" s="48" t="str">
        <f t="shared" si="86"/>
        <v/>
      </c>
      <c r="W373" s="48">
        <f t="shared" si="75"/>
        <v>0</v>
      </c>
      <c r="Y373" s="48" t="str">
        <f t="shared" si="76"/>
        <v/>
      </c>
      <c r="Z373" s="48" t="str">
        <f t="shared" si="77"/>
        <v/>
      </c>
      <c r="AA373" s="48" t="str">
        <f t="shared" si="78"/>
        <v/>
      </c>
      <c r="AB373" s="48" t="str">
        <f t="shared" si="87"/>
        <v/>
      </c>
      <c r="AC373" s="48" t="str">
        <f t="shared" si="79"/>
        <v/>
      </c>
      <c r="AD373" s="48" t="str">
        <f t="shared" si="80"/>
        <v/>
      </c>
      <c r="AE373" s="48" t="str">
        <f t="shared" si="81"/>
        <v/>
      </c>
      <c r="AF373" s="48" t="str">
        <f t="shared" si="82"/>
        <v/>
      </c>
      <c r="AG373" s="48" t="str">
        <f t="shared" si="83"/>
        <v/>
      </c>
      <c r="AH373" s="48" t="str">
        <f t="shared" si="84"/>
        <v/>
      </c>
      <c r="AI373" s="48" t="str">
        <f t="shared" si="85"/>
        <v/>
      </c>
      <c r="AJ373" s="48" t="str">
        <f t="shared" si="88"/>
        <v/>
      </c>
      <c r="AK373" s="48" t="str">
        <f t="shared" si="89"/>
        <v/>
      </c>
      <c r="AL373" s="48" t="str">
        <f>IF(W373=0,"",_xlfn.CONCAT(DADOS!$A$8,Y373:AK373,"
"))</f>
        <v/>
      </c>
    </row>
    <row r="374" spans="4:38" s="48" customFormat="1" ht="15" customHeight="1" x14ac:dyDescent="0.25">
      <c r="D374" s="49"/>
      <c r="E374" s="43"/>
      <c r="F374" s="20"/>
      <c r="G374" s="14"/>
      <c r="H374" s="20"/>
      <c r="I374" s="15"/>
      <c r="J374" s="16"/>
      <c r="K374" s="14"/>
      <c r="L374" s="17"/>
      <c r="M374" s="18"/>
      <c r="N374" s="17"/>
      <c r="O374" s="18"/>
      <c r="P374" s="19"/>
      <c r="Q374" s="17"/>
      <c r="R374" s="40"/>
      <c r="S374" s="42">
        <v>360</v>
      </c>
      <c r="T374" s="40"/>
      <c r="V374" s="48" t="str">
        <f t="shared" si="86"/>
        <v/>
      </c>
      <c r="W374" s="48">
        <f t="shared" si="75"/>
        <v>0</v>
      </c>
      <c r="Y374" s="48" t="str">
        <f t="shared" si="76"/>
        <v/>
      </c>
      <c r="Z374" s="48" t="str">
        <f t="shared" si="77"/>
        <v/>
      </c>
      <c r="AA374" s="48" t="str">
        <f t="shared" si="78"/>
        <v/>
      </c>
      <c r="AB374" s="48" t="str">
        <f t="shared" si="87"/>
        <v/>
      </c>
      <c r="AC374" s="48" t="str">
        <f t="shared" si="79"/>
        <v/>
      </c>
      <c r="AD374" s="48" t="str">
        <f t="shared" si="80"/>
        <v/>
      </c>
      <c r="AE374" s="48" t="str">
        <f t="shared" si="81"/>
        <v/>
      </c>
      <c r="AF374" s="48" t="str">
        <f t="shared" si="82"/>
        <v/>
      </c>
      <c r="AG374" s="48" t="str">
        <f t="shared" si="83"/>
        <v/>
      </c>
      <c r="AH374" s="48" t="str">
        <f t="shared" si="84"/>
        <v/>
      </c>
      <c r="AI374" s="48" t="str">
        <f t="shared" si="85"/>
        <v/>
      </c>
      <c r="AJ374" s="48" t="str">
        <f t="shared" si="88"/>
        <v/>
      </c>
      <c r="AK374" s="48" t="str">
        <f t="shared" si="89"/>
        <v/>
      </c>
      <c r="AL374" s="48" t="str">
        <f>IF(W374=0,"",_xlfn.CONCAT(DADOS!$A$8,Y374:AK374,"
"))</f>
        <v/>
      </c>
    </row>
    <row r="375" spans="4:38" s="48" customFormat="1" ht="15" customHeight="1" x14ac:dyDescent="0.25">
      <c r="D375" s="49"/>
      <c r="E375" s="43"/>
      <c r="F375" s="20"/>
      <c r="G375" s="14"/>
      <c r="H375" s="20"/>
      <c r="I375" s="15"/>
      <c r="J375" s="16"/>
      <c r="K375" s="14"/>
      <c r="L375" s="17"/>
      <c r="M375" s="18"/>
      <c r="N375" s="17"/>
      <c r="O375" s="18"/>
      <c r="P375" s="19"/>
      <c r="Q375" s="17"/>
      <c r="R375" s="40"/>
      <c r="S375" s="42">
        <v>361</v>
      </c>
      <c r="T375" s="40"/>
      <c r="V375" s="48" t="str">
        <f t="shared" si="86"/>
        <v/>
      </c>
      <c r="W375" s="48">
        <f t="shared" si="75"/>
        <v>0</v>
      </c>
      <c r="Y375" s="48" t="str">
        <f t="shared" si="76"/>
        <v/>
      </c>
      <c r="Z375" s="48" t="str">
        <f t="shared" si="77"/>
        <v/>
      </c>
      <c r="AA375" s="48" t="str">
        <f t="shared" si="78"/>
        <v/>
      </c>
      <c r="AB375" s="48" t="str">
        <f t="shared" si="87"/>
        <v/>
      </c>
      <c r="AC375" s="48" t="str">
        <f t="shared" si="79"/>
        <v/>
      </c>
      <c r="AD375" s="48" t="str">
        <f t="shared" si="80"/>
        <v/>
      </c>
      <c r="AE375" s="48" t="str">
        <f t="shared" si="81"/>
        <v/>
      </c>
      <c r="AF375" s="48" t="str">
        <f t="shared" si="82"/>
        <v/>
      </c>
      <c r="AG375" s="48" t="str">
        <f t="shared" si="83"/>
        <v/>
      </c>
      <c r="AH375" s="48" t="str">
        <f t="shared" si="84"/>
        <v/>
      </c>
      <c r="AI375" s="48" t="str">
        <f t="shared" si="85"/>
        <v/>
      </c>
      <c r="AJ375" s="48" t="str">
        <f t="shared" si="88"/>
        <v/>
      </c>
      <c r="AK375" s="48" t="str">
        <f t="shared" si="89"/>
        <v/>
      </c>
      <c r="AL375" s="48" t="str">
        <f>IF(W375=0,"",_xlfn.CONCAT(DADOS!$A$8,Y375:AK375,"
"))</f>
        <v/>
      </c>
    </row>
    <row r="376" spans="4:38" s="48" customFormat="1" ht="15" customHeight="1" x14ac:dyDescent="0.25">
      <c r="D376" s="49"/>
      <c r="E376" s="43"/>
      <c r="F376" s="20"/>
      <c r="G376" s="14"/>
      <c r="H376" s="20"/>
      <c r="I376" s="15"/>
      <c r="J376" s="16"/>
      <c r="K376" s="14"/>
      <c r="L376" s="17"/>
      <c r="M376" s="18"/>
      <c r="N376" s="17"/>
      <c r="O376" s="18"/>
      <c r="P376" s="19"/>
      <c r="Q376" s="17"/>
      <c r="R376" s="40"/>
      <c r="S376" s="42">
        <v>362</v>
      </c>
      <c r="T376" s="40"/>
      <c r="V376" s="48" t="str">
        <f t="shared" si="86"/>
        <v/>
      </c>
      <c r="W376" s="48">
        <f t="shared" si="75"/>
        <v>0</v>
      </c>
      <c r="Y376" s="48" t="str">
        <f t="shared" si="76"/>
        <v/>
      </c>
      <c r="Z376" s="48" t="str">
        <f t="shared" si="77"/>
        <v/>
      </c>
      <c r="AA376" s="48" t="str">
        <f t="shared" si="78"/>
        <v/>
      </c>
      <c r="AB376" s="48" t="str">
        <f t="shared" si="87"/>
        <v/>
      </c>
      <c r="AC376" s="48" t="str">
        <f t="shared" si="79"/>
        <v/>
      </c>
      <c r="AD376" s="48" t="str">
        <f t="shared" si="80"/>
        <v/>
      </c>
      <c r="AE376" s="48" t="str">
        <f t="shared" si="81"/>
        <v/>
      </c>
      <c r="AF376" s="48" t="str">
        <f t="shared" si="82"/>
        <v/>
      </c>
      <c r="AG376" s="48" t="str">
        <f t="shared" si="83"/>
        <v/>
      </c>
      <c r="AH376" s="48" t="str">
        <f t="shared" si="84"/>
        <v/>
      </c>
      <c r="AI376" s="48" t="str">
        <f t="shared" si="85"/>
        <v/>
      </c>
      <c r="AJ376" s="48" t="str">
        <f t="shared" si="88"/>
        <v/>
      </c>
      <c r="AK376" s="48" t="str">
        <f t="shared" si="89"/>
        <v/>
      </c>
      <c r="AL376" s="48" t="str">
        <f>IF(W376=0,"",_xlfn.CONCAT(DADOS!$A$8,Y376:AK376,"
"))</f>
        <v/>
      </c>
    </row>
    <row r="377" spans="4:38" s="48" customFormat="1" ht="15" customHeight="1" x14ac:dyDescent="0.25">
      <c r="D377" s="49"/>
      <c r="E377" s="43"/>
      <c r="F377" s="20"/>
      <c r="G377" s="14"/>
      <c r="H377" s="20"/>
      <c r="I377" s="15"/>
      <c r="J377" s="16"/>
      <c r="K377" s="14"/>
      <c r="L377" s="17"/>
      <c r="M377" s="18"/>
      <c r="N377" s="17"/>
      <c r="O377" s="18"/>
      <c r="P377" s="19"/>
      <c r="Q377" s="17"/>
      <c r="R377" s="40"/>
      <c r="S377" s="42">
        <v>363</v>
      </c>
      <c r="T377" s="40"/>
      <c r="V377" s="48" t="str">
        <f t="shared" si="86"/>
        <v/>
      </c>
      <c r="W377" s="48">
        <f t="shared" si="75"/>
        <v>0</v>
      </c>
      <c r="Y377" s="48" t="str">
        <f t="shared" si="76"/>
        <v/>
      </c>
      <c r="Z377" s="48" t="str">
        <f t="shared" si="77"/>
        <v/>
      </c>
      <c r="AA377" s="48" t="str">
        <f t="shared" si="78"/>
        <v/>
      </c>
      <c r="AB377" s="48" t="str">
        <f t="shared" si="87"/>
        <v/>
      </c>
      <c r="AC377" s="48" t="str">
        <f t="shared" si="79"/>
        <v/>
      </c>
      <c r="AD377" s="48" t="str">
        <f t="shared" si="80"/>
        <v/>
      </c>
      <c r="AE377" s="48" t="str">
        <f t="shared" si="81"/>
        <v/>
      </c>
      <c r="AF377" s="48" t="str">
        <f t="shared" si="82"/>
        <v/>
      </c>
      <c r="AG377" s="48" t="str">
        <f t="shared" si="83"/>
        <v/>
      </c>
      <c r="AH377" s="48" t="str">
        <f t="shared" si="84"/>
        <v/>
      </c>
      <c r="AI377" s="48" t="str">
        <f t="shared" si="85"/>
        <v/>
      </c>
      <c r="AJ377" s="48" t="str">
        <f t="shared" si="88"/>
        <v/>
      </c>
      <c r="AK377" s="48" t="str">
        <f t="shared" si="89"/>
        <v/>
      </c>
      <c r="AL377" s="48" t="str">
        <f>IF(W377=0,"",_xlfn.CONCAT(DADOS!$A$8,Y377:AK377,"
"))</f>
        <v/>
      </c>
    </row>
    <row r="378" spans="4:38" s="48" customFormat="1" ht="15" customHeight="1" x14ac:dyDescent="0.25">
      <c r="D378" s="49"/>
      <c r="E378" s="43"/>
      <c r="F378" s="20"/>
      <c r="G378" s="14"/>
      <c r="H378" s="20"/>
      <c r="I378" s="15"/>
      <c r="J378" s="16"/>
      <c r="K378" s="14"/>
      <c r="L378" s="17"/>
      <c r="M378" s="18"/>
      <c r="N378" s="17"/>
      <c r="O378" s="18"/>
      <c r="P378" s="19"/>
      <c r="Q378" s="17"/>
      <c r="R378" s="40"/>
      <c r="S378" s="42">
        <v>364</v>
      </c>
      <c r="T378" s="40"/>
      <c r="V378" s="48" t="str">
        <f t="shared" si="86"/>
        <v/>
      </c>
      <c r="W378" s="48">
        <f t="shared" si="75"/>
        <v>0</v>
      </c>
      <c r="Y378" s="48" t="str">
        <f t="shared" si="76"/>
        <v/>
      </c>
      <c r="Z378" s="48" t="str">
        <f t="shared" si="77"/>
        <v/>
      </c>
      <c r="AA378" s="48" t="str">
        <f t="shared" si="78"/>
        <v/>
      </c>
      <c r="AB378" s="48" t="str">
        <f t="shared" si="87"/>
        <v/>
      </c>
      <c r="AC378" s="48" t="str">
        <f t="shared" si="79"/>
        <v/>
      </c>
      <c r="AD378" s="48" t="str">
        <f t="shared" si="80"/>
        <v/>
      </c>
      <c r="AE378" s="48" t="str">
        <f t="shared" si="81"/>
        <v/>
      </c>
      <c r="AF378" s="48" t="str">
        <f t="shared" si="82"/>
        <v/>
      </c>
      <c r="AG378" s="48" t="str">
        <f t="shared" si="83"/>
        <v/>
      </c>
      <c r="AH378" s="48" t="str">
        <f t="shared" si="84"/>
        <v/>
      </c>
      <c r="AI378" s="48" t="str">
        <f t="shared" si="85"/>
        <v/>
      </c>
      <c r="AJ378" s="48" t="str">
        <f t="shared" si="88"/>
        <v/>
      </c>
      <c r="AK378" s="48" t="str">
        <f t="shared" si="89"/>
        <v/>
      </c>
      <c r="AL378" s="48" t="str">
        <f>IF(W378=0,"",_xlfn.CONCAT(DADOS!$A$8,Y378:AK378,"
"))</f>
        <v/>
      </c>
    </row>
    <row r="379" spans="4:38" s="48" customFormat="1" ht="15" customHeight="1" x14ac:dyDescent="0.25">
      <c r="D379" s="49"/>
      <c r="E379" s="43"/>
      <c r="F379" s="20"/>
      <c r="G379" s="14"/>
      <c r="H379" s="20"/>
      <c r="I379" s="15"/>
      <c r="J379" s="16"/>
      <c r="K379" s="14"/>
      <c r="L379" s="17"/>
      <c r="M379" s="18"/>
      <c r="N379" s="17"/>
      <c r="O379" s="18"/>
      <c r="P379" s="19"/>
      <c r="Q379" s="17"/>
      <c r="R379" s="40"/>
      <c r="S379" s="42">
        <v>365</v>
      </c>
      <c r="T379" s="40"/>
      <c r="V379" s="48" t="str">
        <f t="shared" si="86"/>
        <v/>
      </c>
      <c r="W379" s="48">
        <f t="shared" si="75"/>
        <v>0</v>
      </c>
      <c r="Y379" s="48" t="str">
        <f t="shared" si="76"/>
        <v/>
      </c>
      <c r="Z379" s="48" t="str">
        <f t="shared" si="77"/>
        <v/>
      </c>
      <c r="AA379" s="48" t="str">
        <f t="shared" si="78"/>
        <v/>
      </c>
      <c r="AB379" s="48" t="str">
        <f t="shared" si="87"/>
        <v/>
      </c>
      <c r="AC379" s="48" t="str">
        <f t="shared" si="79"/>
        <v/>
      </c>
      <c r="AD379" s="48" t="str">
        <f t="shared" si="80"/>
        <v/>
      </c>
      <c r="AE379" s="48" t="str">
        <f t="shared" si="81"/>
        <v/>
      </c>
      <c r="AF379" s="48" t="str">
        <f t="shared" si="82"/>
        <v/>
      </c>
      <c r="AG379" s="48" t="str">
        <f t="shared" si="83"/>
        <v/>
      </c>
      <c r="AH379" s="48" t="str">
        <f t="shared" si="84"/>
        <v/>
      </c>
      <c r="AI379" s="48" t="str">
        <f t="shared" si="85"/>
        <v/>
      </c>
      <c r="AJ379" s="48" t="str">
        <f t="shared" si="88"/>
        <v/>
      </c>
      <c r="AK379" s="48" t="str">
        <f t="shared" si="89"/>
        <v/>
      </c>
      <c r="AL379" s="48" t="str">
        <f>IF(W379=0,"",_xlfn.CONCAT(DADOS!$A$8,Y379:AK379,"
"))</f>
        <v/>
      </c>
    </row>
    <row r="380" spans="4:38" s="48" customFormat="1" ht="15" customHeight="1" x14ac:dyDescent="0.25">
      <c r="D380" s="49"/>
      <c r="E380" s="43"/>
      <c r="F380" s="20"/>
      <c r="G380" s="14"/>
      <c r="H380" s="20"/>
      <c r="I380" s="15"/>
      <c r="J380" s="16"/>
      <c r="K380" s="14"/>
      <c r="L380" s="17"/>
      <c r="M380" s="18"/>
      <c r="N380" s="17"/>
      <c r="O380" s="18"/>
      <c r="P380" s="19"/>
      <c r="Q380" s="17"/>
      <c r="R380" s="40"/>
      <c r="S380" s="42">
        <v>366</v>
      </c>
      <c r="T380" s="40"/>
      <c r="V380" s="48" t="str">
        <f t="shared" si="86"/>
        <v/>
      </c>
      <c r="W380" s="48">
        <f t="shared" si="75"/>
        <v>0</v>
      </c>
      <c r="Y380" s="48" t="str">
        <f t="shared" si="76"/>
        <v/>
      </c>
      <c r="Z380" s="48" t="str">
        <f t="shared" si="77"/>
        <v/>
      </c>
      <c r="AA380" s="48" t="str">
        <f t="shared" si="78"/>
        <v/>
      </c>
      <c r="AB380" s="48" t="str">
        <f t="shared" si="87"/>
        <v/>
      </c>
      <c r="AC380" s="48" t="str">
        <f t="shared" si="79"/>
        <v/>
      </c>
      <c r="AD380" s="48" t="str">
        <f t="shared" si="80"/>
        <v/>
      </c>
      <c r="AE380" s="48" t="str">
        <f t="shared" si="81"/>
        <v/>
      </c>
      <c r="AF380" s="48" t="str">
        <f t="shared" si="82"/>
        <v/>
      </c>
      <c r="AG380" s="48" t="str">
        <f t="shared" si="83"/>
        <v/>
      </c>
      <c r="AH380" s="48" t="str">
        <f t="shared" si="84"/>
        <v/>
      </c>
      <c r="AI380" s="48" t="str">
        <f t="shared" si="85"/>
        <v/>
      </c>
      <c r="AJ380" s="48" t="str">
        <f t="shared" si="88"/>
        <v/>
      </c>
      <c r="AK380" s="48" t="str">
        <f t="shared" si="89"/>
        <v/>
      </c>
      <c r="AL380" s="48" t="str">
        <f>IF(W380=0,"",_xlfn.CONCAT(DADOS!$A$8,Y380:AK380,"
"))</f>
        <v/>
      </c>
    </row>
    <row r="381" spans="4:38" s="48" customFormat="1" ht="15" customHeight="1" x14ac:dyDescent="0.25">
      <c r="D381" s="49"/>
      <c r="E381" s="43"/>
      <c r="F381" s="20"/>
      <c r="G381" s="14"/>
      <c r="H381" s="20"/>
      <c r="I381" s="15"/>
      <c r="J381" s="16"/>
      <c r="K381" s="14"/>
      <c r="L381" s="17"/>
      <c r="M381" s="18"/>
      <c r="N381" s="17"/>
      <c r="O381" s="18"/>
      <c r="P381" s="19"/>
      <c r="Q381" s="17"/>
      <c r="R381" s="40"/>
      <c r="S381" s="42">
        <v>367</v>
      </c>
      <c r="T381" s="40"/>
      <c r="V381" s="48" t="str">
        <f t="shared" si="86"/>
        <v/>
      </c>
      <c r="W381" s="48">
        <f t="shared" si="75"/>
        <v>0</v>
      </c>
      <c r="Y381" s="48" t="str">
        <f t="shared" si="76"/>
        <v/>
      </c>
      <c r="Z381" s="48" t="str">
        <f t="shared" si="77"/>
        <v/>
      </c>
      <c r="AA381" s="48" t="str">
        <f t="shared" si="78"/>
        <v/>
      </c>
      <c r="AB381" s="48" t="str">
        <f t="shared" si="87"/>
        <v/>
      </c>
      <c r="AC381" s="48" t="str">
        <f t="shared" si="79"/>
        <v/>
      </c>
      <c r="AD381" s="48" t="str">
        <f t="shared" si="80"/>
        <v/>
      </c>
      <c r="AE381" s="48" t="str">
        <f t="shared" si="81"/>
        <v/>
      </c>
      <c r="AF381" s="48" t="str">
        <f t="shared" si="82"/>
        <v/>
      </c>
      <c r="AG381" s="48" t="str">
        <f t="shared" si="83"/>
        <v/>
      </c>
      <c r="AH381" s="48" t="str">
        <f t="shared" si="84"/>
        <v/>
      </c>
      <c r="AI381" s="48" t="str">
        <f t="shared" si="85"/>
        <v/>
      </c>
      <c r="AJ381" s="48" t="str">
        <f t="shared" si="88"/>
        <v/>
      </c>
      <c r="AK381" s="48" t="str">
        <f t="shared" si="89"/>
        <v/>
      </c>
      <c r="AL381" s="48" t="str">
        <f>IF(W381=0,"",_xlfn.CONCAT(DADOS!$A$8,Y381:AK381,"
"))</f>
        <v/>
      </c>
    </row>
    <row r="382" spans="4:38" s="48" customFormat="1" ht="15" customHeight="1" x14ac:dyDescent="0.25">
      <c r="D382" s="49"/>
      <c r="E382" s="43"/>
      <c r="F382" s="20"/>
      <c r="G382" s="14"/>
      <c r="H382" s="20"/>
      <c r="I382" s="15"/>
      <c r="J382" s="16"/>
      <c r="K382" s="14"/>
      <c r="L382" s="17"/>
      <c r="M382" s="18"/>
      <c r="N382" s="17"/>
      <c r="O382" s="18"/>
      <c r="P382" s="19"/>
      <c r="Q382" s="17"/>
      <c r="R382" s="40"/>
      <c r="S382" s="42">
        <v>368</v>
      </c>
      <c r="T382" s="40"/>
      <c r="V382" s="48" t="str">
        <f t="shared" si="86"/>
        <v/>
      </c>
      <c r="W382" s="48">
        <f t="shared" si="75"/>
        <v>0</v>
      </c>
      <c r="Y382" s="48" t="str">
        <f t="shared" si="76"/>
        <v/>
      </c>
      <c r="Z382" s="48" t="str">
        <f t="shared" si="77"/>
        <v/>
      </c>
      <c r="AA382" s="48" t="str">
        <f t="shared" si="78"/>
        <v/>
      </c>
      <c r="AB382" s="48" t="str">
        <f t="shared" si="87"/>
        <v/>
      </c>
      <c r="AC382" s="48" t="str">
        <f t="shared" si="79"/>
        <v/>
      </c>
      <c r="AD382" s="48" t="str">
        <f t="shared" si="80"/>
        <v/>
      </c>
      <c r="AE382" s="48" t="str">
        <f t="shared" si="81"/>
        <v/>
      </c>
      <c r="AF382" s="48" t="str">
        <f t="shared" si="82"/>
        <v/>
      </c>
      <c r="AG382" s="48" t="str">
        <f t="shared" si="83"/>
        <v/>
      </c>
      <c r="AH382" s="48" t="str">
        <f t="shared" si="84"/>
        <v/>
      </c>
      <c r="AI382" s="48" t="str">
        <f t="shared" si="85"/>
        <v/>
      </c>
      <c r="AJ382" s="48" t="str">
        <f t="shared" si="88"/>
        <v/>
      </c>
      <c r="AK382" s="48" t="str">
        <f t="shared" si="89"/>
        <v/>
      </c>
      <c r="AL382" s="48" t="str">
        <f>IF(W382=0,"",_xlfn.CONCAT(DADOS!$A$8,Y382:AK382,"
"))</f>
        <v/>
      </c>
    </row>
    <row r="383" spans="4:38" s="48" customFormat="1" ht="15" customHeight="1" x14ac:dyDescent="0.25">
      <c r="D383" s="49"/>
      <c r="E383" s="43"/>
      <c r="F383" s="20"/>
      <c r="G383" s="14"/>
      <c r="H383" s="20"/>
      <c r="I383" s="15"/>
      <c r="J383" s="16"/>
      <c r="K383" s="14"/>
      <c r="L383" s="17"/>
      <c r="M383" s="18"/>
      <c r="N383" s="17"/>
      <c r="O383" s="18"/>
      <c r="P383" s="19"/>
      <c r="Q383" s="17"/>
      <c r="R383" s="40"/>
      <c r="S383" s="42">
        <v>369</v>
      </c>
      <c r="T383" s="40"/>
      <c r="V383" s="48" t="str">
        <f t="shared" si="86"/>
        <v/>
      </c>
      <c r="W383" s="48">
        <f t="shared" si="75"/>
        <v>0</v>
      </c>
      <c r="Y383" s="48" t="str">
        <f t="shared" si="76"/>
        <v/>
      </c>
      <c r="Z383" s="48" t="str">
        <f t="shared" si="77"/>
        <v/>
      </c>
      <c r="AA383" s="48" t="str">
        <f t="shared" si="78"/>
        <v/>
      </c>
      <c r="AB383" s="48" t="str">
        <f t="shared" si="87"/>
        <v/>
      </c>
      <c r="AC383" s="48" t="str">
        <f t="shared" si="79"/>
        <v/>
      </c>
      <c r="AD383" s="48" t="str">
        <f t="shared" si="80"/>
        <v/>
      </c>
      <c r="AE383" s="48" t="str">
        <f t="shared" si="81"/>
        <v/>
      </c>
      <c r="AF383" s="48" t="str">
        <f t="shared" si="82"/>
        <v/>
      </c>
      <c r="AG383" s="48" t="str">
        <f t="shared" si="83"/>
        <v/>
      </c>
      <c r="AH383" s="48" t="str">
        <f t="shared" si="84"/>
        <v/>
      </c>
      <c r="AI383" s="48" t="str">
        <f t="shared" si="85"/>
        <v/>
      </c>
      <c r="AJ383" s="48" t="str">
        <f t="shared" si="88"/>
        <v/>
      </c>
      <c r="AK383" s="48" t="str">
        <f t="shared" si="89"/>
        <v/>
      </c>
      <c r="AL383" s="48" t="str">
        <f>IF(W383=0,"",_xlfn.CONCAT(DADOS!$A$8,Y383:AK383,"
"))</f>
        <v/>
      </c>
    </row>
    <row r="384" spans="4:38" s="48" customFormat="1" ht="15" customHeight="1" x14ac:dyDescent="0.25">
      <c r="D384" s="49"/>
      <c r="E384" s="43"/>
      <c r="F384" s="20"/>
      <c r="G384" s="14"/>
      <c r="H384" s="20"/>
      <c r="I384" s="15"/>
      <c r="J384" s="16"/>
      <c r="K384" s="14"/>
      <c r="L384" s="17"/>
      <c r="M384" s="18"/>
      <c r="N384" s="17"/>
      <c r="O384" s="18"/>
      <c r="P384" s="19"/>
      <c r="Q384" s="17"/>
      <c r="R384" s="40"/>
      <c r="S384" s="42">
        <v>370</v>
      </c>
      <c r="T384" s="40"/>
      <c r="V384" s="48" t="str">
        <f t="shared" si="86"/>
        <v/>
      </c>
      <c r="W384" s="48">
        <f t="shared" si="75"/>
        <v>0</v>
      </c>
      <c r="Y384" s="48" t="str">
        <f t="shared" si="76"/>
        <v/>
      </c>
      <c r="Z384" s="48" t="str">
        <f t="shared" si="77"/>
        <v/>
      </c>
      <c r="AA384" s="48" t="str">
        <f t="shared" si="78"/>
        <v/>
      </c>
      <c r="AB384" s="48" t="str">
        <f t="shared" si="87"/>
        <v/>
      </c>
      <c r="AC384" s="48" t="str">
        <f t="shared" si="79"/>
        <v/>
      </c>
      <c r="AD384" s="48" t="str">
        <f t="shared" si="80"/>
        <v/>
      </c>
      <c r="AE384" s="48" t="str">
        <f t="shared" si="81"/>
        <v/>
      </c>
      <c r="AF384" s="48" t="str">
        <f t="shared" si="82"/>
        <v/>
      </c>
      <c r="AG384" s="48" t="str">
        <f t="shared" si="83"/>
        <v/>
      </c>
      <c r="AH384" s="48" t="str">
        <f t="shared" si="84"/>
        <v/>
      </c>
      <c r="AI384" s="48" t="str">
        <f t="shared" si="85"/>
        <v/>
      </c>
      <c r="AJ384" s="48" t="str">
        <f t="shared" si="88"/>
        <v/>
      </c>
      <c r="AK384" s="48" t="str">
        <f t="shared" si="89"/>
        <v/>
      </c>
      <c r="AL384" s="48" t="str">
        <f>IF(W384=0,"",_xlfn.CONCAT(DADOS!$A$8,Y384:AK384,"
"))</f>
        <v/>
      </c>
    </row>
    <row r="385" spans="4:38" s="48" customFormat="1" ht="15" customHeight="1" x14ac:dyDescent="0.25">
      <c r="D385" s="49"/>
      <c r="E385" s="43"/>
      <c r="F385" s="20"/>
      <c r="G385" s="14"/>
      <c r="H385" s="20"/>
      <c r="I385" s="15"/>
      <c r="J385" s="16"/>
      <c r="K385" s="14"/>
      <c r="L385" s="17"/>
      <c r="M385" s="18"/>
      <c r="N385" s="17"/>
      <c r="O385" s="18"/>
      <c r="P385" s="19"/>
      <c r="Q385" s="17"/>
      <c r="R385" s="40"/>
      <c r="S385" s="42">
        <v>371</v>
      </c>
      <c r="T385" s="40"/>
      <c r="V385" s="48" t="str">
        <f t="shared" si="86"/>
        <v/>
      </c>
      <c r="W385" s="48">
        <f t="shared" si="75"/>
        <v>0</v>
      </c>
      <c r="Y385" s="48" t="str">
        <f t="shared" si="76"/>
        <v/>
      </c>
      <c r="Z385" s="48" t="str">
        <f t="shared" si="77"/>
        <v/>
      </c>
      <c r="AA385" s="48" t="str">
        <f t="shared" si="78"/>
        <v/>
      </c>
      <c r="AB385" s="48" t="str">
        <f t="shared" si="87"/>
        <v/>
      </c>
      <c r="AC385" s="48" t="str">
        <f t="shared" si="79"/>
        <v/>
      </c>
      <c r="AD385" s="48" t="str">
        <f t="shared" si="80"/>
        <v/>
      </c>
      <c r="AE385" s="48" t="str">
        <f t="shared" si="81"/>
        <v/>
      </c>
      <c r="AF385" s="48" t="str">
        <f t="shared" si="82"/>
        <v/>
      </c>
      <c r="AG385" s="48" t="str">
        <f t="shared" si="83"/>
        <v/>
      </c>
      <c r="AH385" s="48" t="str">
        <f t="shared" si="84"/>
        <v/>
      </c>
      <c r="AI385" s="48" t="str">
        <f t="shared" si="85"/>
        <v/>
      </c>
      <c r="AJ385" s="48" t="str">
        <f t="shared" si="88"/>
        <v/>
      </c>
      <c r="AK385" s="48" t="str">
        <f t="shared" si="89"/>
        <v/>
      </c>
      <c r="AL385" s="48" t="str">
        <f>IF(W385=0,"",_xlfn.CONCAT(DADOS!$A$8,Y385:AK385,"
"))</f>
        <v/>
      </c>
    </row>
    <row r="386" spans="4:38" s="48" customFormat="1" ht="15" customHeight="1" x14ac:dyDescent="0.25">
      <c r="D386" s="49"/>
      <c r="E386" s="43"/>
      <c r="F386" s="20"/>
      <c r="G386" s="14"/>
      <c r="H386" s="20"/>
      <c r="I386" s="15"/>
      <c r="J386" s="16"/>
      <c r="K386" s="14"/>
      <c r="L386" s="17"/>
      <c r="M386" s="18"/>
      <c r="N386" s="17"/>
      <c r="O386" s="18"/>
      <c r="P386" s="19"/>
      <c r="Q386" s="17"/>
      <c r="R386" s="40"/>
      <c r="S386" s="42">
        <v>372</v>
      </c>
      <c r="T386" s="40"/>
      <c r="V386" s="48" t="str">
        <f t="shared" si="86"/>
        <v/>
      </c>
      <c r="W386" s="48">
        <f t="shared" si="75"/>
        <v>0</v>
      </c>
      <c r="Y386" s="48" t="str">
        <f t="shared" si="76"/>
        <v/>
      </c>
      <c r="Z386" s="48" t="str">
        <f t="shared" si="77"/>
        <v/>
      </c>
      <c r="AA386" s="48" t="str">
        <f t="shared" si="78"/>
        <v/>
      </c>
      <c r="AB386" s="48" t="str">
        <f t="shared" si="87"/>
        <v/>
      </c>
      <c r="AC386" s="48" t="str">
        <f t="shared" si="79"/>
        <v/>
      </c>
      <c r="AD386" s="48" t="str">
        <f t="shared" si="80"/>
        <v/>
      </c>
      <c r="AE386" s="48" t="str">
        <f t="shared" si="81"/>
        <v/>
      </c>
      <c r="AF386" s="48" t="str">
        <f t="shared" si="82"/>
        <v/>
      </c>
      <c r="AG386" s="48" t="str">
        <f t="shared" si="83"/>
        <v/>
      </c>
      <c r="AH386" s="48" t="str">
        <f t="shared" si="84"/>
        <v/>
      </c>
      <c r="AI386" s="48" t="str">
        <f t="shared" si="85"/>
        <v/>
      </c>
      <c r="AJ386" s="48" t="str">
        <f t="shared" si="88"/>
        <v/>
      </c>
      <c r="AK386" s="48" t="str">
        <f t="shared" si="89"/>
        <v/>
      </c>
      <c r="AL386" s="48" t="str">
        <f>IF(W386=0,"",_xlfn.CONCAT(DADOS!$A$8,Y386:AK386,"
"))</f>
        <v/>
      </c>
    </row>
    <row r="387" spans="4:38" s="48" customFormat="1" ht="15" customHeight="1" x14ac:dyDescent="0.25">
      <c r="D387" s="49"/>
      <c r="E387" s="43"/>
      <c r="F387" s="20"/>
      <c r="G387" s="14"/>
      <c r="H387" s="20"/>
      <c r="I387" s="15"/>
      <c r="J387" s="16"/>
      <c r="K387" s="14"/>
      <c r="L387" s="17"/>
      <c r="M387" s="18"/>
      <c r="N387" s="17"/>
      <c r="O387" s="18"/>
      <c r="P387" s="19"/>
      <c r="Q387" s="17"/>
      <c r="R387" s="40"/>
      <c r="S387" s="42">
        <v>373</v>
      </c>
      <c r="T387" s="40"/>
      <c r="V387" s="48" t="str">
        <f t="shared" si="86"/>
        <v/>
      </c>
      <c r="W387" s="48">
        <f t="shared" si="75"/>
        <v>0</v>
      </c>
      <c r="Y387" s="48" t="str">
        <f t="shared" si="76"/>
        <v/>
      </c>
      <c r="Z387" s="48" t="str">
        <f t="shared" si="77"/>
        <v/>
      </c>
      <c r="AA387" s="48" t="str">
        <f t="shared" si="78"/>
        <v/>
      </c>
      <c r="AB387" s="48" t="str">
        <f t="shared" si="87"/>
        <v/>
      </c>
      <c r="AC387" s="48" t="str">
        <f t="shared" si="79"/>
        <v/>
      </c>
      <c r="AD387" s="48" t="str">
        <f t="shared" si="80"/>
        <v/>
      </c>
      <c r="AE387" s="48" t="str">
        <f t="shared" si="81"/>
        <v/>
      </c>
      <c r="AF387" s="48" t="str">
        <f t="shared" si="82"/>
        <v/>
      </c>
      <c r="AG387" s="48" t="str">
        <f t="shared" si="83"/>
        <v/>
      </c>
      <c r="AH387" s="48" t="str">
        <f t="shared" si="84"/>
        <v/>
      </c>
      <c r="AI387" s="48" t="str">
        <f t="shared" si="85"/>
        <v/>
      </c>
      <c r="AJ387" s="48" t="str">
        <f t="shared" si="88"/>
        <v/>
      </c>
      <c r="AK387" s="48" t="str">
        <f t="shared" si="89"/>
        <v/>
      </c>
      <c r="AL387" s="48" t="str">
        <f>IF(W387=0,"",_xlfn.CONCAT(DADOS!$A$8,Y387:AK387,"
"))</f>
        <v/>
      </c>
    </row>
    <row r="388" spans="4:38" s="48" customFormat="1" ht="15" customHeight="1" x14ac:dyDescent="0.25">
      <c r="D388" s="49"/>
      <c r="E388" s="43"/>
      <c r="F388" s="20"/>
      <c r="G388" s="14"/>
      <c r="H388" s="20"/>
      <c r="I388" s="15"/>
      <c r="J388" s="16"/>
      <c r="K388" s="14"/>
      <c r="L388" s="17"/>
      <c r="M388" s="18"/>
      <c r="N388" s="17"/>
      <c r="O388" s="18"/>
      <c r="P388" s="19"/>
      <c r="Q388" s="17"/>
      <c r="R388" s="40"/>
      <c r="S388" s="42">
        <v>374</v>
      </c>
      <c r="T388" s="40"/>
      <c r="V388" s="48" t="str">
        <f t="shared" si="86"/>
        <v/>
      </c>
      <c r="W388" s="48">
        <f t="shared" si="75"/>
        <v>0</v>
      </c>
      <c r="Y388" s="48" t="str">
        <f t="shared" si="76"/>
        <v/>
      </c>
      <c r="Z388" s="48" t="str">
        <f t="shared" si="77"/>
        <v/>
      </c>
      <c r="AA388" s="48" t="str">
        <f t="shared" si="78"/>
        <v/>
      </c>
      <c r="AB388" s="48" t="str">
        <f t="shared" si="87"/>
        <v/>
      </c>
      <c r="AC388" s="48" t="str">
        <f t="shared" si="79"/>
        <v/>
      </c>
      <c r="AD388" s="48" t="str">
        <f t="shared" si="80"/>
        <v/>
      </c>
      <c r="AE388" s="48" t="str">
        <f t="shared" si="81"/>
        <v/>
      </c>
      <c r="AF388" s="48" t="str">
        <f t="shared" si="82"/>
        <v/>
      </c>
      <c r="AG388" s="48" t="str">
        <f t="shared" si="83"/>
        <v/>
      </c>
      <c r="AH388" s="48" t="str">
        <f t="shared" si="84"/>
        <v/>
      </c>
      <c r="AI388" s="48" t="str">
        <f t="shared" si="85"/>
        <v/>
      </c>
      <c r="AJ388" s="48" t="str">
        <f t="shared" si="88"/>
        <v/>
      </c>
      <c r="AK388" s="48" t="str">
        <f t="shared" si="89"/>
        <v/>
      </c>
      <c r="AL388" s="48" t="str">
        <f>IF(W388=0,"",_xlfn.CONCAT(DADOS!$A$8,Y388:AK388,"
"))</f>
        <v/>
      </c>
    </row>
    <row r="389" spans="4:38" s="48" customFormat="1" ht="15" customHeight="1" x14ac:dyDescent="0.25">
      <c r="D389" s="49"/>
      <c r="E389" s="43"/>
      <c r="F389" s="20"/>
      <c r="G389" s="14"/>
      <c r="H389" s="20"/>
      <c r="I389" s="15"/>
      <c r="J389" s="16"/>
      <c r="K389" s="14"/>
      <c r="L389" s="17"/>
      <c r="M389" s="18"/>
      <c r="N389" s="17"/>
      <c r="O389" s="18"/>
      <c r="P389" s="19"/>
      <c r="Q389" s="17"/>
      <c r="R389" s="40"/>
      <c r="S389" s="42">
        <v>375</v>
      </c>
      <c r="T389" s="40"/>
      <c r="V389" s="48" t="str">
        <f t="shared" si="86"/>
        <v/>
      </c>
      <c r="W389" s="48">
        <f t="shared" si="75"/>
        <v>0</v>
      </c>
      <c r="Y389" s="48" t="str">
        <f t="shared" si="76"/>
        <v/>
      </c>
      <c r="Z389" s="48" t="str">
        <f t="shared" si="77"/>
        <v/>
      </c>
      <c r="AA389" s="48" t="str">
        <f t="shared" si="78"/>
        <v/>
      </c>
      <c r="AB389" s="48" t="str">
        <f t="shared" si="87"/>
        <v/>
      </c>
      <c r="AC389" s="48" t="str">
        <f t="shared" si="79"/>
        <v/>
      </c>
      <c r="AD389" s="48" t="str">
        <f t="shared" si="80"/>
        <v/>
      </c>
      <c r="AE389" s="48" t="str">
        <f t="shared" si="81"/>
        <v/>
      </c>
      <c r="AF389" s="48" t="str">
        <f t="shared" si="82"/>
        <v/>
      </c>
      <c r="AG389" s="48" t="str">
        <f t="shared" si="83"/>
        <v/>
      </c>
      <c r="AH389" s="48" t="str">
        <f t="shared" si="84"/>
        <v/>
      </c>
      <c r="AI389" s="48" t="str">
        <f t="shared" si="85"/>
        <v/>
      </c>
      <c r="AJ389" s="48" t="str">
        <f t="shared" si="88"/>
        <v/>
      </c>
      <c r="AK389" s="48" t="str">
        <f t="shared" si="89"/>
        <v/>
      </c>
      <c r="AL389" s="48" t="str">
        <f>IF(W389=0,"",_xlfn.CONCAT(DADOS!$A$8,Y389:AK389,"
"))</f>
        <v/>
      </c>
    </row>
    <row r="390" spans="4:38" s="48" customFormat="1" ht="15" customHeight="1" x14ac:dyDescent="0.25">
      <c r="D390" s="49"/>
      <c r="E390" s="43"/>
      <c r="F390" s="20"/>
      <c r="G390" s="14"/>
      <c r="H390" s="20"/>
      <c r="I390" s="15"/>
      <c r="J390" s="16"/>
      <c r="K390" s="14"/>
      <c r="L390" s="17"/>
      <c r="M390" s="18"/>
      <c r="N390" s="17"/>
      <c r="O390" s="18"/>
      <c r="P390" s="19"/>
      <c r="Q390" s="17"/>
      <c r="R390" s="40"/>
      <c r="S390" s="42">
        <v>376</v>
      </c>
      <c r="T390" s="40"/>
      <c r="V390" s="48" t="str">
        <f t="shared" si="86"/>
        <v/>
      </c>
      <c r="W390" s="48">
        <f t="shared" si="75"/>
        <v>0</v>
      </c>
      <c r="Y390" s="48" t="str">
        <f t="shared" si="76"/>
        <v/>
      </c>
      <c r="Z390" s="48" t="str">
        <f t="shared" si="77"/>
        <v/>
      </c>
      <c r="AA390" s="48" t="str">
        <f t="shared" si="78"/>
        <v/>
      </c>
      <c r="AB390" s="48" t="str">
        <f t="shared" si="87"/>
        <v/>
      </c>
      <c r="AC390" s="48" t="str">
        <f t="shared" si="79"/>
        <v/>
      </c>
      <c r="AD390" s="48" t="str">
        <f t="shared" si="80"/>
        <v/>
      </c>
      <c r="AE390" s="48" t="str">
        <f t="shared" si="81"/>
        <v/>
      </c>
      <c r="AF390" s="48" t="str">
        <f t="shared" si="82"/>
        <v/>
      </c>
      <c r="AG390" s="48" t="str">
        <f t="shared" si="83"/>
        <v/>
      </c>
      <c r="AH390" s="48" t="str">
        <f t="shared" si="84"/>
        <v/>
      </c>
      <c r="AI390" s="48" t="str">
        <f t="shared" si="85"/>
        <v/>
      </c>
      <c r="AJ390" s="48" t="str">
        <f t="shared" si="88"/>
        <v/>
      </c>
      <c r="AK390" s="48" t="str">
        <f t="shared" si="89"/>
        <v/>
      </c>
      <c r="AL390" s="48" t="str">
        <f>IF(W390=0,"",_xlfn.CONCAT(DADOS!$A$8,Y390:AK390,"
"))</f>
        <v/>
      </c>
    </row>
    <row r="391" spans="4:38" s="48" customFormat="1" ht="15" customHeight="1" x14ac:dyDescent="0.25">
      <c r="D391" s="49"/>
      <c r="E391" s="43"/>
      <c r="F391" s="20"/>
      <c r="G391" s="14"/>
      <c r="H391" s="20"/>
      <c r="I391" s="15"/>
      <c r="J391" s="16"/>
      <c r="K391" s="14"/>
      <c r="L391" s="17"/>
      <c r="M391" s="18"/>
      <c r="N391" s="17"/>
      <c r="O391" s="18"/>
      <c r="P391" s="19"/>
      <c r="Q391" s="17"/>
      <c r="R391" s="40"/>
      <c r="S391" s="42">
        <v>377</v>
      </c>
      <c r="T391" s="40"/>
      <c r="V391" s="48" t="str">
        <f t="shared" si="86"/>
        <v/>
      </c>
      <c r="W391" s="48">
        <f t="shared" si="75"/>
        <v>0</v>
      </c>
      <c r="Y391" s="48" t="str">
        <f t="shared" si="76"/>
        <v/>
      </c>
      <c r="Z391" s="48" t="str">
        <f t="shared" si="77"/>
        <v/>
      </c>
      <c r="AA391" s="48" t="str">
        <f t="shared" si="78"/>
        <v/>
      </c>
      <c r="AB391" s="48" t="str">
        <f t="shared" si="87"/>
        <v/>
      </c>
      <c r="AC391" s="48" t="str">
        <f t="shared" si="79"/>
        <v/>
      </c>
      <c r="AD391" s="48" t="str">
        <f t="shared" si="80"/>
        <v/>
      </c>
      <c r="AE391" s="48" t="str">
        <f t="shared" si="81"/>
        <v/>
      </c>
      <c r="AF391" s="48" t="str">
        <f t="shared" si="82"/>
        <v/>
      </c>
      <c r="AG391" s="48" t="str">
        <f t="shared" si="83"/>
        <v/>
      </c>
      <c r="AH391" s="48" t="str">
        <f t="shared" si="84"/>
        <v/>
      </c>
      <c r="AI391" s="48" t="str">
        <f t="shared" si="85"/>
        <v/>
      </c>
      <c r="AJ391" s="48" t="str">
        <f t="shared" si="88"/>
        <v/>
      </c>
      <c r="AK391" s="48" t="str">
        <f t="shared" si="89"/>
        <v/>
      </c>
      <c r="AL391" s="48" t="str">
        <f>IF(W391=0,"",_xlfn.CONCAT(DADOS!$A$8,Y391:AK391,"
"))</f>
        <v/>
      </c>
    </row>
    <row r="392" spans="4:38" s="48" customFormat="1" ht="15" customHeight="1" x14ac:dyDescent="0.25">
      <c r="D392" s="49"/>
      <c r="E392" s="43"/>
      <c r="F392" s="20"/>
      <c r="G392" s="14"/>
      <c r="H392" s="20"/>
      <c r="I392" s="15"/>
      <c r="J392" s="16"/>
      <c r="K392" s="14"/>
      <c r="L392" s="17"/>
      <c r="M392" s="18"/>
      <c r="N392" s="17"/>
      <c r="O392" s="18"/>
      <c r="P392" s="19"/>
      <c r="Q392" s="17"/>
      <c r="R392" s="40"/>
      <c r="S392" s="42">
        <v>378</v>
      </c>
      <c r="T392" s="40"/>
      <c r="V392" s="48" t="str">
        <f t="shared" si="86"/>
        <v/>
      </c>
      <c r="W392" s="48">
        <f t="shared" si="75"/>
        <v>0</v>
      </c>
      <c r="Y392" s="48" t="str">
        <f t="shared" si="76"/>
        <v/>
      </c>
      <c r="Z392" s="48" t="str">
        <f t="shared" si="77"/>
        <v/>
      </c>
      <c r="AA392" s="48" t="str">
        <f t="shared" si="78"/>
        <v/>
      </c>
      <c r="AB392" s="48" t="str">
        <f t="shared" si="87"/>
        <v/>
      </c>
      <c r="AC392" s="48" t="str">
        <f t="shared" si="79"/>
        <v/>
      </c>
      <c r="AD392" s="48" t="str">
        <f t="shared" si="80"/>
        <v/>
      </c>
      <c r="AE392" s="48" t="str">
        <f t="shared" si="81"/>
        <v/>
      </c>
      <c r="AF392" s="48" t="str">
        <f t="shared" si="82"/>
        <v/>
      </c>
      <c r="AG392" s="48" t="str">
        <f t="shared" si="83"/>
        <v/>
      </c>
      <c r="AH392" s="48" t="str">
        <f t="shared" si="84"/>
        <v/>
      </c>
      <c r="AI392" s="48" t="str">
        <f t="shared" si="85"/>
        <v/>
      </c>
      <c r="AJ392" s="48" t="str">
        <f t="shared" si="88"/>
        <v/>
      </c>
      <c r="AK392" s="48" t="str">
        <f t="shared" si="89"/>
        <v/>
      </c>
      <c r="AL392" s="48" t="str">
        <f>IF(W392=0,"",_xlfn.CONCAT(DADOS!$A$8,Y392:AK392,"
"))</f>
        <v/>
      </c>
    </row>
    <row r="393" spans="4:38" s="48" customFormat="1" ht="15" customHeight="1" x14ac:dyDescent="0.25">
      <c r="D393" s="49"/>
      <c r="E393" s="43"/>
      <c r="F393" s="20"/>
      <c r="G393" s="14"/>
      <c r="H393" s="20"/>
      <c r="I393" s="15"/>
      <c r="J393" s="16"/>
      <c r="K393" s="14"/>
      <c r="L393" s="17"/>
      <c r="M393" s="18"/>
      <c r="N393" s="17"/>
      <c r="O393" s="18"/>
      <c r="P393" s="19"/>
      <c r="Q393" s="17"/>
      <c r="R393" s="40"/>
      <c r="S393" s="42">
        <v>379</v>
      </c>
      <c r="T393" s="40"/>
      <c r="V393" s="48" t="str">
        <f t="shared" si="86"/>
        <v/>
      </c>
      <c r="W393" s="48">
        <f t="shared" si="75"/>
        <v>0</v>
      </c>
      <c r="Y393" s="48" t="str">
        <f t="shared" si="76"/>
        <v/>
      </c>
      <c r="Z393" s="48" t="str">
        <f t="shared" si="77"/>
        <v/>
      </c>
      <c r="AA393" s="48" t="str">
        <f t="shared" si="78"/>
        <v/>
      </c>
      <c r="AB393" s="48" t="str">
        <f t="shared" si="87"/>
        <v/>
      </c>
      <c r="AC393" s="48" t="str">
        <f t="shared" si="79"/>
        <v/>
      </c>
      <c r="AD393" s="48" t="str">
        <f t="shared" si="80"/>
        <v/>
      </c>
      <c r="AE393" s="48" t="str">
        <f t="shared" si="81"/>
        <v/>
      </c>
      <c r="AF393" s="48" t="str">
        <f t="shared" si="82"/>
        <v/>
      </c>
      <c r="AG393" s="48" t="str">
        <f t="shared" si="83"/>
        <v/>
      </c>
      <c r="AH393" s="48" t="str">
        <f t="shared" si="84"/>
        <v/>
      </c>
      <c r="AI393" s="48" t="str">
        <f t="shared" si="85"/>
        <v/>
      </c>
      <c r="AJ393" s="48" t="str">
        <f t="shared" si="88"/>
        <v/>
      </c>
      <c r="AK393" s="48" t="str">
        <f t="shared" si="89"/>
        <v/>
      </c>
      <c r="AL393" s="48" t="str">
        <f>IF(W393=0,"",_xlfn.CONCAT(DADOS!$A$8,Y393:AK393,"
"))</f>
        <v/>
      </c>
    </row>
    <row r="394" spans="4:38" s="48" customFormat="1" ht="15" customHeight="1" x14ac:dyDescent="0.25">
      <c r="D394" s="49"/>
      <c r="E394" s="43"/>
      <c r="F394" s="20"/>
      <c r="G394" s="14"/>
      <c r="H394" s="20"/>
      <c r="I394" s="15"/>
      <c r="J394" s="16"/>
      <c r="K394" s="14"/>
      <c r="L394" s="17"/>
      <c r="M394" s="18"/>
      <c r="N394" s="17"/>
      <c r="O394" s="18"/>
      <c r="P394" s="19"/>
      <c r="Q394" s="17"/>
      <c r="R394" s="40"/>
      <c r="S394" s="42">
        <v>380</v>
      </c>
      <c r="T394" s="40"/>
      <c r="V394" s="48" t="str">
        <f t="shared" si="86"/>
        <v/>
      </c>
      <c r="W394" s="48">
        <f t="shared" si="75"/>
        <v>0</v>
      </c>
      <c r="Y394" s="48" t="str">
        <f t="shared" si="76"/>
        <v/>
      </c>
      <c r="Z394" s="48" t="str">
        <f t="shared" si="77"/>
        <v/>
      </c>
      <c r="AA394" s="48" t="str">
        <f t="shared" si="78"/>
        <v/>
      </c>
      <c r="AB394" s="48" t="str">
        <f t="shared" si="87"/>
        <v/>
      </c>
      <c r="AC394" s="48" t="str">
        <f t="shared" si="79"/>
        <v/>
      </c>
      <c r="AD394" s="48" t="str">
        <f t="shared" si="80"/>
        <v/>
      </c>
      <c r="AE394" s="48" t="str">
        <f t="shared" si="81"/>
        <v/>
      </c>
      <c r="AF394" s="48" t="str">
        <f t="shared" si="82"/>
        <v/>
      </c>
      <c r="AG394" s="48" t="str">
        <f t="shared" si="83"/>
        <v/>
      </c>
      <c r="AH394" s="48" t="str">
        <f t="shared" si="84"/>
        <v/>
      </c>
      <c r="AI394" s="48" t="str">
        <f t="shared" si="85"/>
        <v/>
      </c>
      <c r="AJ394" s="48" t="str">
        <f t="shared" si="88"/>
        <v/>
      </c>
      <c r="AK394" s="48" t="str">
        <f t="shared" si="89"/>
        <v/>
      </c>
      <c r="AL394" s="48" t="str">
        <f>IF(W394=0,"",_xlfn.CONCAT(DADOS!$A$8,Y394:AK394,"
"))</f>
        <v/>
      </c>
    </row>
    <row r="395" spans="4:38" s="48" customFormat="1" ht="15" customHeight="1" x14ac:dyDescent="0.25">
      <c r="D395" s="49"/>
      <c r="E395" s="43"/>
      <c r="F395" s="20"/>
      <c r="G395" s="14"/>
      <c r="H395" s="20"/>
      <c r="I395" s="15"/>
      <c r="J395" s="16"/>
      <c r="K395" s="14"/>
      <c r="L395" s="17"/>
      <c r="M395" s="18"/>
      <c r="N395" s="17"/>
      <c r="O395" s="18"/>
      <c r="P395" s="19"/>
      <c r="Q395" s="17"/>
      <c r="R395" s="40"/>
      <c r="S395" s="42">
        <v>381</v>
      </c>
      <c r="T395" s="40"/>
      <c r="V395" s="48" t="str">
        <f t="shared" si="86"/>
        <v/>
      </c>
      <c r="W395" s="48">
        <f t="shared" si="75"/>
        <v>0</v>
      </c>
      <c r="Y395" s="48" t="str">
        <f t="shared" si="76"/>
        <v/>
      </c>
      <c r="Z395" s="48" t="str">
        <f t="shared" si="77"/>
        <v/>
      </c>
      <c r="AA395" s="48" t="str">
        <f t="shared" si="78"/>
        <v/>
      </c>
      <c r="AB395" s="48" t="str">
        <f t="shared" si="87"/>
        <v/>
      </c>
      <c r="AC395" s="48" t="str">
        <f t="shared" si="79"/>
        <v/>
      </c>
      <c r="AD395" s="48" t="str">
        <f t="shared" si="80"/>
        <v/>
      </c>
      <c r="AE395" s="48" t="str">
        <f t="shared" si="81"/>
        <v/>
      </c>
      <c r="AF395" s="48" t="str">
        <f t="shared" si="82"/>
        <v/>
      </c>
      <c r="AG395" s="48" t="str">
        <f t="shared" si="83"/>
        <v/>
      </c>
      <c r="AH395" s="48" t="str">
        <f t="shared" si="84"/>
        <v/>
      </c>
      <c r="AI395" s="48" t="str">
        <f t="shared" si="85"/>
        <v/>
      </c>
      <c r="AJ395" s="48" t="str">
        <f t="shared" si="88"/>
        <v/>
      </c>
      <c r="AK395" s="48" t="str">
        <f t="shared" si="89"/>
        <v/>
      </c>
      <c r="AL395" s="48" t="str">
        <f>IF(W395=0,"",_xlfn.CONCAT(DADOS!$A$8,Y395:AK395,"
"))</f>
        <v/>
      </c>
    </row>
    <row r="396" spans="4:38" s="48" customFormat="1" ht="15" customHeight="1" x14ac:dyDescent="0.25">
      <c r="D396" s="49"/>
      <c r="E396" s="43"/>
      <c r="F396" s="20"/>
      <c r="G396" s="14"/>
      <c r="H396" s="20"/>
      <c r="I396" s="15"/>
      <c r="J396" s="16"/>
      <c r="K396" s="14"/>
      <c r="L396" s="17"/>
      <c r="M396" s="18"/>
      <c r="N396" s="17"/>
      <c r="O396" s="18"/>
      <c r="P396" s="19"/>
      <c r="Q396" s="17"/>
      <c r="R396" s="40"/>
      <c r="S396" s="42">
        <v>382</v>
      </c>
      <c r="T396" s="40"/>
      <c r="V396" s="48" t="str">
        <f t="shared" si="86"/>
        <v/>
      </c>
      <c r="W396" s="48">
        <f t="shared" si="75"/>
        <v>0</v>
      </c>
      <c r="Y396" s="48" t="str">
        <f t="shared" si="76"/>
        <v/>
      </c>
      <c r="Z396" s="48" t="str">
        <f t="shared" si="77"/>
        <v/>
      </c>
      <c r="AA396" s="48" t="str">
        <f t="shared" si="78"/>
        <v/>
      </c>
      <c r="AB396" s="48" t="str">
        <f t="shared" si="87"/>
        <v/>
      </c>
      <c r="AC396" s="48" t="str">
        <f t="shared" si="79"/>
        <v/>
      </c>
      <c r="AD396" s="48" t="str">
        <f t="shared" si="80"/>
        <v/>
      </c>
      <c r="AE396" s="48" t="str">
        <f t="shared" si="81"/>
        <v/>
      </c>
      <c r="AF396" s="48" t="str">
        <f t="shared" si="82"/>
        <v/>
      </c>
      <c r="AG396" s="48" t="str">
        <f t="shared" si="83"/>
        <v/>
      </c>
      <c r="AH396" s="48" t="str">
        <f t="shared" si="84"/>
        <v/>
      </c>
      <c r="AI396" s="48" t="str">
        <f t="shared" si="85"/>
        <v/>
      </c>
      <c r="AJ396" s="48" t="str">
        <f t="shared" si="88"/>
        <v/>
      </c>
      <c r="AK396" s="48" t="str">
        <f t="shared" si="89"/>
        <v/>
      </c>
      <c r="AL396" s="48" t="str">
        <f>IF(W396=0,"",_xlfn.CONCAT(DADOS!$A$8,Y396:AK396,"
"))</f>
        <v/>
      </c>
    </row>
    <row r="397" spans="4:38" s="48" customFormat="1" ht="15" customHeight="1" x14ac:dyDescent="0.25">
      <c r="D397" s="49"/>
      <c r="E397" s="43"/>
      <c r="F397" s="20"/>
      <c r="G397" s="14"/>
      <c r="H397" s="20"/>
      <c r="I397" s="15"/>
      <c r="J397" s="16"/>
      <c r="K397" s="14"/>
      <c r="L397" s="17"/>
      <c r="M397" s="18"/>
      <c r="N397" s="17"/>
      <c r="O397" s="18"/>
      <c r="P397" s="19"/>
      <c r="Q397" s="17"/>
      <c r="R397" s="40"/>
      <c r="S397" s="42">
        <v>383</v>
      </c>
      <c r="T397" s="40"/>
      <c r="V397" s="48" t="str">
        <f t="shared" si="86"/>
        <v/>
      </c>
      <c r="W397" s="48">
        <f t="shared" si="75"/>
        <v>0</v>
      </c>
      <c r="Y397" s="48" t="str">
        <f t="shared" si="76"/>
        <v/>
      </c>
      <c r="Z397" s="48" t="str">
        <f t="shared" si="77"/>
        <v/>
      </c>
      <c r="AA397" s="48" t="str">
        <f t="shared" si="78"/>
        <v/>
      </c>
      <c r="AB397" s="48" t="str">
        <f t="shared" si="87"/>
        <v/>
      </c>
      <c r="AC397" s="48" t="str">
        <f t="shared" si="79"/>
        <v/>
      </c>
      <c r="AD397" s="48" t="str">
        <f t="shared" si="80"/>
        <v/>
      </c>
      <c r="AE397" s="48" t="str">
        <f t="shared" si="81"/>
        <v/>
      </c>
      <c r="AF397" s="48" t="str">
        <f t="shared" si="82"/>
        <v/>
      </c>
      <c r="AG397" s="48" t="str">
        <f t="shared" si="83"/>
        <v/>
      </c>
      <c r="AH397" s="48" t="str">
        <f t="shared" si="84"/>
        <v/>
      </c>
      <c r="AI397" s="48" t="str">
        <f t="shared" si="85"/>
        <v/>
      </c>
      <c r="AJ397" s="48" t="str">
        <f t="shared" si="88"/>
        <v/>
      </c>
      <c r="AK397" s="48" t="str">
        <f t="shared" si="89"/>
        <v/>
      </c>
      <c r="AL397" s="48" t="str">
        <f>IF(W397=0,"",_xlfn.CONCAT(DADOS!$A$8,Y397:AK397,"
"))</f>
        <v/>
      </c>
    </row>
    <row r="398" spans="4:38" s="48" customFormat="1" ht="15" customHeight="1" x14ac:dyDescent="0.25">
      <c r="D398" s="49"/>
      <c r="E398" s="43"/>
      <c r="F398" s="20"/>
      <c r="G398" s="14"/>
      <c r="H398" s="20"/>
      <c r="I398" s="15"/>
      <c r="J398" s="16"/>
      <c r="K398" s="14"/>
      <c r="L398" s="17"/>
      <c r="M398" s="18"/>
      <c r="N398" s="17"/>
      <c r="O398" s="18"/>
      <c r="P398" s="19"/>
      <c r="Q398" s="17"/>
      <c r="R398" s="40"/>
      <c r="S398" s="42">
        <v>384</v>
      </c>
      <c r="T398" s="40"/>
      <c r="V398" s="48" t="str">
        <f t="shared" si="86"/>
        <v/>
      </c>
      <c r="W398" s="48">
        <f t="shared" si="75"/>
        <v>0</v>
      </c>
      <c r="Y398" s="48" t="str">
        <f t="shared" si="76"/>
        <v/>
      </c>
      <c r="Z398" s="48" t="str">
        <f t="shared" si="77"/>
        <v/>
      </c>
      <c r="AA398" s="48" t="str">
        <f t="shared" si="78"/>
        <v/>
      </c>
      <c r="AB398" s="48" t="str">
        <f t="shared" si="87"/>
        <v/>
      </c>
      <c r="AC398" s="48" t="str">
        <f t="shared" si="79"/>
        <v/>
      </c>
      <c r="AD398" s="48" t="str">
        <f t="shared" si="80"/>
        <v/>
      </c>
      <c r="AE398" s="48" t="str">
        <f t="shared" si="81"/>
        <v/>
      </c>
      <c r="AF398" s="48" t="str">
        <f t="shared" si="82"/>
        <v/>
      </c>
      <c r="AG398" s="48" t="str">
        <f t="shared" si="83"/>
        <v/>
      </c>
      <c r="AH398" s="48" t="str">
        <f t="shared" si="84"/>
        <v/>
      </c>
      <c r="AI398" s="48" t="str">
        <f t="shared" si="85"/>
        <v/>
      </c>
      <c r="AJ398" s="48" t="str">
        <f t="shared" si="88"/>
        <v/>
      </c>
      <c r="AK398" s="48" t="str">
        <f t="shared" si="89"/>
        <v/>
      </c>
      <c r="AL398" s="48" t="str">
        <f>IF(W398=0,"",_xlfn.CONCAT(DADOS!$A$8,Y398:AK398,"
"))</f>
        <v/>
      </c>
    </row>
    <row r="399" spans="4:38" s="48" customFormat="1" ht="15" customHeight="1" x14ac:dyDescent="0.25">
      <c r="D399" s="49"/>
      <c r="E399" s="43"/>
      <c r="F399" s="20"/>
      <c r="G399" s="14"/>
      <c r="H399" s="20"/>
      <c r="I399" s="15"/>
      <c r="J399" s="16"/>
      <c r="K399" s="14"/>
      <c r="L399" s="17"/>
      <c r="M399" s="18"/>
      <c r="N399" s="17"/>
      <c r="O399" s="18"/>
      <c r="P399" s="19"/>
      <c r="Q399" s="17"/>
      <c r="R399" s="40"/>
      <c r="S399" s="42">
        <v>385</v>
      </c>
      <c r="T399" s="40"/>
      <c r="V399" s="48" t="str">
        <f t="shared" si="86"/>
        <v/>
      </c>
      <c r="W399" s="48">
        <f t="shared" ref="W399:W462" si="90">IF(E399="",0,1)</f>
        <v>0</v>
      </c>
      <c r="Y399" s="48" t="str">
        <f t="shared" ref="Y399:Y462" si="91">_xlfn.CONCAT(E399,IF(LEN(E399)=1,"  ",IF(LEN(E399)=2," ","")))</f>
        <v/>
      </c>
      <c r="Z399" s="48" t="str">
        <f t="shared" ref="Z399:Z462" si="92">_xlfn.CONCAT(F399,IF(LEN(F399)=1,"  ",IF(LEN(F399)=2," ","")))</f>
        <v/>
      </c>
      <c r="AA399" s="48" t="str">
        <f t="shared" ref="AA399:AA462" si="93">IF(W399=0,"",G399)</f>
        <v/>
      </c>
      <c r="AB399" s="48" t="str">
        <f t="shared" si="87"/>
        <v/>
      </c>
      <c r="AC399" s="48" t="str">
        <f t="shared" ref="AC399:AC462" si="94">IF(W399=0,"",IF(LEN(I399)=1,_xlfn.CONCAT(0,I399),I399))</f>
        <v/>
      </c>
      <c r="AD399" s="48" t="str">
        <f t="shared" ref="AD399:AD462" si="95">IF(I399=20,"",(IF(I399=8,IF(LEN(J399)=1,_xlfn.CONCAT("00",J399),IF(LEN(J399)=2,_xlfn.CONCAT("0",J399),J399)),"")))</f>
        <v/>
      </c>
      <c r="AE399" s="48" t="str">
        <f t="shared" ref="AE399:AE462" si="96">IF(I399=20,"",IF(I399=8,IF(LEN(K399)=1,_xlfn.CONCAT(0,K399),K399),""))</f>
        <v/>
      </c>
      <c r="AF399" s="48" t="str">
        <f t="shared" ref="AF399:AF462" si="97">IF(I399=8,L399,"")</f>
        <v/>
      </c>
      <c r="AG399" s="48" t="str">
        <f t="shared" ref="AG399:AG462" si="98">IF(W399=0,"",IF($I399=20,"",IF(LEN(M399)=1,_xlfn.CONCAT("00",M399),IF(LEN(M399)=2,_xlfn.CONCAT("0",M399),M399))))</f>
        <v/>
      </c>
      <c r="AH399" s="48" t="str">
        <f t="shared" ref="AH399:AH462" si="99">IF(W399=0,"",IF($I399=20,"",IF(LEN(N399)=1,_xlfn.CONCAT(0,N399),N399)))</f>
        <v/>
      </c>
      <c r="AI399" s="48" t="str">
        <f t="shared" ref="AI399:AI462" si="100">IF(W399=0,"",IF($I399=20,"",IF(LEN(P399)=3,_xlfn.CONCAT("00",P399),_xlfn.CONCAT("0",P399))))</f>
        <v/>
      </c>
      <c r="AJ399" s="48" t="str">
        <f t="shared" si="88"/>
        <v/>
      </c>
      <c r="AK399" s="48" t="str">
        <f t="shared" si="89"/>
        <v/>
      </c>
      <c r="AL399" s="48" t="str">
        <f>IF(W399=0,"",_xlfn.CONCAT(DADOS!$A$8,Y399:AK399,"
"))</f>
        <v/>
      </c>
    </row>
    <row r="400" spans="4:38" s="48" customFormat="1" ht="15" customHeight="1" x14ac:dyDescent="0.25">
      <c r="D400" s="49"/>
      <c r="E400" s="43"/>
      <c r="F400" s="20"/>
      <c r="G400" s="14"/>
      <c r="H400" s="20"/>
      <c r="I400" s="15"/>
      <c r="J400" s="16"/>
      <c r="K400" s="14"/>
      <c r="L400" s="17"/>
      <c r="M400" s="18"/>
      <c r="N400" s="17"/>
      <c r="O400" s="18"/>
      <c r="P400" s="19"/>
      <c r="Q400" s="17"/>
      <c r="R400" s="40"/>
      <c r="S400" s="42">
        <v>386</v>
      </c>
      <c r="T400" s="40"/>
      <c r="V400" s="48" t="str">
        <f t="shared" ref="V400:V463" si="101">IF(E400="","",IF(R401="",IF(R400&lt;21,1,0),0))</f>
        <v/>
      </c>
      <c r="W400" s="48">
        <f t="shared" si="90"/>
        <v>0</v>
      </c>
      <c r="Y400" s="48" t="str">
        <f t="shared" si="91"/>
        <v/>
      </c>
      <c r="Z400" s="48" t="str">
        <f t="shared" si="92"/>
        <v/>
      </c>
      <c r="AA400" s="48" t="str">
        <f t="shared" si="93"/>
        <v/>
      </c>
      <c r="AB400" s="48" t="str">
        <f t="shared" ref="AB400:AB463" si="102">IF(OR(G400=0,G400=4),"",H400)</f>
        <v/>
      </c>
      <c r="AC400" s="48" t="str">
        <f t="shared" si="94"/>
        <v/>
      </c>
      <c r="AD400" s="48" t="str">
        <f t="shared" si="95"/>
        <v/>
      </c>
      <c r="AE400" s="48" t="str">
        <f t="shared" si="96"/>
        <v/>
      </c>
      <c r="AF400" s="48" t="str">
        <f t="shared" si="97"/>
        <v/>
      </c>
      <c r="AG400" s="48" t="str">
        <f t="shared" si="98"/>
        <v/>
      </c>
      <c r="AH400" s="48" t="str">
        <f t="shared" si="99"/>
        <v/>
      </c>
      <c r="AI400" s="48" t="str">
        <f t="shared" si="100"/>
        <v/>
      </c>
      <c r="AJ400" s="48" t="str">
        <f t="shared" ref="AJ400:AJ463" si="103">IF(W400=0,"",IF(I400=20,"",_xlfn.CONCAT(ROUNDUP(R400*10,0),$AK$14)))</f>
        <v/>
      </c>
      <c r="AK400" s="48" t="str">
        <f t="shared" ref="AK400:AK463" si="104">IF(W400=0,"",IF(R400&lt;999,$AK$14,""))</f>
        <v/>
      </c>
      <c r="AL400" s="48" t="str">
        <f>IF(W400=0,"",_xlfn.CONCAT(DADOS!$A$8,Y400:AK400,"
"))</f>
        <v/>
      </c>
    </row>
    <row r="401" spans="4:38" s="48" customFormat="1" ht="15" customHeight="1" x14ac:dyDescent="0.25">
      <c r="D401" s="49"/>
      <c r="E401" s="43"/>
      <c r="F401" s="20"/>
      <c r="G401" s="14"/>
      <c r="H401" s="20"/>
      <c r="I401" s="15"/>
      <c r="J401" s="16"/>
      <c r="K401" s="14"/>
      <c r="L401" s="17"/>
      <c r="M401" s="18"/>
      <c r="N401" s="17"/>
      <c r="O401" s="18"/>
      <c r="P401" s="19"/>
      <c r="Q401" s="17"/>
      <c r="R401" s="40"/>
      <c r="S401" s="42">
        <v>387</v>
      </c>
      <c r="T401" s="40"/>
      <c r="V401" s="48" t="str">
        <f t="shared" si="101"/>
        <v/>
      </c>
      <c r="W401" s="48">
        <f t="shared" si="90"/>
        <v>0</v>
      </c>
      <c r="Y401" s="48" t="str">
        <f t="shared" si="91"/>
        <v/>
      </c>
      <c r="Z401" s="48" t="str">
        <f t="shared" si="92"/>
        <v/>
      </c>
      <c r="AA401" s="48" t="str">
        <f t="shared" si="93"/>
        <v/>
      </c>
      <c r="AB401" s="48" t="str">
        <f t="shared" si="102"/>
        <v/>
      </c>
      <c r="AC401" s="48" t="str">
        <f t="shared" si="94"/>
        <v/>
      </c>
      <c r="AD401" s="48" t="str">
        <f t="shared" si="95"/>
        <v/>
      </c>
      <c r="AE401" s="48" t="str">
        <f t="shared" si="96"/>
        <v/>
      </c>
      <c r="AF401" s="48" t="str">
        <f t="shared" si="97"/>
        <v/>
      </c>
      <c r="AG401" s="48" t="str">
        <f t="shared" si="98"/>
        <v/>
      </c>
      <c r="AH401" s="48" t="str">
        <f t="shared" si="99"/>
        <v/>
      </c>
      <c r="AI401" s="48" t="str">
        <f t="shared" si="100"/>
        <v/>
      </c>
      <c r="AJ401" s="48" t="str">
        <f t="shared" si="103"/>
        <v/>
      </c>
      <c r="AK401" s="48" t="str">
        <f t="shared" si="104"/>
        <v/>
      </c>
      <c r="AL401" s="48" t="str">
        <f>IF(W401=0,"",_xlfn.CONCAT(DADOS!$A$8,Y401:AK401,"
"))</f>
        <v/>
      </c>
    </row>
    <row r="402" spans="4:38" s="48" customFormat="1" ht="15" customHeight="1" x14ac:dyDescent="0.25">
      <c r="D402" s="49"/>
      <c r="E402" s="43"/>
      <c r="F402" s="20"/>
      <c r="G402" s="14"/>
      <c r="H402" s="20"/>
      <c r="I402" s="15"/>
      <c r="J402" s="16"/>
      <c r="K402" s="14"/>
      <c r="L402" s="17"/>
      <c r="M402" s="18"/>
      <c r="N402" s="17"/>
      <c r="O402" s="18"/>
      <c r="P402" s="19"/>
      <c r="Q402" s="17"/>
      <c r="R402" s="40"/>
      <c r="S402" s="42">
        <v>388</v>
      </c>
      <c r="T402" s="40"/>
      <c r="V402" s="48" t="str">
        <f t="shared" si="101"/>
        <v/>
      </c>
      <c r="W402" s="48">
        <f t="shared" si="90"/>
        <v>0</v>
      </c>
      <c r="Y402" s="48" t="str">
        <f t="shared" si="91"/>
        <v/>
      </c>
      <c r="Z402" s="48" t="str">
        <f t="shared" si="92"/>
        <v/>
      </c>
      <c r="AA402" s="48" t="str">
        <f t="shared" si="93"/>
        <v/>
      </c>
      <c r="AB402" s="48" t="str">
        <f t="shared" si="102"/>
        <v/>
      </c>
      <c r="AC402" s="48" t="str">
        <f t="shared" si="94"/>
        <v/>
      </c>
      <c r="AD402" s="48" t="str">
        <f t="shared" si="95"/>
        <v/>
      </c>
      <c r="AE402" s="48" t="str">
        <f t="shared" si="96"/>
        <v/>
      </c>
      <c r="AF402" s="48" t="str">
        <f t="shared" si="97"/>
        <v/>
      </c>
      <c r="AG402" s="48" t="str">
        <f t="shared" si="98"/>
        <v/>
      </c>
      <c r="AH402" s="48" t="str">
        <f t="shared" si="99"/>
        <v/>
      </c>
      <c r="AI402" s="48" t="str">
        <f t="shared" si="100"/>
        <v/>
      </c>
      <c r="AJ402" s="48" t="str">
        <f t="shared" si="103"/>
        <v/>
      </c>
      <c r="AK402" s="48" t="str">
        <f t="shared" si="104"/>
        <v/>
      </c>
      <c r="AL402" s="48" t="str">
        <f>IF(W402=0,"",_xlfn.CONCAT(DADOS!$A$8,Y402:AK402,"
"))</f>
        <v/>
      </c>
    </row>
    <row r="403" spans="4:38" s="48" customFormat="1" ht="15" customHeight="1" x14ac:dyDescent="0.25">
      <c r="D403" s="49"/>
      <c r="E403" s="43"/>
      <c r="F403" s="20"/>
      <c r="G403" s="14"/>
      <c r="H403" s="20"/>
      <c r="I403" s="15"/>
      <c r="J403" s="16"/>
      <c r="K403" s="14"/>
      <c r="L403" s="17"/>
      <c r="M403" s="18"/>
      <c r="N403" s="17"/>
      <c r="O403" s="18"/>
      <c r="P403" s="19"/>
      <c r="Q403" s="17"/>
      <c r="R403" s="40"/>
      <c r="S403" s="42">
        <v>389</v>
      </c>
      <c r="T403" s="40"/>
      <c r="V403" s="48" t="str">
        <f t="shared" si="101"/>
        <v/>
      </c>
      <c r="W403" s="48">
        <f t="shared" si="90"/>
        <v>0</v>
      </c>
      <c r="Y403" s="48" t="str">
        <f t="shared" si="91"/>
        <v/>
      </c>
      <c r="Z403" s="48" t="str">
        <f t="shared" si="92"/>
        <v/>
      </c>
      <c r="AA403" s="48" t="str">
        <f t="shared" si="93"/>
        <v/>
      </c>
      <c r="AB403" s="48" t="str">
        <f t="shared" si="102"/>
        <v/>
      </c>
      <c r="AC403" s="48" t="str">
        <f t="shared" si="94"/>
        <v/>
      </c>
      <c r="AD403" s="48" t="str">
        <f t="shared" si="95"/>
        <v/>
      </c>
      <c r="AE403" s="48" t="str">
        <f t="shared" si="96"/>
        <v/>
      </c>
      <c r="AF403" s="48" t="str">
        <f t="shared" si="97"/>
        <v/>
      </c>
      <c r="AG403" s="48" t="str">
        <f t="shared" si="98"/>
        <v/>
      </c>
      <c r="AH403" s="48" t="str">
        <f t="shared" si="99"/>
        <v/>
      </c>
      <c r="AI403" s="48" t="str">
        <f t="shared" si="100"/>
        <v/>
      </c>
      <c r="AJ403" s="48" t="str">
        <f t="shared" si="103"/>
        <v/>
      </c>
      <c r="AK403" s="48" t="str">
        <f t="shared" si="104"/>
        <v/>
      </c>
      <c r="AL403" s="48" t="str">
        <f>IF(W403=0,"",_xlfn.CONCAT(DADOS!$A$8,Y403:AK403,"
"))</f>
        <v/>
      </c>
    </row>
    <row r="404" spans="4:38" s="48" customFormat="1" ht="15" customHeight="1" x14ac:dyDescent="0.25">
      <c r="D404" s="49"/>
      <c r="E404" s="43"/>
      <c r="F404" s="20"/>
      <c r="G404" s="14"/>
      <c r="H404" s="20"/>
      <c r="I404" s="15"/>
      <c r="J404" s="16"/>
      <c r="K404" s="14"/>
      <c r="L404" s="17"/>
      <c r="M404" s="18"/>
      <c r="N404" s="17"/>
      <c r="O404" s="18"/>
      <c r="P404" s="19"/>
      <c r="Q404" s="17"/>
      <c r="R404" s="40"/>
      <c r="S404" s="42">
        <v>390</v>
      </c>
      <c r="T404" s="40"/>
      <c r="V404" s="48" t="str">
        <f t="shared" si="101"/>
        <v/>
      </c>
      <c r="W404" s="48">
        <f t="shared" si="90"/>
        <v>0</v>
      </c>
      <c r="Y404" s="48" t="str">
        <f t="shared" si="91"/>
        <v/>
      </c>
      <c r="Z404" s="48" t="str">
        <f t="shared" si="92"/>
        <v/>
      </c>
      <c r="AA404" s="48" t="str">
        <f t="shared" si="93"/>
        <v/>
      </c>
      <c r="AB404" s="48" t="str">
        <f t="shared" si="102"/>
        <v/>
      </c>
      <c r="AC404" s="48" t="str">
        <f t="shared" si="94"/>
        <v/>
      </c>
      <c r="AD404" s="48" t="str">
        <f t="shared" si="95"/>
        <v/>
      </c>
      <c r="AE404" s="48" t="str">
        <f t="shared" si="96"/>
        <v/>
      </c>
      <c r="AF404" s="48" t="str">
        <f t="shared" si="97"/>
        <v/>
      </c>
      <c r="AG404" s="48" t="str">
        <f t="shared" si="98"/>
        <v/>
      </c>
      <c r="AH404" s="48" t="str">
        <f t="shared" si="99"/>
        <v/>
      </c>
      <c r="AI404" s="48" t="str">
        <f t="shared" si="100"/>
        <v/>
      </c>
      <c r="AJ404" s="48" t="str">
        <f t="shared" si="103"/>
        <v/>
      </c>
      <c r="AK404" s="48" t="str">
        <f t="shared" si="104"/>
        <v/>
      </c>
      <c r="AL404" s="48" t="str">
        <f>IF(W404=0,"",_xlfn.CONCAT(DADOS!$A$8,Y404:AK404,"
"))</f>
        <v/>
      </c>
    </row>
    <row r="405" spans="4:38" s="48" customFormat="1" ht="15" customHeight="1" x14ac:dyDescent="0.25">
      <c r="D405" s="49"/>
      <c r="E405" s="43"/>
      <c r="F405" s="20"/>
      <c r="G405" s="14"/>
      <c r="H405" s="20"/>
      <c r="I405" s="15"/>
      <c r="J405" s="16"/>
      <c r="K405" s="14"/>
      <c r="L405" s="17"/>
      <c r="M405" s="18"/>
      <c r="N405" s="17"/>
      <c r="O405" s="18"/>
      <c r="P405" s="19"/>
      <c r="Q405" s="17"/>
      <c r="R405" s="40"/>
      <c r="S405" s="42">
        <v>391</v>
      </c>
      <c r="T405" s="40"/>
      <c r="V405" s="48" t="str">
        <f t="shared" si="101"/>
        <v/>
      </c>
      <c r="W405" s="48">
        <f t="shared" si="90"/>
        <v>0</v>
      </c>
      <c r="Y405" s="48" t="str">
        <f t="shared" si="91"/>
        <v/>
      </c>
      <c r="Z405" s="48" t="str">
        <f t="shared" si="92"/>
        <v/>
      </c>
      <c r="AA405" s="48" t="str">
        <f t="shared" si="93"/>
        <v/>
      </c>
      <c r="AB405" s="48" t="str">
        <f t="shared" si="102"/>
        <v/>
      </c>
      <c r="AC405" s="48" t="str">
        <f t="shared" si="94"/>
        <v/>
      </c>
      <c r="AD405" s="48" t="str">
        <f t="shared" si="95"/>
        <v/>
      </c>
      <c r="AE405" s="48" t="str">
        <f t="shared" si="96"/>
        <v/>
      </c>
      <c r="AF405" s="48" t="str">
        <f t="shared" si="97"/>
        <v/>
      </c>
      <c r="AG405" s="48" t="str">
        <f t="shared" si="98"/>
        <v/>
      </c>
      <c r="AH405" s="48" t="str">
        <f t="shared" si="99"/>
        <v/>
      </c>
      <c r="AI405" s="48" t="str">
        <f t="shared" si="100"/>
        <v/>
      </c>
      <c r="AJ405" s="48" t="str">
        <f t="shared" si="103"/>
        <v/>
      </c>
      <c r="AK405" s="48" t="str">
        <f t="shared" si="104"/>
        <v/>
      </c>
      <c r="AL405" s="48" t="str">
        <f>IF(W405=0,"",_xlfn.CONCAT(DADOS!$A$8,Y405:AK405,"
"))</f>
        <v/>
      </c>
    </row>
    <row r="406" spans="4:38" s="48" customFormat="1" ht="15" customHeight="1" x14ac:dyDescent="0.25">
      <c r="D406" s="49"/>
      <c r="E406" s="43"/>
      <c r="F406" s="20"/>
      <c r="G406" s="14"/>
      <c r="H406" s="20"/>
      <c r="I406" s="15"/>
      <c r="J406" s="16"/>
      <c r="K406" s="14"/>
      <c r="L406" s="17"/>
      <c r="M406" s="18"/>
      <c r="N406" s="17"/>
      <c r="O406" s="18"/>
      <c r="P406" s="19"/>
      <c r="Q406" s="17"/>
      <c r="R406" s="40"/>
      <c r="S406" s="42">
        <v>392</v>
      </c>
      <c r="T406" s="40"/>
      <c r="V406" s="48" t="str">
        <f t="shared" si="101"/>
        <v/>
      </c>
      <c r="W406" s="48">
        <f t="shared" si="90"/>
        <v>0</v>
      </c>
      <c r="Y406" s="48" t="str">
        <f t="shared" si="91"/>
        <v/>
      </c>
      <c r="Z406" s="48" t="str">
        <f t="shared" si="92"/>
        <v/>
      </c>
      <c r="AA406" s="48" t="str">
        <f t="shared" si="93"/>
        <v/>
      </c>
      <c r="AB406" s="48" t="str">
        <f t="shared" si="102"/>
        <v/>
      </c>
      <c r="AC406" s="48" t="str">
        <f t="shared" si="94"/>
        <v/>
      </c>
      <c r="AD406" s="48" t="str">
        <f t="shared" si="95"/>
        <v/>
      </c>
      <c r="AE406" s="48" t="str">
        <f t="shared" si="96"/>
        <v/>
      </c>
      <c r="AF406" s="48" t="str">
        <f t="shared" si="97"/>
        <v/>
      </c>
      <c r="AG406" s="48" t="str">
        <f t="shared" si="98"/>
        <v/>
      </c>
      <c r="AH406" s="48" t="str">
        <f t="shared" si="99"/>
        <v/>
      </c>
      <c r="AI406" s="48" t="str">
        <f t="shared" si="100"/>
        <v/>
      </c>
      <c r="AJ406" s="48" t="str">
        <f t="shared" si="103"/>
        <v/>
      </c>
      <c r="AK406" s="48" t="str">
        <f t="shared" si="104"/>
        <v/>
      </c>
      <c r="AL406" s="48" t="str">
        <f>IF(W406=0,"",_xlfn.CONCAT(DADOS!$A$8,Y406:AK406,"
"))</f>
        <v/>
      </c>
    </row>
    <row r="407" spans="4:38" s="48" customFormat="1" ht="15" customHeight="1" x14ac:dyDescent="0.25">
      <c r="D407" s="49"/>
      <c r="E407" s="43"/>
      <c r="F407" s="20"/>
      <c r="G407" s="14"/>
      <c r="H407" s="20"/>
      <c r="I407" s="15"/>
      <c r="J407" s="16"/>
      <c r="K407" s="14"/>
      <c r="L407" s="17"/>
      <c r="M407" s="18"/>
      <c r="N407" s="17"/>
      <c r="O407" s="18"/>
      <c r="P407" s="19"/>
      <c r="Q407" s="17"/>
      <c r="R407" s="40"/>
      <c r="S407" s="42">
        <v>393</v>
      </c>
      <c r="T407" s="40"/>
      <c r="V407" s="48" t="str">
        <f t="shared" si="101"/>
        <v/>
      </c>
      <c r="W407" s="48">
        <f t="shared" si="90"/>
        <v>0</v>
      </c>
      <c r="Y407" s="48" t="str">
        <f t="shared" si="91"/>
        <v/>
      </c>
      <c r="Z407" s="48" t="str">
        <f t="shared" si="92"/>
        <v/>
      </c>
      <c r="AA407" s="48" t="str">
        <f t="shared" si="93"/>
        <v/>
      </c>
      <c r="AB407" s="48" t="str">
        <f t="shared" si="102"/>
        <v/>
      </c>
      <c r="AC407" s="48" t="str">
        <f t="shared" si="94"/>
        <v/>
      </c>
      <c r="AD407" s="48" t="str">
        <f t="shared" si="95"/>
        <v/>
      </c>
      <c r="AE407" s="48" t="str">
        <f t="shared" si="96"/>
        <v/>
      </c>
      <c r="AF407" s="48" t="str">
        <f t="shared" si="97"/>
        <v/>
      </c>
      <c r="AG407" s="48" t="str">
        <f t="shared" si="98"/>
        <v/>
      </c>
      <c r="AH407" s="48" t="str">
        <f t="shared" si="99"/>
        <v/>
      </c>
      <c r="AI407" s="48" t="str">
        <f t="shared" si="100"/>
        <v/>
      </c>
      <c r="AJ407" s="48" t="str">
        <f t="shared" si="103"/>
        <v/>
      </c>
      <c r="AK407" s="48" t="str">
        <f t="shared" si="104"/>
        <v/>
      </c>
      <c r="AL407" s="48" t="str">
        <f>IF(W407=0,"",_xlfn.CONCAT(DADOS!$A$8,Y407:AK407,"
"))</f>
        <v/>
      </c>
    </row>
    <row r="408" spans="4:38" s="48" customFormat="1" ht="15" customHeight="1" x14ac:dyDescent="0.25">
      <c r="D408" s="49"/>
      <c r="E408" s="43"/>
      <c r="F408" s="20"/>
      <c r="G408" s="14"/>
      <c r="H408" s="20"/>
      <c r="I408" s="15"/>
      <c r="J408" s="16"/>
      <c r="K408" s="14"/>
      <c r="L408" s="17"/>
      <c r="M408" s="18"/>
      <c r="N408" s="17"/>
      <c r="O408" s="18"/>
      <c r="P408" s="19"/>
      <c r="Q408" s="17"/>
      <c r="R408" s="40"/>
      <c r="S408" s="42">
        <v>394</v>
      </c>
      <c r="T408" s="40"/>
      <c r="V408" s="48" t="str">
        <f t="shared" si="101"/>
        <v/>
      </c>
      <c r="W408" s="48">
        <f t="shared" si="90"/>
        <v>0</v>
      </c>
      <c r="Y408" s="48" t="str">
        <f t="shared" si="91"/>
        <v/>
      </c>
      <c r="Z408" s="48" t="str">
        <f t="shared" si="92"/>
        <v/>
      </c>
      <c r="AA408" s="48" t="str">
        <f t="shared" si="93"/>
        <v/>
      </c>
      <c r="AB408" s="48" t="str">
        <f t="shared" si="102"/>
        <v/>
      </c>
      <c r="AC408" s="48" t="str">
        <f t="shared" si="94"/>
        <v/>
      </c>
      <c r="AD408" s="48" t="str">
        <f t="shared" si="95"/>
        <v/>
      </c>
      <c r="AE408" s="48" t="str">
        <f t="shared" si="96"/>
        <v/>
      </c>
      <c r="AF408" s="48" t="str">
        <f t="shared" si="97"/>
        <v/>
      </c>
      <c r="AG408" s="48" t="str">
        <f t="shared" si="98"/>
        <v/>
      </c>
      <c r="AH408" s="48" t="str">
        <f t="shared" si="99"/>
        <v/>
      </c>
      <c r="AI408" s="48" t="str">
        <f t="shared" si="100"/>
        <v/>
      </c>
      <c r="AJ408" s="48" t="str">
        <f t="shared" si="103"/>
        <v/>
      </c>
      <c r="AK408" s="48" t="str">
        <f t="shared" si="104"/>
        <v/>
      </c>
      <c r="AL408" s="48" t="str">
        <f>IF(W408=0,"",_xlfn.CONCAT(DADOS!$A$8,Y408:AK408,"
"))</f>
        <v/>
      </c>
    </row>
    <row r="409" spans="4:38" s="48" customFormat="1" ht="15" customHeight="1" x14ac:dyDescent="0.25">
      <c r="D409" s="49"/>
      <c r="E409" s="43"/>
      <c r="F409" s="20"/>
      <c r="G409" s="14"/>
      <c r="H409" s="20"/>
      <c r="I409" s="15"/>
      <c r="J409" s="16"/>
      <c r="K409" s="14"/>
      <c r="L409" s="17"/>
      <c r="M409" s="18"/>
      <c r="N409" s="17"/>
      <c r="O409" s="18"/>
      <c r="P409" s="19"/>
      <c r="Q409" s="17"/>
      <c r="R409" s="40"/>
      <c r="S409" s="42">
        <v>395</v>
      </c>
      <c r="T409" s="40"/>
      <c r="V409" s="48" t="str">
        <f t="shared" si="101"/>
        <v/>
      </c>
      <c r="W409" s="48">
        <f t="shared" si="90"/>
        <v>0</v>
      </c>
      <c r="Y409" s="48" t="str">
        <f t="shared" si="91"/>
        <v/>
      </c>
      <c r="Z409" s="48" t="str">
        <f t="shared" si="92"/>
        <v/>
      </c>
      <c r="AA409" s="48" t="str">
        <f t="shared" si="93"/>
        <v/>
      </c>
      <c r="AB409" s="48" t="str">
        <f t="shared" si="102"/>
        <v/>
      </c>
      <c r="AC409" s="48" t="str">
        <f t="shared" si="94"/>
        <v/>
      </c>
      <c r="AD409" s="48" t="str">
        <f t="shared" si="95"/>
        <v/>
      </c>
      <c r="AE409" s="48" t="str">
        <f t="shared" si="96"/>
        <v/>
      </c>
      <c r="AF409" s="48" t="str">
        <f t="shared" si="97"/>
        <v/>
      </c>
      <c r="AG409" s="48" t="str">
        <f t="shared" si="98"/>
        <v/>
      </c>
      <c r="AH409" s="48" t="str">
        <f t="shared" si="99"/>
        <v/>
      </c>
      <c r="AI409" s="48" t="str">
        <f t="shared" si="100"/>
        <v/>
      </c>
      <c r="AJ409" s="48" t="str">
        <f t="shared" si="103"/>
        <v/>
      </c>
      <c r="AK409" s="48" t="str">
        <f t="shared" si="104"/>
        <v/>
      </c>
      <c r="AL409" s="48" t="str">
        <f>IF(W409=0,"",_xlfn.CONCAT(DADOS!$A$8,Y409:AK409,"
"))</f>
        <v/>
      </c>
    </row>
    <row r="410" spans="4:38" s="48" customFormat="1" ht="15" customHeight="1" x14ac:dyDescent="0.25">
      <c r="D410" s="49"/>
      <c r="E410" s="43"/>
      <c r="F410" s="20"/>
      <c r="G410" s="14"/>
      <c r="H410" s="20"/>
      <c r="I410" s="15"/>
      <c r="J410" s="16"/>
      <c r="K410" s="14"/>
      <c r="L410" s="17"/>
      <c r="M410" s="18"/>
      <c r="N410" s="17"/>
      <c r="O410" s="18"/>
      <c r="P410" s="19"/>
      <c r="Q410" s="17"/>
      <c r="R410" s="40"/>
      <c r="S410" s="42">
        <v>396</v>
      </c>
      <c r="T410" s="40"/>
      <c r="V410" s="48" t="str">
        <f t="shared" si="101"/>
        <v/>
      </c>
      <c r="W410" s="48">
        <f t="shared" si="90"/>
        <v>0</v>
      </c>
      <c r="Y410" s="48" t="str">
        <f t="shared" si="91"/>
        <v/>
      </c>
      <c r="Z410" s="48" t="str">
        <f t="shared" si="92"/>
        <v/>
      </c>
      <c r="AA410" s="48" t="str">
        <f t="shared" si="93"/>
        <v/>
      </c>
      <c r="AB410" s="48" t="str">
        <f t="shared" si="102"/>
        <v/>
      </c>
      <c r="AC410" s="48" t="str">
        <f t="shared" si="94"/>
        <v/>
      </c>
      <c r="AD410" s="48" t="str">
        <f t="shared" si="95"/>
        <v/>
      </c>
      <c r="AE410" s="48" t="str">
        <f t="shared" si="96"/>
        <v/>
      </c>
      <c r="AF410" s="48" t="str">
        <f t="shared" si="97"/>
        <v/>
      </c>
      <c r="AG410" s="48" t="str">
        <f t="shared" si="98"/>
        <v/>
      </c>
      <c r="AH410" s="48" t="str">
        <f t="shared" si="99"/>
        <v/>
      </c>
      <c r="AI410" s="48" t="str">
        <f t="shared" si="100"/>
        <v/>
      </c>
      <c r="AJ410" s="48" t="str">
        <f t="shared" si="103"/>
        <v/>
      </c>
      <c r="AK410" s="48" t="str">
        <f t="shared" si="104"/>
        <v/>
      </c>
      <c r="AL410" s="48" t="str">
        <f>IF(W410=0,"",_xlfn.CONCAT(DADOS!$A$8,Y410:AK410,"
"))</f>
        <v/>
      </c>
    </row>
    <row r="411" spans="4:38" s="48" customFormat="1" ht="15" customHeight="1" x14ac:dyDescent="0.25">
      <c r="D411" s="49"/>
      <c r="E411" s="43"/>
      <c r="F411" s="20"/>
      <c r="G411" s="14"/>
      <c r="H411" s="20"/>
      <c r="I411" s="15"/>
      <c r="J411" s="16"/>
      <c r="K411" s="14"/>
      <c r="L411" s="17"/>
      <c r="M411" s="18"/>
      <c r="N411" s="17"/>
      <c r="O411" s="18"/>
      <c r="P411" s="19"/>
      <c r="Q411" s="17"/>
      <c r="R411" s="40"/>
      <c r="S411" s="42">
        <v>397</v>
      </c>
      <c r="T411" s="40"/>
      <c r="V411" s="48" t="str">
        <f t="shared" si="101"/>
        <v/>
      </c>
      <c r="W411" s="48">
        <f t="shared" si="90"/>
        <v>0</v>
      </c>
      <c r="Y411" s="48" t="str">
        <f t="shared" si="91"/>
        <v/>
      </c>
      <c r="Z411" s="48" t="str">
        <f t="shared" si="92"/>
        <v/>
      </c>
      <c r="AA411" s="48" t="str">
        <f t="shared" si="93"/>
        <v/>
      </c>
      <c r="AB411" s="48" t="str">
        <f t="shared" si="102"/>
        <v/>
      </c>
      <c r="AC411" s="48" t="str">
        <f t="shared" si="94"/>
        <v/>
      </c>
      <c r="AD411" s="48" t="str">
        <f t="shared" si="95"/>
        <v/>
      </c>
      <c r="AE411" s="48" t="str">
        <f t="shared" si="96"/>
        <v/>
      </c>
      <c r="AF411" s="48" t="str">
        <f t="shared" si="97"/>
        <v/>
      </c>
      <c r="AG411" s="48" t="str">
        <f t="shared" si="98"/>
        <v/>
      </c>
      <c r="AH411" s="48" t="str">
        <f t="shared" si="99"/>
        <v/>
      </c>
      <c r="AI411" s="48" t="str">
        <f t="shared" si="100"/>
        <v/>
      </c>
      <c r="AJ411" s="48" t="str">
        <f t="shared" si="103"/>
        <v/>
      </c>
      <c r="AK411" s="48" t="str">
        <f t="shared" si="104"/>
        <v/>
      </c>
      <c r="AL411" s="48" t="str">
        <f>IF(W411=0,"",_xlfn.CONCAT(DADOS!$A$8,Y411:AK411,"
"))</f>
        <v/>
      </c>
    </row>
    <row r="412" spans="4:38" s="48" customFormat="1" ht="15" customHeight="1" x14ac:dyDescent="0.25">
      <c r="D412" s="49"/>
      <c r="E412" s="43"/>
      <c r="F412" s="20"/>
      <c r="G412" s="14"/>
      <c r="H412" s="20"/>
      <c r="I412" s="15"/>
      <c r="J412" s="16"/>
      <c r="K412" s="14"/>
      <c r="L412" s="17"/>
      <c r="M412" s="18"/>
      <c r="N412" s="17"/>
      <c r="O412" s="18"/>
      <c r="P412" s="19"/>
      <c r="Q412" s="17"/>
      <c r="R412" s="40"/>
      <c r="S412" s="42">
        <v>398</v>
      </c>
      <c r="T412" s="40"/>
      <c r="V412" s="48" t="str">
        <f t="shared" si="101"/>
        <v/>
      </c>
      <c r="W412" s="48">
        <f t="shared" si="90"/>
        <v>0</v>
      </c>
      <c r="Y412" s="48" t="str">
        <f t="shared" si="91"/>
        <v/>
      </c>
      <c r="Z412" s="48" t="str">
        <f t="shared" si="92"/>
        <v/>
      </c>
      <c r="AA412" s="48" t="str">
        <f t="shared" si="93"/>
        <v/>
      </c>
      <c r="AB412" s="48" t="str">
        <f t="shared" si="102"/>
        <v/>
      </c>
      <c r="AC412" s="48" t="str">
        <f t="shared" si="94"/>
        <v/>
      </c>
      <c r="AD412" s="48" t="str">
        <f t="shared" si="95"/>
        <v/>
      </c>
      <c r="AE412" s="48" t="str">
        <f t="shared" si="96"/>
        <v/>
      </c>
      <c r="AF412" s="48" t="str">
        <f t="shared" si="97"/>
        <v/>
      </c>
      <c r="AG412" s="48" t="str">
        <f t="shared" si="98"/>
        <v/>
      </c>
      <c r="AH412" s="48" t="str">
        <f t="shared" si="99"/>
        <v/>
      </c>
      <c r="AI412" s="48" t="str">
        <f t="shared" si="100"/>
        <v/>
      </c>
      <c r="AJ412" s="48" t="str">
        <f t="shared" si="103"/>
        <v/>
      </c>
      <c r="AK412" s="48" t="str">
        <f t="shared" si="104"/>
        <v/>
      </c>
      <c r="AL412" s="48" t="str">
        <f>IF(W412=0,"",_xlfn.CONCAT(DADOS!$A$8,Y412:AK412,"
"))</f>
        <v/>
      </c>
    </row>
    <row r="413" spans="4:38" s="48" customFormat="1" ht="15" customHeight="1" x14ac:dyDescent="0.25">
      <c r="D413" s="49"/>
      <c r="E413" s="43"/>
      <c r="F413" s="20"/>
      <c r="G413" s="14"/>
      <c r="H413" s="20"/>
      <c r="I413" s="15"/>
      <c r="J413" s="16"/>
      <c r="K413" s="14"/>
      <c r="L413" s="17"/>
      <c r="M413" s="18"/>
      <c r="N413" s="17"/>
      <c r="O413" s="18"/>
      <c r="P413" s="19"/>
      <c r="Q413" s="17"/>
      <c r="R413" s="40"/>
      <c r="S413" s="42">
        <v>399</v>
      </c>
      <c r="T413" s="40"/>
      <c r="V413" s="48" t="str">
        <f t="shared" si="101"/>
        <v/>
      </c>
      <c r="W413" s="48">
        <f t="shared" si="90"/>
        <v>0</v>
      </c>
      <c r="Y413" s="48" t="str">
        <f t="shared" si="91"/>
        <v/>
      </c>
      <c r="Z413" s="48" t="str">
        <f t="shared" si="92"/>
        <v/>
      </c>
      <c r="AA413" s="48" t="str">
        <f t="shared" si="93"/>
        <v/>
      </c>
      <c r="AB413" s="48" t="str">
        <f t="shared" si="102"/>
        <v/>
      </c>
      <c r="AC413" s="48" t="str">
        <f t="shared" si="94"/>
        <v/>
      </c>
      <c r="AD413" s="48" t="str">
        <f t="shared" si="95"/>
        <v/>
      </c>
      <c r="AE413" s="48" t="str">
        <f t="shared" si="96"/>
        <v/>
      </c>
      <c r="AF413" s="48" t="str">
        <f t="shared" si="97"/>
        <v/>
      </c>
      <c r="AG413" s="48" t="str">
        <f t="shared" si="98"/>
        <v/>
      </c>
      <c r="AH413" s="48" t="str">
        <f t="shared" si="99"/>
        <v/>
      </c>
      <c r="AI413" s="48" t="str">
        <f t="shared" si="100"/>
        <v/>
      </c>
      <c r="AJ413" s="48" t="str">
        <f t="shared" si="103"/>
        <v/>
      </c>
      <c r="AK413" s="48" t="str">
        <f t="shared" si="104"/>
        <v/>
      </c>
      <c r="AL413" s="48" t="str">
        <f>IF(W413=0,"",_xlfn.CONCAT(DADOS!$A$8,Y413:AK413,"
"))</f>
        <v/>
      </c>
    </row>
    <row r="414" spans="4:38" s="48" customFormat="1" ht="15" customHeight="1" x14ac:dyDescent="0.25">
      <c r="D414" s="49"/>
      <c r="E414" s="43"/>
      <c r="F414" s="20"/>
      <c r="G414" s="14"/>
      <c r="H414" s="20"/>
      <c r="I414" s="15"/>
      <c r="J414" s="16"/>
      <c r="K414" s="14"/>
      <c r="L414" s="17"/>
      <c r="M414" s="18"/>
      <c r="N414" s="17"/>
      <c r="O414" s="18"/>
      <c r="P414" s="19"/>
      <c r="Q414" s="17"/>
      <c r="R414" s="40"/>
      <c r="S414" s="42">
        <v>400</v>
      </c>
      <c r="T414" s="40"/>
      <c r="V414" s="48" t="str">
        <f t="shared" si="101"/>
        <v/>
      </c>
      <c r="W414" s="48">
        <f t="shared" si="90"/>
        <v>0</v>
      </c>
      <c r="Y414" s="48" t="str">
        <f t="shared" si="91"/>
        <v/>
      </c>
      <c r="Z414" s="48" t="str">
        <f t="shared" si="92"/>
        <v/>
      </c>
      <c r="AA414" s="48" t="str">
        <f t="shared" si="93"/>
        <v/>
      </c>
      <c r="AB414" s="48" t="str">
        <f t="shared" si="102"/>
        <v/>
      </c>
      <c r="AC414" s="48" t="str">
        <f t="shared" si="94"/>
        <v/>
      </c>
      <c r="AD414" s="48" t="str">
        <f t="shared" si="95"/>
        <v/>
      </c>
      <c r="AE414" s="48" t="str">
        <f t="shared" si="96"/>
        <v/>
      </c>
      <c r="AF414" s="48" t="str">
        <f t="shared" si="97"/>
        <v/>
      </c>
      <c r="AG414" s="48" t="str">
        <f t="shared" si="98"/>
        <v/>
      </c>
      <c r="AH414" s="48" t="str">
        <f t="shared" si="99"/>
        <v/>
      </c>
      <c r="AI414" s="48" t="str">
        <f t="shared" si="100"/>
        <v/>
      </c>
      <c r="AJ414" s="48" t="str">
        <f t="shared" si="103"/>
        <v/>
      </c>
      <c r="AK414" s="48" t="str">
        <f t="shared" si="104"/>
        <v/>
      </c>
      <c r="AL414" s="48" t="str">
        <f>IF(W414=0,"",_xlfn.CONCAT(DADOS!$A$8,Y414:AK414,"
"))</f>
        <v/>
      </c>
    </row>
    <row r="415" spans="4:38" s="48" customFormat="1" ht="15" customHeight="1" x14ac:dyDescent="0.25">
      <c r="D415" s="49"/>
      <c r="E415" s="43"/>
      <c r="F415" s="20"/>
      <c r="G415" s="14"/>
      <c r="H415" s="20"/>
      <c r="I415" s="15"/>
      <c r="J415" s="16"/>
      <c r="K415" s="14"/>
      <c r="L415" s="17"/>
      <c r="M415" s="18"/>
      <c r="N415" s="17"/>
      <c r="O415" s="18"/>
      <c r="P415" s="19"/>
      <c r="Q415" s="17"/>
      <c r="R415" s="40"/>
      <c r="S415" s="42">
        <v>401</v>
      </c>
      <c r="T415" s="40"/>
      <c r="V415" s="48" t="str">
        <f t="shared" si="101"/>
        <v/>
      </c>
      <c r="W415" s="48">
        <f t="shared" si="90"/>
        <v>0</v>
      </c>
      <c r="Y415" s="48" t="str">
        <f t="shared" si="91"/>
        <v/>
      </c>
      <c r="Z415" s="48" t="str">
        <f t="shared" si="92"/>
        <v/>
      </c>
      <c r="AA415" s="48" t="str">
        <f t="shared" si="93"/>
        <v/>
      </c>
      <c r="AB415" s="48" t="str">
        <f t="shared" si="102"/>
        <v/>
      </c>
      <c r="AC415" s="48" t="str">
        <f t="shared" si="94"/>
        <v/>
      </c>
      <c r="AD415" s="48" t="str">
        <f t="shared" si="95"/>
        <v/>
      </c>
      <c r="AE415" s="48" t="str">
        <f t="shared" si="96"/>
        <v/>
      </c>
      <c r="AF415" s="48" t="str">
        <f t="shared" si="97"/>
        <v/>
      </c>
      <c r="AG415" s="48" t="str">
        <f t="shared" si="98"/>
        <v/>
      </c>
      <c r="AH415" s="48" t="str">
        <f t="shared" si="99"/>
        <v/>
      </c>
      <c r="AI415" s="48" t="str">
        <f t="shared" si="100"/>
        <v/>
      </c>
      <c r="AJ415" s="48" t="str">
        <f t="shared" si="103"/>
        <v/>
      </c>
      <c r="AK415" s="48" t="str">
        <f t="shared" si="104"/>
        <v/>
      </c>
      <c r="AL415" s="48" t="str">
        <f>IF(W415=0,"",_xlfn.CONCAT(DADOS!$A$8,Y415:AK415,"
"))</f>
        <v/>
      </c>
    </row>
    <row r="416" spans="4:38" s="48" customFormat="1" ht="15" customHeight="1" x14ac:dyDescent="0.25">
      <c r="D416" s="49"/>
      <c r="E416" s="43"/>
      <c r="F416" s="20"/>
      <c r="G416" s="14"/>
      <c r="H416" s="20"/>
      <c r="I416" s="15"/>
      <c r="J416" s="16"/>
      <c r="K416" s="14"/>
      <c r="L416" s="17"/>
      <c r="M416" s="18"/>
      <c r="N416" s="17"/>
      <c r="O416" s="18"/>
      <c r="P416" s="19"/>
      <c r="Q416" s="17"/>
      <c r="R416" s="40"/>
      <c r="S416" s="42">
        <v>402</v>
      </c>
      <c r="T416" s="40"/>
      <c r="V416" s="48" t="str">
        <f t="shared" si="101"/>
        <v/>
      </c>
      <c r="W416" s="48">
        <f t="shared" si="90"/>
        <v>0</v>
      </c>
      <c r="Y416" s="48" t="str">
        <f t="shared" si="91"/>
        <v/>
      </c>
      <c r="Z416" s="48" t="str">
        <f t="shared" si="92"/>
        <v/>
      </c>
      <c r="AA416" s="48" t="str">
        <f t="shared" si="93"/>
        <v/>
      </c>
      <c r="AB416" s="48" t="str">
        <f t="shared" si="102"/>
        <v/>
      </c>
      <c r="AC416" s="48" t="str">
        <f t="shared" si="94"/>
        <v/>
      </c>
      <c r="AD416" s="48" t="str">
        <f t="shared" si="95"/>
        <v/>
      </c>
      <c r="AE416" s="48" t="str">
        <f t="shared" si="96"/>
        <v/>
      </c>
      <c r="AF416" s="48" t="str">
        <f t="shared" si="97"/>
        <v/>
      </c>
      <c r="AG416" s="48" t="str">
        <f t="shared" si="98"/>
        <v/>
      </c>
      <c r="AH416" s="48" t="str">
        <f t="shared" si="99"/>
        <v/>
      </c>
      <c r="AI416" s="48" t="str">
        <f t="shared" si="100"/>
        <v/>
      </c>
      <c r="AJ416" s="48" t="str">
        <f t="shared" si="103"/>
        <v/>
      </c>
      <c r="AK416" s="48" t="str">
        <f t="shared" si="104"/>
        <v/>
      </c>
      <c r="AL416" s="48" t="str">
        <f>IF(W416=0,"",_xlfn.CONCAT(DADOS!$A$8,Y416:AK416,"
"))</f>
        <v/>
      </c>
    </row>
    <row r="417" spans="4:38" s="48" customFormat="1" ht="15" customHeight="1" x14ac:dyDescent="0.25">
      <c r="D417" s="49"/>
      <c r="E417" s="43"/>
      <c r="F417" s="20"/>
      <c r="G417" s="14"/>
      <c r="H417" s="20"/>
      <c r="I417" s="15"/>
      <c r="J417" s="16"/>
      <c r="K417" s="14"/>
      <c r="L417" s="17"/>
      <c r="M417" s="18"/>
      <c r="N417" s="17"/>
      <c r="O417" s="18"/>
      <c r="P417" s="19"/>
      <c r="Q417" s="17"/>
      <c r="R417" s="40"/>
      <c r="S417" s="42">
        <v>403</v>
      </c>
      <c r="T417" s="40"/>
      <c r="V417" s="48" t="str">
        <f t="shared" si="101"/>
        <v/>
      </c>
      <c r="W417" s="48">
        <f t="shared" si="90"/>
        <v>0</v>
      </c>
      <c r="Y417" s="48" t="str">
        <f t="shared" si="91"/>
        <v/>
      </c>
      <c r="Z417" s="48" t="str">
        <f t="shared" si="92"/>
        <v/>
      </c>
      <c r="AA417" s="48" t="str">
        <f t="shared" si="93"/>
        <v/>
      </c>
      <c r="AB417" s="48" t="str">
        <f t="shared" si="102"/>
        <v/>
      </c>
      <c r="AC417" s="48" t="str">
        <f t="shared" si="94"/>
        <v/>
      </c>
      <c r="AD417" s="48" t="str">
        <f t="shared" si="95"/>
        <v/>
      </c>
      <c r="AE417" s="48" t="str">
        <f t="shared" si="96"/>
        <v/>
      </c>
      <c r="AF417" s="48" t="str">
        <f t="shared" si="97"/>
        <v/>
      </c>
      <c r="AG417" s="48" t="str">
        <f t="shared" si="98"/>
        <v/>
      </c>
      <c r="AH417" s="48" t="str">
        <f t="shared" si="99"/>
        <v/>
      </c>
      <c r="AI417" s="48" t="str">
        <f t="shared" si="100"/>
        <v/>
      </c>
      <c r="AJ417" s="48" t="str">
        <f t="shared" si="103"/>
        <v/>
      </c>
      <c r="AK417" s="48" t="str">
        <f t="shared" si="104"/>
        <v/>
      </c>
      <c r="AL417" s="48" t="str">
        <f>IF(W417=0,"",_xlfn.CONCAT(DADOS!$A$8,Y417:AK417,"
"))</f>
        <v/>
      </c>
    </row>
    <row r="418" spans="4:38" s="48" customFormat="1" ht="15" customHeight="1" x14ac:dyDescent="0.25">
      <c r="D418" s="49"/>
      <c r="E418" s="43"/>
      <c r="F418" s="20"/>
      <c r="G418" s="14"/>
      <c r="H418" s="20"/>
      <c r="I418" s="15"/>
      <c r="J418" s="16"/>
      <c r="K418" s="14"/>
      <c r="L418" s="17"/>
      <c r="M418" s="18"/>
      <c r="N418" s="17"/>
      <c r="O418" s="18"/>
      <c r="P418" s="19"/>
      <c r="Q418" s="17"/>
      <c r="R418" s="40"/>
      <c r="S418" s="42">
        <v>404</v>
      </c>
      <c r="T418" s="40"/>
      <c r="V418" s="48" t="str">
        <f t="shared" si="101"/>
        <v/>
      </c>
      <c r="W418" s="48">
        <f t="shared" si="90"/>
        <v>0</v>
      </c>
      <c r="Y418" s="48" t="str">
        <f t="shared" si="91"/>
        <v/>
      </c>
      <c r="Z418" s="48" t="str">
        <f t="shared" si="92"/>
        <v/>
      </c>
      <c r="AA418" s="48" t="str">
        <f t="shared" si="93"/>
        <v/>
      </c>
      <c r="AB418" s="48" t="str">
        <f t="shared" si="102"/>
        <v/>
      </c>
      <c r="AC418" s="48" t="str">
        <f t="shared" si="94"/>
        <v/>
      </c>
      <c r="AD418" s="48" t="str">
        <f t="shared" si="95"/>
        <v/>
      </c>
      <c r="AE418" s="48" t="str">
        <f t="shared" si="96"/>
        <v/>
      </c>
      <c r="AF418" s="48" t="str">
        <f t="shared" si="97"/>
        <v/>
      </c>
      <c r="AG418" s="48" t="str">
        <f t="shared" si="98"/>
        <v/>
      </c>
      <c r="AH418" s="48" t="str">
        <f t="shared" si="99"/>
        <v/>
      </c>
      <c r="AI418" s="48" t="str">
        <f t="shared" si="100"/>
        <v/>
      </c>
      <c r="AJ418" s="48" t="str">
        <f t="shared" si="103"/>
        <v/>
      </c>
      <c r="AK418" s="48" t="str">
        <f t="shared" si="104"/>
        <v/>
      </c>
      <c r="AL418" s="48" t="str">
        <f>IF(W418=0,"",_xlfn.CONCAT(DADOS!$A$8,Y418:AK418,"
"))</f>
        <v/>
      </c>
    </row>
    <row r="419" spans="4:38" s="48" customFormat="1" ht="15" customHeight="1" x14ac:dyDescent="0.25">
      <c r="D419" s="49"/>
      <c r="E419" s="43"/>
      <c r="F419" s="20"/>
      <c r="G419" s="14"/>
      <c r="H419" s="20"/>
      <c r="I419" s="15"/>
      <c r="J419" s="16"/>
      <c r="K419" s="14"/>
      <c r="L419" s="17"/>
      <c r="M419" s="18"/>
      <c r="N419" s="17"/>
      <c r="O419" s="18"/>
      <c r="P419" s="19"/>
      <c r="Q419" s="17"/>
      <c r="R419" s="40"/>
      <c r="S419" s="42">
        <v>405</v>
      </c>
      <c r="T419" s="40"/>
      <c r="V419" s="48" t="str">
        <f t="shared" si="101"/>
        <v/>
      </c>
      <c r="W419" s="48">
        <f t="shared" si="90"/>
        <v>0</v>
      </c>
      <c r="Y419" s="48" t="str">
        <f t="shared" si="91"/>
        <v/>
      </c>
      <c r="Z419" s="48" t="str">
        <f t="shared" si="92"/>
        <v/>
      </c>
      <c r="AA419" s="48" t="str">
        <f t="shared" si="93"/>
        <v/>
      </c>
      <c r="AB419" s="48" t="str">
        <f t="shared" si="102"/>
        <v/>
      </c>
      <c r="AC419" s="48" t="str">
        <f t="shared" si="94"/>
        <v/>
      </c>
      <c r="AD419" s="48" t="str">
        <f t="shared" si="95"/>
        <v/>
      </c>
      <c r="AE419" s="48" t="str">
        <f t="shared" si="96"/>
        <v/>
      </c>
      <c r="AF419" s="48" t="str">
        <f t="shared" si="97"/>
        <v/>
      </c>
      <c r="AG419" s="48" t="str">
        <f t="shared" si="98"/>
        <v/>
      </c>
      <c r="AH419" s="48" t="str">
        <f t="shared" si="99"/>
        <v/>
      </c>
      <c r="AI419" s="48" t="str">
        <f t="shared" si="100"/>
        <v/>
      </c>
      <c r="AJ419" s="48" t="str">
        <f t="shared" si="103"/>
        <v/>
      </c>
      <c r="AK419" s="48" t="str">
        <f t="shared" si="104"/>
        <v/>
      </c>
      <c r="AL419" s="48" t="str">
        <f>IF(W419=0,"",_xlfn.CONCAT(DADOS!$A$8,Y419:AK419,"
"))</f>
        <v/>
      </c>
    </row>
    <row r="420" spans="4:38" s="48" customFormat="1" ht="15" customHeight="1" x14ac:dyDescent="0.25">
      <c r="D420" s="49"/>
      <c r="E420" s="43"/>
      <c r="F420" s="20"/>
      <c r="G420" s="14"/>
      <c r="H420" s="20"/>
      <c r="I420" s="15"/>
      <c r="J420" s="16"/>
      <c r="K420" s="14"/>
      <c r="L420" s="17"/>
      <c r="M420" s="18"/>
      <c r="N420" s="17"/>
      <c r="O420" s="18"/>
      <c r="P420" s="19"/>
      <c r="Q420" s="17"/>
      <c r="R420" s="40"/>
      <c r="S420" s="42">
        <v>406</v>
      </c>
      <c r="T420" s="40"/>
      <c r="V420" s="48" t="str">
        <f t="shared" si="101"/>
        <v/>
      </c>
      <c r="W420" s="48">
        <f t="shared" si="90"/>
        <v>0</v>
      </c>
      <c r="Y420" s="48" t="str">
        <f t="shared" si="91"/>
        <v/>
      </c>
      <c r="Z420" s="48" t="str">
        <f t="shared" si="92"/>
        <v/>
      </c>
      <c r="AA420" s="48" t="str">
        <f t="shared" si="93"/>
        <v/>
      </c>
      <c r="AB420" s="48" t="str">
        <f t="shared" si="102"/>
        <v/>
      </c>
      <c r="AC420" s="48" t="str">
        <f t="shared" si="94"/>
        <v/>
      </c>
      <c r="AD420" s="48" t="str">
        <f t="shared" si="95"/>
        <v/>
      </c>
      <c r="AE420" s="48" t="str">
        <f t="shared" si="96"/>
        <v/>
      </c>
      <c r="AF420" s="48" t="str">
        <f t="shared" si="97"/>
        <v/>
      </c>
      <c r="AG420" s="48" t="str">
        <f t="shared" si="98"/>
        <v/>
      </c>
      <c r="AH420" s="48" t="str">
        <f t="shared" si="99"/>
        <v/>
      </c>
      <c r="AI420" s="48" t="str">
        <f t="shared" si="100"/>
        <v/>
      </c>
      <c r="AJ420" s="48" t="str">
        <f t="shared" si="103"/>
        <v/>
      </c>
      <c r="AK420" s="48" t="str">
        <f t="shared" si="104"/>
        <v/>
      </c>
      <c r="AL420" s="48" t="str">
        <f>IF(W420=0,"",_xlfn.CONCAT(DADOS!$A$8,Y420:AK420,"
"))</f>
        <v/>
      </c>
    </row>
    <row r="421" spans="4:38" s="48" customFormat="1" ht="15" customHeight="1" x14ac:dyDescent="0.25">
      <c r="D421" s="49"/>
      <c r="E421" s="43"/>
      <c r="F421" s="20"/>
      <c r="G421" s="14"/>
      <c r="H421" s="20"/>
      <c r="I421" s="15"/>
      <c r="J421" s="16"/>
      <c r="K421" s="14"/>
      <c r="L421" s="17"/>
      <c r="M421" s="18"/>
      <c r="N421" s="17"/>
      <c r="O421" s="18"/>
      <c r="P421" s="19"/>
      <c r="Q421" s="17"/>
      <c r="R421" s="40"/>
      <c r="S421" s="42">
        <v>407</v>
      </c>
      <c r="T421" s="40"/>
      <c r="V421" s="48" t="str">
        <f t="shared" si="101"/>
        <v/>
      </c>
      <c r="W421" s="48">
        <f t="shared" si="90"/>
        <v>0</v>
      </c>
      <c r="Y421" s="48" t="str">
        <f t="shared" si="91"/>
        <v/>
      </c>
      <c r="Z421" s="48" t="str">
        <f t="shared" si="92"/>
        <v/>
      </c>
      <c r="AA421" s="48" t="str">
        <f t="shared" si="93"/>
        <v/>
      </c>
      <c r="AB421" s="48" t="str">
        <f t="shared" si="102"/>
        <v/>
      </c>
      <c r="AC421" s="48" t="str">
        <f t="shared" si="94"/>
        <v/>
      </c>
      <c r="AD421" s="48" t="str">
        <f t="shared" si="95"/>
        <v/>
      </c>
      <c r="AE421" s="48" t="str">
        <f t="shared" si="96"/>
        <v/>
      </c>
      <c r="AF421" s="48" t="str">
        <f t="shared" si="97"/>
        <v/>
      </c>
      <c r="AG421" s="48" t="str">
        <f t="shared" si="98"/>
        <v/>
      </c>
      <c r="AH421" s="48" t="str">
        <f t="shared" si="99"/>
        <v/>
      </c>
      <c r="AI421" s="48" t="str">
        <f t="shared" si="100"/>
        <v/>
      </c>
      <c r="AJ421" s="48" t="str">
        <f t="shared" si="103"/>
        <v/>
      </c>
      <c r="AK421" s="48" t="str">
        <f t="shared" si="104"/>
        <v/>
      </c>
      <c r="AL421" s="48" t="str">
        <f>IF(W421=0,"",_xlfn.CONCAT(DADOS!$A$8,Y421:AK421,"
"))</f>
        <v/>
      </c>
    </row>
    <row r="422" spans="4:38" s="48" customFormat="1" ht="15" customHeight="1" x14ac:dyDescent="0.25">
      <c r="D422" s="49"/>
      <c r="E422" s="43"/>
      <c r="F422" s="20"/>
      <c r="G422" s="14"/>
      <c r="H422" s="20"/>
      <c r="I422" s="15"/>
      <c r="J422" s="16"/>
      <c r="K422" s="14"/>
      <c r="L422" s="17"/>
      <c r="M422" s="18"/>
      <c r="N422" s="17"/>
      <c r="O422" s="18"/>
      <c r="P422" s="19"/>
      <c r="Q422" s="17"/>
      <c r="R422" s="40"/>
      <c r="S422" s="42">
        <v>408</v>
      </c>
      <c r="T422" s="40"/>
      <c r="V422" s="48" t="str">
        <f t="shared" si="101"/>
        <v/>
      </c>
      <c r="W422" s="48">
        <f t="shared" si="90"/>
        <v>0</v>
      </c>
      <c r="Y422" s="48" t="str">
        <f t="shared" si="91"/>
        <v/>
      </c>
      <c r="Z422" s="48" t="str">
        <f t="shared" si="92"/>
        <v/>
      </c>
      <c r="AA422" s="48" t="str">
        <f t="shared" si="93"/>
        <v/>
      </c>
      <c r="AB422" s="48" t="str">
        <f t="shared" si="102"/>
        <v/>
      </c>
      <c r="AC422" s="48" t="str">
        <f t="shared" si="94"/>
        <v/>
      </c>
      <c r="AD422" s="48" t="str">
        <f t="shared" si="95"/>
        <v/>
      </c>
      <c r="AE422" s="48" t="str">
        <f t="shared" si="96"/>
        <v/>
      </c>
      <c r="AF422" s="48" t="str">
        <f t="shared" si="97"/>
        <v/>
      </c>
      <c r="AG422" s="48" t="str">
        <f t="shared" si="98"/>
        <v/>
      </c>
      <c r="AH422" s="48" t="str">
        <f t="shared" si="99"/>
        <v/>
      </c>
      <c r="AI422" s="48" t="str">
        <f t="shared" si="100"/>
        <v/>
      </c>
      <c r="AJ422" s="48" t="str">
        <f t="shared" si="103"/>
        <v/>
      </c>
      <c r="AK422" s="48" t="str">
        <f t="shared" si="104"/>
        <v/>
      </c>
      <c r="AL422" s="48" t="str">
        <f>IF(W422=0,"",_xlfn.CONCAT(DADOS!$A$8,Y422:AK422,"
"))</f>
        <v/>
      </c>
    </row>
    <row r="423" spans="4:38" s="48" customFormat="1" ht="15" customHeight="1" x14ac:dyDescent="0.25">
      <c r="D423" s="49"/>
      <c r="E423" s="43"/>
      <c r="F423" s="20"/>
      <c r="G423" s="14"/>
      <c r="H423" s="20"/>
      <c r="I423" s="15"/>
      <c r="J423" s="16"/>
      <c r="K423" s="14"/>
      <c r="L423" s="17"/>
      <c r="M423" s="18"/>
      <c r="N423" s="17"/>
      <c r="O423" s="18"/>
      <c r="P423" s="19"/>
      <c r="Q423" s="17"/>
      <c r="R423" s="40"/>
      <c r="S423" s="42">
        <v>409</v>
      </c>
      <c r="T423" s="40"/>
      <c r="V423" s="48" t="str">
        <f t="shared" si="101"/>
        <v/>
      </c>
      <c r="W423" s="48">
        <f t="shared" si="90"/>
        <v>0</v>
      </c>
      <c r="Y423" s="48" t="str">
        <f t="shared" si="91"/>
        <v/>
      </c>
      <c r="Z423" s="48" t="str">
        <f t="shared" si="92"/>
        <v/>
      </c>
      <c r="AA423" s="48" t="str">
        <f t="shared" si="93"/>
        <v/>
      </c>
      <c r="AB423" s="48" t="str">
        <f t="shared" si="102"/>
        <v/>
      </c>
      <c r="AC423" s="48" t="str">
        <f t="shared" si="94"/>
        <v/>
      </c>
      <c r="AD423" s="48" t="str">
        <f t="shared" si="95"/>
        <v/>
      </c>
      <c r="AE423" s="48" t="str">
        <f t="shared" si="96"/>
        <v/>
      </c>
      <c r="AF423" s="48" t="str">
        <f t="shared" si="97"/>
        <v/>
      </c>
      <c r="AG423" s="48" t="str">
        <f t="shared" si="98"/>
        <v/>
      </c>
      <c r="AH423" s="48" t="str">
        <f t="shared" si="99"/>
        <v/>
      </c>
      <c r="AI423" s="48" t="str">
        <f t="shared" si="100"/>
        <v/>
      </c>
      <c r="AJ423" s="48" t="str">
        <f t="shared" si="103"/>
        <v/>
      </c>
      <c r="AK423" s="48" t="str">
        <f t="shared" si="104"/>
        <v/>
      </c>
      <c r="AL423" s="48" t="str">
        <f>IF(W423=0,"",_xlfn.CONCAT(DADOS!$A$8,Y423:AK423,"
"))</f>
        <v/>
      </c>
    </row>
    <row r="424" spans="4:38" s="48" customFormat="1" ht="15" customHeight="1" x14ac:dyDescent="0.25">
      <c r="D424" s="49"/>
      <c r="E424" s="43"/>
      <c r="F424" s="20"/>
      <c r="G424" s="14"/>
      <c r="H424" s="20"/>
      <c r="I424" s="15"/>
      <c r="J424" s="16"/>
      <c r="K424" s="14"/>
      <c r="L424" s="17"/>
      <c r="M424" s="18"/>
      <c r="N424" s="17"/>
      <c r="O424" s="18"/>
      <c r="P424" s="19"/>
      <c r="Q424" s="17"/>
      <c r="R424" s="40"/>
      <c r="S424" s="42">
        <v>410</v>
      </c>
      <c r="T424" s="40"/>
      <c r="V424" s="48" t="str">
        <f t="shared" si="101"/>
        <v/>
      </c>
      <c r="W424" s="48">
        <f t="shared" si="90"/>
        <v>0</v>
      </c>
      <c r="Y424" s="48" t="str">
        <f t="shared" si="91"/>
        <v/>
      </c>
      <c r="Z424" s="48" t="str">
        <f t="shared" si="92"/>
        <v/>
      </c>
      <c r="AA424" s="48" t="str">
        <f t="shared" si="93"/>
        <v/>
      </c>
      <c r="AB424" s="48" t="str">
        <f t="shared" si="102"/>
        <v/>
      </c>
      <c r="AC424" s="48" t="str">
        <f t="shared" si="94"/>
        <v/>
      </c>
      <c r="AD424" s="48" t="str">
        <f t="shared" si="95"/>
        <v/>
      </c>
      <c r="AE424" s="48" t="str">
        <f t="shared" si="96"/>
        <v/>
      </c>
      <c r="AF424" s="48" t="str">
        <f t="shared" si="97"/>
        <v/>
      </c>
      <c r="AG424" s="48" t="str">
        <f t="shared" si="98"/>
        <v/>
      </c>
      <c r="AH424" s="48" t="str">
        <f t="shared" si="99"/>
        <v/>
      </c>
      <c r="AI424" s="48" t="str">
        <f t="shared" si="100"/>
        <v/>
      </c>
      <c r="AJ424" s="48" t="str">
        <f t="shared" si="103"/>
        <v/>
      </c>
      <c r="AK424" s="48" t="str">
        <f t="shared" si="104"/>
        <v/>
      </c>
      <c r="AL424" s="48" t="str">
        <f>IF(W424=0,"",_xlfn.CONCAT(DADOS!$A$8,Y424:AK424,"
"))</f>
        <v/>
      </c>
    </row>
    <row r="425" spans="4:38" s="48" customFormat="1" ht="15" customHeight="1" x14ac:dyDescent="0.25">
      <c r="D425" s="49"/>
      <c r="E425" s="43"/>
      <c r="F425" s="20"/>
      <c r="G425" s="14"/>
      <c r="H425" s="20"/>
      <c r="I425" s="15"/>
      <c r="J425" s="16"/>
      <c r="K425" s="14"/>
      <c r="L425" s="17"/>
      <c r="M425" s="18"/>
      <c r="N425" s="17"/>
      <c r="O425" s="18"/>
      <c r="P425" s="19"/>
      <c r="Q425" s="17"/>
      <c r="R425" s="40"/>
      <c r="S425" s="42">
        <v>411</v>
      </c>
      <c r="T425" s="40"/>
      <c r="V425" s="48" t="str">
        <f t="shared" si="101"/>
        <v/>
      </c>
      <c r="W425" s="48">
        <f t="shared" si="90"/>
        <v>0</v>
      </c>
      <c r="Y425" s="48" t="str">
        <f t="shared" si="91"/>
        <v/>
      </c>
      <c r="Z425" s="48" t="str">
        <f t="shared" si="92"/>
        <v/>
      </c>
      <c r="AA425" s="48" t="str">
        <f t="shared" si="93"/>
        <v/>
      </c>
      <c r="AB425" s="48" t="str">
        <f t="shared" si="102"/>
        <v/>
      </c>
      <c r="AC425" s="48" t="str">
        <f t="shared" si="94"/>
        <v/>
      </c>
      <c r="AD425" s="48" t="str">
        <f t="shared" si="95"/>
        <v/>
      </c>
      <c r="AE425" s="48" t="str">
        <f t="shared" si="96"/>
        <v/>
      </c>
      <c r="AF425" s="48" t="str">
        <f t="shared" si="97"/>
        <v/>
      </c>
      <c r="AG425" s="48" t="str">
        <f t="shared" si="98"/>
        <v/>
      </c>
      <c r="AH425" s="48" t="str">
        <f t="shared" si="99"/>
        <v/>
      </c>
      <c r="AI425" s="48" t="str">
        <f t="shared" si="100"/>
        <v/>
      </c>
      <c r="AJ425" s="48" t="str">
        <f t="shared" si="103"/>
        <v/>
      </c>
      <c r="AK425" s="48" t="str">
        <f t="shared" si="104"/>
        <v/>
      </c>
      <c r="AL425" s="48" t="str">
        <f>IF(W425=0,"",_xlfn.CONCAT(DADOS!$A$8,Y425:AK425,"
"))</f>
        <v/>
      </c>
    </row>
    <row r="426" spans="4:38" s="48" customFormat="1" ht="15" customHeight="1" x14ac:dyDescent="0.25">
      <c r="D426" s="49"/>
      <c r="E426" s="43"/>
      <c r="F426" s="20"/>
      <c r="G426" s="14"/>
      <c r="H426" s="20"/>
      <c r="I426" s="15"/>
      <c r="J426" s="16"/>
      <c r="K426" s="14"/>
      <c r="L426" s="17"/>
      <c r="M426" s="18"/>
      <c r="N426" s="17"/>
      <c r="O426" s="18"/>
      <c r="P426" s="19"/>
      <c r="Q426" s="17"/>
      <c r="R426" s="40"/>
      <c r="S426" s="42">
        <v>412</v>
      </c>
      <c r="T426" s="40"/>
      <c r="V426" s="48" t="str">
        <f t="shared" si="101"/>
        <v/>
      </c>
      <c r="W426" s="48">
        <f t="shared" si="90"/>
        <v>0</v>
      </c>
      <c r="Y426" s="48" t="str">
        <f t="shared" si="91"/>
        <v/>
      </c>
      <c r="Z426" s="48" t="str">
        <f t="shared" si="92"/>
        <v/>
      </c>
      <c r="AA426" s="48" t="str">
        <f t="shared" si="93"/>
        <v/>
      </c>
      <c r="AB426" s="48" t="str">
        <f t="shared" si="102"/>
        <v/>
      </c>
      <c r="AC426" s="48" t="str">
        <f t="shared" si="94"/>
        <v/>
      </c>
      <c r="AD426" s="48" t="str">
        <f t="shared" si="95"/>
        <v/>
      </c>
      <c r="AE426" s="48" t="str">
        <f t="shared" si="96"/>
        <v/>
      </c>
      <c r="AF426" s="48" t="str">
        <f t="shared" si="97"/>
        <v/>
      </c>
      <c r="AG426" s="48" t="str">
        <f t="shared" si="98"/>
        <v/>
      </c>
      <c r="AH426" s="48" t="str">
        <f t="shared" si="99"/>
        <v/>
      </c>
      <c r="AI426" s="48" t="str">
        <f t="shared" si="100"/>
        <v/>
      </c>
      <c r="AJ426" s="48" t="str">
        <f t="shared" si="103"/>
        <v/>
      </c>
      <c r="AK426" s="48" t="str">
        <f t="shared" si="104"/>
        <v/>
      </c>
      <c r="AL426" s="48" t="str">
        <f>IF(W426=0,"",_xlfn.CONCAT(DADOS!$A$8,Y426:AK426,"
"))</f>
        <v/>
      </c>
    </row>
    <row r="427" spans="4:38" s="48" customFormat="1" ht="15" customHeight="1" x14ac:dyDescent="0.25">
      <c r="D427" s="49"/>
      <c r="E427" s="43"/>
      <c r="F427" s="20"/>
      <c r="G427" s="14"/>
      <c r="H427" s="20"/>
      <c r="I427" s="15"/>
      <c r="J427" s="16"/>
      <c r="K427" s="14"/>
      <c r="L427" s="17"/>
      <c r="M427" s="18"/>
      <c r="N427" s="17"/>
      <c r="O427" s="18"/>
      <c r="P427" s="19"/>
      <c r="Q427" s="17"/>
      <c r="R427" s="40"/>
      <c r="S427" s="42">
        <v>413</v>
      </c>
      <c r="T427" s="40"/>
      <c r="V427" s="48" t="str">
        <f t="shared" si="101"/>
        <v/>
      </c>
      <c r="W427" s="48">
        <f t="shared" si="90"/>
        <v>0</v>
      </c>
      <c r="Y427" s="48" t="str">
        <f t="shared" si="91"/>
        <v/>
      </c>
      <c r="Z427" s="48" t="str">
        <f t="shared" si="92"/>
        <v/>
      </c>
      <c r="AA427" s="48" t="str">
        <f t="shared" si="93"/>
        <v/>
      </c>
      <c r="AB427" s="48" t="str">
        <f t="shared" si="102"/>
        <v/>
      </c>
      <c r="AC427" s="48" t="str">
        <f t="shared" si="94"/>
        <v/>
      </c>
      <c r="AD427" s="48" t="str">
        <f t="shared" si="95"/>
        <v/>
      </c>
      <c r="AE427" s="48" t="str">
        <f t="shared" si="96"/>
        <v/>
      </c>
      <c r="AF427" s="48" t="str">
        <f t="shared" si="97"/>
        <v/>
      </c>
      <c r="AG427" s="48" t="str">
        <f t="shared" si="98"/>
        <v/>
      </c>
      <c r="AH427" s="48" t="str">
        <f t="shared" si="99"/>
        <v/>
      </c>
      <c r="AI427" s="48" t="str">
        <f t="shared" si="100"/>
        <v/>
      </c>
      <c r="AJ427" s="48" t="str">
        <f t="shared" si="103"/>
        <v/>
      </c>
      <c r="AK427" s="48" t="str">
        <f t="shared" si="104"/>
        <v/>
      </c>
      <c r="AL427" s="48" t="str">
        <f>IF(W427=0,"",_xlfn.CONCAT(DADOS!$A$8,Y427:AK427,"
"))</f>
        <v/>
      </c>
    </row>
    <row r="428" spans="4:38" s="48" customFormat="1" ht="15" customHeight="1" x14ac:dyDescent="0.25">
      <c r="D428" s="49"/>
      <c r="E428" s="43"/>
      <c r="F428" s="20"/>
      <c r="G428" s="14"/>
      <c r="H428" s="20"/>
      <c r="I428" s="15"/>
      <c r="J428" s="16"/>
      <c r="K428" s="14"/>
      <c r="L428" s="17"/>
      <c r="M428" s="18"/>
      <c r="N428" s="17"/>
      <c r="O428" s="18"/>
      <c r="P428" s="19"/>
      <c r="Q428" s="17"/>
      <c r="R428" s="40"/>
      <c r="S428" s="42">
        <v>414</v>
      </c>
      <c r="T428" s="40"/>
      <c r="V428" s="48" t="str">
        <f t="shared" si="101"/>
        <v/>
      </c>
      <c r="W428" s="48">
        <f t="shared" si="90"/>
        <v>0</v>
      </c>
      <c r="Y428" s="48" t="str">
        <f t="shared" si="91"/>
        <v/>
      </c>
      <c r="Z428" s="48" t="str">
        <f t="shared" si="92"/>
        <v/>
      </c>
      <c r="AA428" s="48" t="str">
        <f t="shared" si="93"/>
        <v/>
      </c>
      <c r="AB428" s="48" t="str">
        <f t="shared" si="102"/>
        <v/>
      </c>
      <c r="AC428" s="48" t="str">
        <f t="shared" si="94"/>
        <v/>
      </c>
      <c r="AD428" s="48" t="str">
        <f t="shared" si="95"/>
        <v/>
      </c>
      <c r="AE428" s="48" t="str">
        <f t="shared" si="96"/>
        <v/>
      </c>
      <c r="AF428" s="48" t="str">
        <f t="shared" si="97"/>
        <v/>
      </c>
      <c r="AG428" s="48" t="str">
        <f t="shared" si="98"/>
        <v/>
      </c>
      <c r="AH428" s="48" t="str">
        <f t="shared" si="99"/>
        <v/>
      </c>
      <c r="AI428" s="48" t="str">
        <f t="shared" si="100"/>
        <v/>
      </c>
      <c r="AJ428" s="48" t="str">
        <f t="shared" si="103"/>
        <v/>
      </c>
      <c r="AK428" s="48" t="str">
        <f t="shared" si="104"/>
        <v/>
      </c>
      <c r="AL428" s="48" t="str">
        <f>IF(W428=0,"",_xlfn.CONCAT(DADOS!$A$8,Y428:AK428,"
"))</f>
        <v/>
      </c>
    </row>
    <row r="429" spans="4:38" s="48" customFormat="1" ht="15" customHeight="1" x14ac:dyDescent="0.25">
      <c r="D429" s="49"/>
      <c r="E429" s="43"/>
      <c r="F429" s="20"/>
      <c r="G429" s="14"/>
      <c r="H429" s="20"/>
      <c r="I429" s="15"/>
      <c r="J429" s="16"/>
      <c r="K429" s="14"/>
      <c r="L429" s="17"/>
      <c r="M429" s="18"/>
      <c r="N429" s="17"/>
      <c r="O429" s="18"/>
      <c r="P429" s="19"/>
      <c r="Q429" s="17"/>
      <c r="R429" s="40"/>
      <c r="S429" s="42">
        <v>415</v>
      </c>
      <c r="T429" s="40"/>
      <c r="V429" s="48" t="str">
        <f t="shared" si="101"/>
        <v/>
      </c>
      <c r="W429" s="48">
        <f t="shared" si="90"/>
        <v>0</v>
      </c>
      <c r="Y429" s="48" t="str">
        <f t="shared" si="91"/>
        <v/>
      </c>
      <c r="Z429" s="48" t="str">
        <f t="shared" si="92"/>
        <v/>
      </c>
      <c r="AA429" s="48" t="str">
        <f t="shared" si="93"/>
        <v/>
      </c>
      <c r="AB429" s="48" t="str">
        <f t="shared" si="102"/>
        <v/>
      </c>
      <c r="AC429" s="48" t="str">
        <f t="shared" si="94"/>
        <v/>
      </c>
      <c r="AD429" s="48" t="str">
        <f t="shared" si="95"/>
        <v/>
      </c>
      <c r="AE429" s="48" t="str">
        <f t="shared" si="96"/>
        <v/>
      </c>
      <c r="AF429" s="48" t="str">
        <f t="shared" si="97"/>
        <v/>
      </c>
      <c r="AG429" s="48" t="str">
        <f t="shared" si="98"/>
        <v/>
      </c>
      <c r="AH429" s="48" t="str">
        <f t="shared" si="99"/>
        <v/>
      </c>
      <c r="AI429" s="48" t="str">
        <f t="shared" si="100"/>
        <v/>
      </c>
      <c r="AJ429" s="48" t="str">
        <f t="shared" si="103"/>
        <v/>
      </c>
      <c r="AK429" s="48" t="str">
        <f t="shared" si="104"/>
        <v/>
      </c>
      <c r="AL429" s="48" t="str">
        <f>IF(W429=0,"",_xlfn.CONCAT(DADOS!$A$8,Y429:AK429,"
"))</f>
        <v/>
      </c>
    </row>
    <row r="430" spans="4:38" s="48" customFormat="1" ht="15" customHeight="1" x14ac:dyDescent="0.25">
      <c r="D430" s="49"/>
      <c r="E430" s="43"/>
      <c r="F430" s="20"/>
      <c r="G430" s="14"/>
      <c r="H430" s="20"/>
      <c r="I430" s="15"/>
      <c r="J430" s="16"/>
      <c r="K430" s="14"/>
      <c r="L430" s="17"/>
      <c r="M430" s="18"/>
      <c r="N430" s="17"/>
      <c r="O430" s="18"/>
      <c r="P430" s="19"/>
      <c r="Q430" s="17"/>
      <c r="R430" s="40"/>
      <c r="S430" s="42">
        <v>416</v>
      </c>
      <c r="T430" s="40"/>
      <c r="V430" s="48" t="str">
        <f t="shared" si="101"/>
        <v/>
      </c>
      <c r="W430" s="48">
        <f t="shared" si="90"/>
        <v>0</v>
      </c>
      <c r="Y430" s="48" t="str">
        <f t="shared" si="91"/>
        <v/>
      </c>
      <c r="Z430" s="48" t="str">
        <f t="shared" si="92"/>
        <v/>
      </c>
      <c r="AA430" s="48" t="str">
        <f t="shared" si="93"/>
        <v/>
      </c>
      <c r="AB430" s="48" t="str">
        <f t="shared" si="102"/>
        <v/>
      </c>
      <c r="AC430" s="48" t="str">
        <f t="shared" si="94"/>
        <v/>
      </c>
      <c r="AD430" s="48" t="str">
        <f t="shared" si="95"/>
        <v/>
      </c>
      <c r="AE430" s="48" t="str">
        <f t="shared" si="96"/>
        <v/>
      </c>
      <c r="AF430" s="48" t="str">
        <f t="shared" si="97"/>
        <v/>
      </c>
      <c r="AG430" s="48" t="str">
        <f t="shared" si="98"/>
        <v/>
      </c>
      <c r="AH430" s="48" t="str">
        <f t="shared" si="99"/>
        <v/>
      </c>
      <c r="AI430" s="48" t="str">
        <f t="shared" si="100"/>
        <v/>
      </c>
      <c r="AJ430" s="48" t="str">
        <f t="shared" si="103"/>
        <v/>
      </c>
      <c r="AK430" s="48" t="str">
        <f t="shared" si="104"/>
        <v/>
      </c>
      <c r="AL430" s="48" t="str">
        <f>IF(W430=0,"",_xlfn.CONCAT(DADOS!$A$8,Y430:AK430,"
"))</f>
        <v/>
      </c>
    </row>
    <row r="431" spans="4:38" s="48" customFormat="1" ht="15" customHeight="1" x14ac:dyDescent="0.25">
      <c r="D431" s="49"/>
      <c r="E431" s="43"/>
      <c r="F431" s="20"/>
      <c r="G431" s="14"/>
      <c r="H431" s="20"/>
      <c r="I431" s="15"/>
      <c r="J431" s="16"/>
      <c r="K431" s="14"/>
      <c r="L431" s="17"/>
      <c r="M431" s="18"/>
      <c r="N431" s="17"/>
      <c r="O431" s="18"/>
      <c r="P431" s="19"/>
      <c r="Q431" s="17"/>
      <c r="R431" s="40"/>
      <c r="S431" s="42">
        <v>417</v>
      </c>
      <c r="T431" s="40"/>
      <c r="V431" s="48" t="str">
        <f t="shared" si="101"/>
        <v/>
      </c>
      <c r="W431" s="48">
        <f t="shared" si="90"/>
        <v>0</v>
      </c>
      <c r="Y431" s="48" t="str">
        <f t="shared" si="91"/>
        <v/>
      </c>
      <c r="Z431" s="48" t="str">
        <f t="shared" si="92"/>
        <v/>
      </c>
      <c r="AA431" s="48" t="str">
        <f t="shared" si="93"/>
        <v/>
      </c>
      <c r="AB431" s="48" t="str">
        <f t="shared" si="102"/>
        <v/>
      </c>
      <c r="AC431" s="48" t="str">
        <f t="shared" si="94"/>
        <v/>
      </c>
      <c r="AD431" s="48" t="str">
        <f t="shared" si="95"/>
        <v/>
      </c>
      <c r="AE431" s="48" t="str">
        <f t="shared" si="96"/>
        <v/>
      </c>
      <c r="AF431" s="48" t="str">
        <f t="shared" si="97"/>
        <v/>
      </c>
      <c r="AG431" s="48" t="str">
        <f t="shared" si="98"/>
        <v/>
      </c>
      <c r="AH431" s="48" t="str">
        <f t="shared" si="99"/>
        <v/>
      </c>
      <c r="AI431" s="48" t="str">
        <f t="shared" si="100"/>
        <v/>
      </c>
      <c r="AJ431" s="48" t="str">
        <f t="shared" si="103"/>
        <v/>
      </c>
      <c r="AK431" s="48" t="str">
        <f t="shared" si="104"/>
        <v/>
      </c>
      <c r="AL431" s="48" t="str">
        <f>IF(W431=0,"",_xlfn.CONCAT(DADOS!$A$8,Y431:AK431,"
"))</f>
        <v/>
      </c>
    </row>
    <row r="432" spans="4:38" s="48" customFormat="1" ht="15" customHeight="1" x14ac:dyDescent="0.25">
      <c r="D432" s="49"/>
      <c r="E432" s="43"/>
      <c r="F432" s="20"/>
      <c r="G432" s="14"/>
      <c r="H432" s="20"/>
      <c r="I432" s="15"/>
      <c r="J432" s="16"/>
      <c r="K432" s="14"/>
      <c r="L432" s="17"/>
      <c r="M432" s="18"/>
      <c r="N432" s="17"/>
      <c r="O432" s="18"/>
      <c r="P432" s="19"/>
      <c r="Q432" s="17"/>
      <c r="R432" s="40"/>
      <c r="S432" s="42">
        <v>418</v>
      </c>
      <c r="T432" s="40"/>
      <c r="V432" s="48" t="str">
        <f t="shared" si="101"/>
        <v/>
      </c>
      <c r="W432" s="48">
        <f t="shared" si="90"/>
        <v>0</v>
      </c>
      <c r="Y432" s="48" t="str">
        <f t="shared" si="91"/>
        <v/>
      </c>
      <c r="Z432" s="48" t="str">
        <f t="shared" si="92"/>
        <v/>
      </c>
      <c r="AA432" s="48" t="str">
        <f t="shared" si="93"/>
        <v/>
      </c>
      <c r="AB432" s="48" t="str">
        <f t="shared" si="102"/>
        <v/>
      </c>
      <c r="AC432" s="48" t="str">
        <f t="shared" si="94"/>
        <v/>
      </c>
      <c r="AD432" s="48" t="str">
        <f t="shared" si="95"/>
        <v/>
      </c>
      <c r="AE432" s="48" t="str">
        <f t="shared" si="96"/>
        <v/>
      </c>
      <c r="AF432" s="48" t="str">
        <f t="shared" si="97"/>
        <v/>
      </c>
      <c r="AG432" s="48" t="str">
        <f t="shared" si="98"/>
        <v/>
      </c>
      <c r="AH432" s="48" t="str">
        <f t="shared" si="99"/>
        <v/>
      </c>
      <c r="AI432" s="48" t="str">
        <f t="shared" si="100"/>
        <v/>
      </c>
      <c r="AJ432" s="48" t="str">
        <f t="shared" si="103"/>
        <v/>
      </c>
      <c r="AK432" s="48" t="str">
        <f t="shared" si="104"/>
        <v/>
      </c>
      <c r="AL432" s="48" t="str">
        <f>IF(W432=0,"",_xlfn.CONCAT(DADOS!$A$8,Y432:AK432,"
"))</f>
        <v/>
      </c>
    </row>
    <row r="433" spans="4:38" s="48" customFormat="1" ht="15" customHeight="1" x14ac:dyDescent="0.25">
      <c r="D433" s="49"/>
      <c r="E433" s="43"/>
      <c r="F433" s="20"/>
      <c r="G433" s="14"/>
      <c r="H433" s="20"/>
      <c r="I433" s="15"/>
      <c r="J433" s="16"/>
      <c r="K433" s="14"/>
      <c r="L433" s="17"/>
      <c r="M433" s="18"/>
      <c r="N433" s="17"/>
      <c r="O433" s="18"/>
      <c r="P433" s="19"/>
      <c r="Q433" s="17"/>
      <c r="R433" s="40"/>
      <c r="S433" s="42">
        <v>419</v>
      </c>
      <c r="T433" s="40"/>
      <c r="V433" s="48" t="str">
        <f t="shared" si="101"/>
        <v/>
      </c>
      <c r="W433" s="48">
        <f t="shared" si="90"/>
        <v>0</v>
      </c>
      <c r="Y433" s="48" t="str">
        <f t="shared" si="91"/>
        <v/>
      </c>
      <c r="Z433" s="48" t="str">
        <f t="shared" si="92"/>
        <v/>
      </c>
      <c r="AA433" s="48" t="str">
        <f t="shared" si="93"/>
        <v/>
      </c>
      <c r="AB433" s="48" t="str">
        <f t="shared" si="102"/>
        <v/>
      </c>
      <c r="AC433" s="48" t="str">
        <f t="shared" si="94"/>
        <v/>
      </c>
      <c r="AD433" s="48" t="str">
        <f t="shared" si="95"/>
        <v/>
      </c>
      <c r="AE433" s="48" t="str">
        <f t="shared" si="96"/>
        <v/>
      </c>
      <c r="AF433" s="48" t="str">
        <f t="shared" si="97"/>
        <v/>
      </c>
      <c r="AG433" s="48" t="str">
        <f t="shared" si="98"/>
        <v/>
      </c>
      <c r="AH433" s="48" t="str">
        <f t="shared" si="99"/>
        <v/>
      </c>
      <c r="AI433" s="48" t="str">
        <f t="shared" si="100"/>
        <v/>
      </c>
      <c r="AJ433" s="48" t="str">
        <f t="shared" si="103"/>
        <v/>
      </c>
      <c r="AK433" s="48" t="str">
        <f t="shared" si="104"/>
        <v/>
      </c>
      <c r="AL433" s="48" t="str">
        <f>IF(W433=0,"",_xlfn.CONCAT(DADOS!$A$8,Y433:AK433,"
"))</f>
        <v/>
      </c>
    </row>
    <row r="434" spans="4:38" s="48" customFormat="1" ht="15" customHeight="1" x14ac:dyDescent="0.25">
      <c r="D434" s="49"/>
      <c r="E434" s="43"/>
      <c r="F434" s="20"/>
      <c r="G434" s="14"/>
      <c r="H434" s="20"/>
      <c r="I434" s="15"/>
      <c r="J434" s="16"/>
      <c r="K434" s="14"/>
      <c r="L434" s="17"/>
      <c r="M434" s="18"/>
      <c r="N434" s="17"/>
      <c r="O434" s="18"/>
      <c r="P434" s="19"/>
      <c r="Q434" s="17"/>
      <c r="R434" s="40"/>
      <c r="S434" s="42">
        <v>420</v>
      </c>
      <c r="T434" s="40"/>
      <c r="V434" s="48" t="str">
        <f t="shared" si="101"/>
        <v/>
      </c>
      <c r="W434" s="48">
        <f t="shared" si="90"/>
        <v>0</v>
      </c>
      <c r="Y434" s="48" t="str">
        <f t="shared" si="91"/>
        <v/>
      </c>
      <c r="Z434" s="48" t="str">
        <f t="shared" si="92"/>
        <v/>
      </c>
      <c r="AA434" s="48" t="str">
        <f t="shared" si="93"/>
        <v/>
      </c>
      <c r="AB434" s="48" t="str">
        <f t="shared" si="102"/>
        <v/>
      </c>
      <c r="AC434" s="48" t="str">
        <f t="shared" si="94"/>
        <v/>
      </c>
      <c r="AD434" s="48" t="str">
        <f t="shared" si="95"/>
        <v/>
      </c>
      <c r="AE434" s="48" t="str">
        <f t="shared" si="96"/>
        <v/>
      </c>
      <c r="AF434" s="48" t="str">
        <f t="shared" si="97"/>
        <v/>
      </c>
      <c r="AG434" s="48" t="str">
        <f t="shared" si="98"/>
        <v/>
      </c>
      <c r="AH434" s="48" t="str">
        <f t="shared" si="99"/>
        <v/>
      </c>
      <c r="AI434" s="48" t="str">
        <f t="shared" si="100"/>
        <v/>
      </c>
      <c r="AJ434" s="48" t="str">
        <f t="shared" si="103"/>
        <v/>
      </c>
      <c r="AK434" s="48" t="str">
        <f t="shared" si="104"/>
        <v/>
      </c>
      <c r="AL434" s="48" t="str">
        <f>IF(W434=0,"",_xlfn.CONCAT(DADOS!$A$8,Y434:AK434,"
"))</f>
        <v/>
      </c>
    </row>
    <row r="435" spans="4:38" s="48" customFormat="1" ht="15" customHeight="1" x14ac:dyDescent="0.25">
      <c r="D435" s="49"/>
      <c r="E435" s="43"/>
      <c r="F435" s="20"/>
      <c r="G435" s="14"/>
      <c r="H435" s="20"/>
      <c r="I435" s="15"/>
      <c r="J435" s="16"/>
      <c r="K435" s="14"/>
      <c r="L435" s="17"/>
      <c r="M435" s="18"/>
      <c r="N435" s="17"/>
      <c r="O435" s="18"/>
      <c r="P435" s="19"/>
      <c r="Q435" s="17"/>
      <c r="R435" s="40"/>
      <c r="S435" s="42">
        <v>421</v>
      </c>
      <c r="T435" s="40"/>
      <c r="V435" s="48" t="str">
        <f t="shared" si="101"/>
        <v/>
      </c>
      <c r="W435" s="48">
        <f t="shared" si="90"/>
        <v>0</v>
      </c>
      <c r="Y435" s="48" t="str">
        <f t="shared" si="91"/>
        <v/>
      </c>
      <c r="Z435" s="48" t="str">
        <f t="shared" si="92"/>
        <v/>
      </c>
      <c r="AA435" s="48" t="str">
        <f t="shared" si="93"/>
        <v/>
      </c>
      <c r="AB435" s="48" t="str">
        <f t="shared" si="102"/>
        <v/>
      </c>
      <c r="AC435" s="48" t="str">
        <f t="shared" si="94"/>
        <v/>
      </c>
      <c r="AD435" s="48" t="str">
        <f t="shared" si="95"/>
        <v/>
      </c>
      <c r="AE435" s="48" t="str">
        <f t="shared" si="96"/>
        <v/>
      </c>
      <c r="AF435" s="48" t="str">
        <f t="shared" si="97"/>
        <v/>
      </c>
      <c r="AG435" s="48" t="str">
        <f t="shared" si="98"/>
        <v/>
      </c>
      <c r="AH435" s="48" t="str">
        <f t="shared" si="99"/>
        <v/>
      </c>
      <c r="AI435" s="48" t="str">
        <f t="shared" si="100"/>
        <v/>
      </c>
      <c r="AJ435" s="48" t="str">
        <f t="shared" si="103"/>
        <v/>
      </c>
      <c r="AK435" s="48" t="str">
        <f t="shared" si="104"/>
        <v/>
      </c>
      <c r="AL435" s="48" t="str">
        <f>IF(W435=0,"",_xlfn.CONCAT(DADOS!$A$8,Y435:AK435,"
"))</f>
        <v/>
      </c>
    </row>
    <row r="436" spans="4:38" s="48" customFormat="1" ht="15" customHeight="1" x14ac:dyDescent="0.25">
      <c r="D436" s="49"/>
      <c r="E436" s="43"/>
      <c r="F436" s="20"/>
      <c r="G436" s="14"/>
      <c r="H436" s="20"/>
      <c r="I436" s="15"/>
      <c r="J436" s="16"/>
      <c r="K436" s="14"/>
      <c r="L436" s="17"/>
      <c r="M436" s="18"/>
      <c r="N436" s="17"/>
      <c r="O436" s="18"/>
      <c r="P436" s="19"/>
      <c r="Q436" s="17"/>
      <c r="R436" s="40"/>
      <c r="S436" s="42">
        <v>422</v>
      </c>
      <c r="T436" s="40"/>
      <c r="V436" s="48" t="str">
        <f t="shared" si="101"/>
        <v/>
      </c>
      <c r="W436" s="48">
        <f t="shared" si="90"/>
        <v>0</v>
      </c>
      <c r="Y436" s="48" t="str">
        <f t="shared" si="91"/>
        <v/>
      </c>
      <c r="Z436" s="48" t="str">
        <f t="shared" si="92"/>
        <v/>
      </c>
      <c r="AA436" s="48" t="str">
        <f t="shared" si="93"/>
        <v/>
      </c>
      <c r="AB436" s="48" t="str">
        <f t="shared" si="102"/>
        <v/>
      </c>
      <c r="AC436" s="48" t="str">
        <f t="shared" si="94"/>
        <v/>
      </c>
      <c r="AD436" s="48" t="str">
        <f t="shared" si="95"/>
        <v/>
      </c>
      <c r="AE436" s="48" t="str">
        <f t="shared" si="96"/>
        <v/>
      </c>
      <c r="AF436" s="48" t="str">
        <f t="shared" si="97"/>
        <v/>
      </c>
      <c r="AG436" s="48" t="str">
        <f t="shared" si="98"/>
        <v/>
      </c>
      <c r="AH436" s="48" t="str">
        <f t="shared" si="99"/>
        <v/>
      </c>
      <c r="AI436" s="48" t="str">
        <f t="shared" si="100"/>
        <v/>
      </c>
      <c r="AJ436" s="48" t="str">
        <f t="shared" si="103"/>
        <v/>
      </c>
      <c r="AK436" s="48" t="str">
        <f t="shared" si="104"/>
        <v/>
      </c>
      <c r="AL436" s="48" t="str">
        <f>IF(W436=0,"",_xlfn.CONCAT(DADOS!$A$8,Y436:AK436,"
"))</f>
        <v/>
      </c>
    </row>
    <row r="437" spans="4:38" s="48" customFormat="1" ht="15" customHeight="1" x14ac:dyDescent="0.25">
      <c r="D437" s="49"/>
      <c r="E437" s="43"/>
      <c r="F437" s="20"/>
      <c r="G437" s="14"/>
      <c r="H437" s="20"/>
      <c r="I437" s="15"/>
      <c r="J437" s="16"/>
      <c r="K437" s="14"/>
      <c r="L437" s="17"/>
      <c r="M437" s="18"/>
      <c r="N437" s="17"/>
      <c r="O437" s="18"/>
      <c r="P437" s="19"/>
      <c r="Q437" s="17"/>
      <c r="R437" s="40"/>
      <c r="S437" s="42">
        <v>423</v>
      </c>
      <c r="T437" s="40"/>
      <c r="V437" s="48" t="str">
        <f t="shared" si="101"/>
        <v/>
      </c>
      <c r="W437" s="48">
        <f t="shared" si="90"/>
        <v>0</v>
      </c>
      <c r="Y437" s="48" t="str">
        <f t="shared" si="91"/>
        <v/>
      </c>
      <c r="Z437" s="48" t="str">
        <f t="shared" si="92"/>
        <v/>
      </c>
      <c r="AA437" s="48" t="str">
        <f t="shared" si="93"/>
        <v/>
      </c>
      <c r="AB437" s="48" t="str">
        <f t="shared" si="102"/>
        <v/>
      </c>
      <c r="AC437" s="48" t="str">
        <f t="shared" si="94"/>
        <v/>
      </c>
      <c r="AD437" s="48" t="str">
        <f t="shared" si="95"/>
        <v/>
      </c>
      <c r="AE437" s="48" t="str">
        <f t="shared" si="96"/>
        <v/>
      </c>
      <c r="AF437" s="48" t="str">
        <f t="shared" si="97"/>
        <v/>
      </c>
      <c r="AG437" s="48" t="str">
        <f t="shared" si="98"/>
        <v/>
      </c>
      <c r="AH437" s="48" t="str">
        <f t="shared" si="99"/>
        <v/>
      </c>
      <c r="AI437" s="48" t="str">
        <f t="shared" si="100"/>
        <v/>
      </c>
      <c r="AJ437" s="48" t="str">
        <f t="shared" si="103"/>
        <v/>
      </c>
      <c r="AK437" s="48" t="str">
        <f t="shared" si="104"/>
        <v/>
      </c>
      <c r="AL437" s="48" t="str">
        <f>IF(W437=0,"",_xlfn.CONCAT(DADOS!$A$8,Y437:AK437,"
"))</f>
        <v/>
      </c>
    </row>
    <row r="438" spans="4:38" s="48" customFormat="1" ht="15" customHeight="1" x14ac:dyDescent="0.25">
      <c r="D438" s="49"/>
      <c r="E438" s="43"/>
      <c r="F438" s="20"/>
      <c r="G438" s="14"/>
      <c r="H438" s="20"/>
      <c r="I438" s="15"/>
      <c r="J438" s="16"/>
      <c r="K438" s="14"/>
      <c r="L438" s="17"/>
      <c r="M438" s="18"/>
      <c r="N438" s="17"/>
      <c r="O438" s="18"/>
      <c r="P438" s="19"/>
      <c r="Q438" s="17"/>
      <c r="R438" s="40"/>
      <c r="S438" s="42">
        <v>424</v>
      </c>
      <c r="T438" s="40"/>
      <c r="V438" s="48" t="str">
        <f t="shared" si="101"/>
        <v/>
      </c>
      <c r="W438" s="48">
        <f t="shared" si="90"/>
        <v>0</v>
      </c>
      <c r="Y438" s="48" t="str">
        <f t="shared" si="91"/>
        <v/>
      </c>
      <c r="Z438" s="48" t="str">
        <f t="shared" si="92"/>
        <v/>
      </c>
      <c r="AA438" s="48" t="str">
        <f t="shared" si="93"/>
        <v/>
      </c>
      <c r="AB438" s="48" t="str">
        <f t="shared" si="102"/>
        <v/>
      </c>
      <c r="AC438" s="48" t="str">
        <f t="shared" si="94"/>
        <v/>
      </c>
      <c r="AD438" s="48" t="str">
        <f t="shared" si="95"/>
        <v/>
      </c>
      <c r="AE438" s="48" t="str">
        <f t="shared" si="96"/>
        <v/>
      </c>
      <c r="AF438" s="48" t="str">
        <f t="shared" si="97"/>
        <v/>
      </c>
      <c r="AG438" s="48" t="str">
        <f t="shared" si="98"/>
        <v/>
      </c>
      <c r="AH438" s="48" t="str">
        <f t="shared" si="99"/>
        <v/>
      </c>
      <c r="AI438" s="48" t="str">
        <f t="shared" si="100"/>
        <v/>
      </c>
      <c r="AJ438" s="48" t="str">
        <f t="shared" si="103"/>
        <v/>
      </c>
      <c r="AK438" s="48" t="str">
        <f t="shared" si="104"/>
        <v/>
      </c>
      <c r="AL438" s="48" t="str">
        <f>IF(W438=0,"",_xlfn.CONCAT(DADOS!$A$8,Y438:AK438,"
"))</f>
        <v/>
      </c>
    </row>
    <row r="439" spans="4:38" s="48" customFormat="1" ht="15" customHeight="1" x14ac:dyDescent="0.25">
      <c r="D439" s="49"/>
      <c r="E439" s="43"/>
      <c r="F439" s="20"/>
      <c r="G439" s="14"/>
      <c r="H439" s="20"/>
      <c r="I439" s="15"/>
      <c r="J439" s="16"/>
      <c r="K439" s="14"/>
      <c r="L439" s="17"/>
      <c r="M439" s="18"/>
      <c r="N439" s="17"/>
      <c r="O439" s="18"/>
      <c r="P439" s="19"/>
      <c r="Q439" s="17"/>
      <c r="R439" s="40"/>
      <c r="S439" s="42">
        <v>425</v>
      </c>
      <c r="T439" s="40"/>
      <c r="V439" s="48" t="str">
        <f t="shared" si="101"/>
        <v/>
      </c>
      <c r="W439" s="48">
        <f t="shared" si="90"/>
        <v>0</v>
      </c>
      <c r="Y439" s="48" t="str">
        <f t="shared" si="91"/>
        <v/>
      </c>
      <c r="Z439" s="48" t="str">
        <f t="shared" si="92"/>
        <v/>
      </c>
      <c r="AA439" s="48" t="str">
        <f t="shared" si="93"/>
        <v/>
      </c>
      <c r="AB439" s="48" t="str">
        <f t="shared" si="102"/>
        <v/>
      </c>
      <c r="AC439" s="48" t="str">
        <f t="shared" si="94"/>
        <v/>
      </c>
      <c r="AD439" s="48" t="str">
        <f t="shared" si="95"/>
        <v/>
      </c>
      <c r="AE439" s="48" t="str">
        <f t="shared" si="96"/>
        <v/>
      </c>
      <c r="AF439" s="48" t="str">
        <f t="shared" si="97"/>
        <v/>
      </c>
      <c r="AG439" s="48" t="str">
        <f t="shared" si="98"/>
        <v/>
      </c>
      <c r="AH439" s="48" t="str">
        <f t="shared" si="99"/>
        <v/>
      </c>
      <c r="AI439" s="48" t="str">
        <f t="shared" si="100"/>
        <v/>
      </c>
      <c r="AJ439" s="48" t="str">
        <f t="shared" si="103"/>
        <v/>
      </c>
      <c r="AK439" s="48" t="str">
        <f t="shared" si="104"/>
        <v/>
      </c>
      <c r="AL439" s="48" t="str">
        <f>IF(W439=0,"",_xlfn.CONCAT(DADOS!$A$8,Y439:AK439,"
"))</f>
        <v/>
      </c>
    </row>
    <row r="440" spans="4:38" s="48" customFormat="1" ht="15" customHeight="1" x14ac:dyDescent="0.25">
      <c r="D440" s="49"/>
      <c r="E440" s="43"/>
      <c r="F440" s="20"/>
      <c r="G440" s="14"/>
      <c r="H440" s="20"/>
      <c r="I440" s="15"/>
      <c r="J440" s="16"/>
      <c r="K440" s="14"/>
      <c r="L440" s="17"/>
      <c r="M440" s="18"/>
      <c r="N440" s="17"/>
      <c r="O440" s="18"/>
      <c r="P440" s="19"/>
      <c r="Q440" s="17"/>
      <c r="R440" s="40"/>
      <c r="S440" s="42">
        <v>426</v>
      </c>
      <c r="T440" s="40"/>
      <c r="V440" s="48" t="str">
        <f t="shared" si="101"/>
        <v/>
      </c>
      <c r="W440" s="48">
        <f t="shared" si="90"/>
        <v>0</v>
      </c>
      <c r="Y440" s="48" t="str">
        <f t="shared" si="91"/>
        <v/>
      </c>
      <c r="Z440" s="48" t="str">
        <f t="shared" si="92"/>
        <v/>
      </c>
      <c r="AA440" s="48" t="str">
        <f t="shared" si="93"/>
        <v/>
      </c>
      <c r="AB440" s="48" t="str">
        <f t="shared" si="102"/>
        <v/>
      </c>
      <c r="AC440" s="48" t="str">
        <f t="shared" si="94"/>
        <v/>
      </c>
      <c r="AD440" s="48" t="str">
        <f t="shared" si="95"/>
        <v/>
      </c>
      <c r="AE440" s="48" t="str">
        <f t="shared" si="96"/>
        <v/>
      </c>
      <c r="AF440" s="48" t="str">
        <f t="shared" si="97"/>
        <v/>
      </c>
      <c r="AG440" s="48" t="str">
        <f t="shared" si="98"/>
        <v/>
      </c>
      <c r="AH440" s="48" t="str">
        <f t="shared" si="99"/>
        <v/>
      </c>
      <c r="AI440" s="48" t="str">
        <f t="shared" si="100"/>
        <v/>
      </c>
      <c r="AJ440" s="48" t="str">
        <f t="shared" si="103"/>
        <v/>
      </c>
      <c r="AK440" s="48" t="str">
        <f t="shared" si="104"/>
        <v/>
      </c>
      <c r="AL440" s="48" t="str">
        <f>IF(W440=0,"",_xlfn.CONCAT(DADOS!$A$8,Y440:AK440,"
"))</f>
        <v/>
      </c>
    </row>
    <row r="441" spans="4:38" s="48" customFormat="1" ht="15" customHeight="1" x14ac:dyDescent="0.25">
      <c r="D441" s="49"/>
      <c r="E441" s="43"/>
      <c r="F441" s="20"/>
      <c r="G441" s="14"/>
      <c r="H441" s="20"/>
      <c r="I441" s="15"/>
      <c r="J441" s="16"/>
      <c r="K441" s="14"/>
      <c r="L441" s="17"/>
      <c r="M441" s="18"/>
      <c r="N441" s="17"/>
      <c r="O441" s="18"/>
      <c r="P441" s="19"/>
      <c r="Q441" s="17"/>
      <c r="R441" s="40"/>
      <c r="S441" s="42">
        <v>427</v>
      </c>
      <c r="T441" s="40"/>
      <c r="V441" s="48" t="str">
        <f t="shared" si="101"/>
        <v/>
      </c>
      <c r="W441" s="48">
        <f t="shared" si="90"/>
        <v>0</v>
      </c>
      <c r="Y441" s="48" t="str">
        <f t="shared" si="91"/>
        <v/>
      </c>
      <c r="Z441" s="48" t="str">
        <f t="shared" si="92"/>
        <v/>
      </c>
      <c r="AA441" s="48" t="str">
        <f t="shared" si="93"/>
        <v/>
      </c>
      <c r="AB441" s="48" t="str">
        <f t="shared" si="102"/>
        <v/>
      </c>
      <c r="AC441" s="48" t="str">
        <f t="shared" si="94"/>
        <v/>
      </c>
      <c r="AD441" s="48" t="str">
        <f t="shared" si="95"/>
        <v/>
      </c>
      <c r="AE441" s="48" t="str">
        <f t="shared" si="96"/>
        <v/>
      </c>
      <c r="AF441" s="48" t="str">
        <f t="shared" si="97"/>
        <v/>
      </c>
      <c r="AG441" s="48" t="str">
        <f t="shared" si="98"/>
        <v/>
      </c>
      <c r="AH441" s="48" t="str">
        <f t="shared" si="99"/>
        <v/>
      </c>
      <c r="AI441" s="48" t="str">
        <f t="shared" si="100"/>
        <v/>
      </c>
      <c r="AJ441" s="48" t="str">
        <f t="shared" si="103"/>
        <v/>
      </c>
      <c r="AK441" s="48" t="str">
        <f t="shared" si="104"/>
        <v/>
      </c>
      <c r="AL441" s="48" t="str">
        <f>IF(W441=0,"",_xlfn.CONCAT(DADOS!$A$8,Y441:AK441,"
"))</f>
        <v/>
      </c>
    </row>
    <row r="442" spans="4:38" s="48" customFormat="1" ht="15" customHeight="1" x14ac:dyDescent="0.25">
      <c r="D442" s="49"/>
      <c r="E442" s="43"/>
      <c r="F442" s="20"/>
      <c r="G442" s="14"/>
      <c r="H442" s="20"/>
      <c r="I442" s="15"/>
      <c r="J442" s="16"/>
      <c r="K442" s="14"/>
      <c r="L442" s="17"/>
      <c r="M442" s="18"/>
      <c r="N442" s="17"/>
      <c r="O442" s="18"/>
      <c r="P442" s="19"/>
      <c r="Q442" s="17"/>
      <c r="R442" s="40"/>
      <c r="S442" s="42">
        <v>428</v>
      </c>
      <c r="T442" s="40"/>
      <c r="V442" s="48" t="str">
        <f t="shared" si="101"/>
        <v/>
      </c>
      <c r="W442" s="48">
        <f t="shared" si="90"/>
        <v>0</v>
      </c>
      <c r="Y442" s="48" t="str">
        <f t="shared" si="91"/>
        <v/>
      </c>
      <c r="Z442" s="48" t="str">
        <f t="shared" si="92"/>
        <v/>
      </c>
      <c r="AA442" s="48" t="str">
        <f t="shared" si="93"/>
        <v/>
      </c>
      <c r="AB442" s="48" t="str">
        <f t="shared" si="102"/>
        <v/>
      </c>
      <c r="AC442" s="48" t="str">
        <f t="shared" si="94"/>
        <v/>
      </c>
      <c r="AD442" s="48" t="str">
        <f t="shared" si="95"/>
        <v/>
      </c>
      <c r="AE442" s="48" t="str">
        <f t="shared" si="96"/>
        <v/>
      </c>
      <c r="AF442" s="48" t="str">
        <f t="shared" si="97"/>
        <v/>
      </c>
      <c r="AG442" s="48" t="str">
        <f t="shared" si="98"/>
        <v/>
      </c>
      <c r="AH442" s="48" t="str">
        <f t="shared" si="99"/>
        <v/>
      </c>
      <c r="AI442" s="48" t="str">
        <f t="shared" si="100"/>
        <v/>
      </c>
      <c r="AJ442" s="48" t="str">
        <f t="shared" si="103"/>
        <v/>
      </c>
      <c r="AK442" s="48" t="str">
        <f t="shared" si="104"/>
        <v/>
      </c>
      <c r="AL442" s="48" t="str">
        <f>IF(W442=0,"",_xlfn.CONCAT(DADOS!$A$8,Y442:AK442,"
"))</f>
        <v/>
      </c>
    </row>
    <row r="443" spans="4:38" s="48" customFormat="1" ht="15" customHeight="1" x14ac:dyDescent="0.25">
      <c r="D443" s="49"/>
      <c r="E443" s="43"/>
      <c r="F443" s="20"/>
      <c r="G443" s="14"/>
      <c r="H443" s="20"/>
      <c r="I443" s="15"/>
      <c r="J443" s="16"/>
      <c r="K443" s="14"/>
      <c r="L443" s="17"/>
      <c r="M443" s="18"/>
      <c r="N443" s="17"/>
      <c r="O443" s="18"/>
      <c r="P443" s="19"/>
      <c r="Q443" s="17"/>
      <c r="R443" s="40"/>
      <c r="S443" s="42">
        <v>429</v>
      </c>
      <c r="T443" s="40"/>
      <c r="V443" s="48" t="str">
        <f t="shared" si="101"/>
        <v/>
      </c>
      <c r="W443" s="48">
        <f t="shared" si="90"/>
        <v>0</v>
      </c>
      <c r="Y443" s="48" t="str">
        <f t="shared" si="91"/>
        <v/>
      </c>
      <c r="Z443" s="48" t="str">
        <f t="shared" si="92"/>
        <v/>
      </c>
      <c r="AA443" s="48" t="str">
        <f t="shared" si="93"/>
        <v/>
      </c>
      <c r="AB443" s="48" t="str">
        <f t="shared" si="102"/>
        <v/>
      </c>
      <c r="AC443" s="48" t="str">
        <f t="shared" si="94"/>
        <v/>
      </c>
      <c r="AD443" s="48" t="str">
        <f t="shared" si="95"/>
        <v/>
      </c>
      <c r="AE443" s="48" t="str">
        <f t="shared" si="96"/>
        <v/>
      </c>
      <c r="AF443" s="48" t="str">
        <f t="shared" si="97"/>
        <v/>
      </c>
      <c r="AG443" s="48" t="str">
        <f t="shared" si="98"/>
        <v/>
      </c>
      <c r="AH443" s="48" t="str">
        <f t="shared" si="99"/>
        <v/>
      </c>
      <c r="AI443" s="48" t="str">
        <f t="shared" si="100"/>
        <v/>
      </c>
      <c r="AJ443" s="48" t="str">
        <f t="shared" si="103"/>
        <v/>
      </c>
      <c r="AK443" s="48" t="str">
        <f t="shared" si="104"/>
        <v/>
      </c>
      <c r="AL443" s="48" t="str">
        <f>IF(W443=0,"",_xlfn.CONCAT(DADOS!$A$8,Y443:AK443,"
"))</f>
        <v/>
      </c>
    </row>
    <row r="444" spans="4:38" s="48" customFormat="1" ht="15" customHeight="1" x14ac:dyDescent="0.25">
      <c r="D444" s="49"/>
      <c r="E444" s="43"/>
      <c r="F444" s="20"/>
      <c r="G444" s="14"/>
      <c r="H444" s="20"/>
      <c r="I444" s="15"/>
      <c r="J444" s="16"/>
      <c r="K444" s="14"/>
      <c r="L444" s="17"/>
      <c r="M444" s="18"/>
      <c r="N444" s="17"/>
      <c r="O444" s="18"/>
      <c r="P444" s="19"/>
      <c r="Q444" s="17"/>
      <c r="R444" s="40"/>
      <c r="S444" s="42">
        <v>430</v>
      </c>
      <c r="T444" s="40"/>
      <c r="V444" s="48" t="str">
        <f t="shared" si="101"/>
        <v/>
      </c>
      <c r="W444" s="48">
        <f t="shared" si="90"/>
        <v>0</v>
      </c>
      <c r="Y444" s="48" t="str">
        <f t="shared" si="91"/>
        <v/>
      </c>
      <c r="Z444" s="48" t="str">
        <f t="shared" si="92"/>
        <v/>
      </c>
      <c r="AA444" s="48" t="str">
        <f t="shared" si="93"/>
        <v/>
      </c>
      <c r="AB444" s="48" t="str">
        <f t="shared" si="102"/>
        <v/>
      </c>
      <c r="AC444" s="48" t="str">
        <f t="shared" si="94"/>
        <v/>
      </c>
      <c r="AD444" s="48" t="str">
        <f t="shared" si="95"/>
        <v/>
      </c>
      <c r="AE444" s="48" t="str">
        <f t="shared" si="96"/>
        <v/>
      </c>
      <c r="AF444" s="48" t="str">
        <f t="shared" si="97"/>
        <v/>
      </c>
      <c r="AG444" s="48" t="str">
        <f t="shared" si="98"/>
        <v/>
      </c>
      <c r="AH444" s="48" t="str">
        <f t="shared" si="99"/>
        <v/>
      </c>
      <c r="AI444" s="48" t="str">
        <f t="shared" si="100"/>
        <v/>
      </c>
      <c r="AJ444" s="48" t="str">
        <f t="shared" si="103"/>
        <v/>
      </c>
      <c r="AK444" s="48" t="str">
        <f t="shared" si="104"/>
        <v/>
      </c>
      <c r="AL444" s="48" t="str">
        <f>IF(W444=0,"",_xlfn.CONCAT(DADOS!$A$8,Y444:AK444,"
"))</f>
        <v/>
      </c>
    </row>
    <row r="445" spans="4:38" s="48" customFormat="1" ht="15" customHeight="1" x14ac:dyDescent="0.25">
      <c r="D445" s="49"/>
      <c r="E445" s="43"/>
      <c r="F445" s="20"/>
      <c r="G445" s="14"/>
      <c r="H445" s="20"/>
      <c r="I445" s="15"/>
      <c r="J445" s="16"/>
      <c r="K445" s="14"/>
      <c r="L445" s="17"/>
      <c r="M445" s="18"/>
      <c r="N445" s="17"/>
      <c r="O445" s="18"/>
      <c r="P445" s="19"/>
      <c r="Q445" s="17"/>
      <c r="R445" s="40"/>
      <c r="S445" s="42">
        <v>431</v>
      </c>
      <c r="T445" s="40"/>
      <c r="V445" s="48" t="str">
        <f t="shared" si="101"/>
        <v/>
      </c>
      <c r="W445" s="48">
        <f t="shared" si="90"/>
        <v>0</v>
      </c>
      <c r="Y445" s="48" t="str">
        <f t="shared" si="91"/>
        <v/>
      </c>
      <c r="Z445" s="48" t="str">
        <f t="shared" si="92"/>
        <v/>
      </c>
      <c r="AA445" s="48" t="str">
        <f t="shared" si="93"/>
        <v/>
      </c>
      <c r="AB445" s="48" t="str">
        <f t="shared" si="102"/>
        <v/>
      </c>
      <c r="AC445" s="48" t="str">
        <f t="shared" si="94"/>
        <v/>
      </c>
      <c r="AD445" s="48" t="str">
        <f t="shared" si="95"/>
        <v/>
      </c>
      <c r="AE445" s="48" t="str">
        <f t="shared" si="96"/>
        <v/>
      </c>
      <c r="AF445" s="48" t="str">
        <f t="shared" si="97"/>
        <v/>
      </c>
      <c r="AG445" s="48" t="str">
        <f t="shared" si="98"/>
        <v/>
      </c>
      <c r="AH445" s="48" t="str">
        <f t="shared" si="99"/>
        <v/>
      </c>
      <c r="AI445" s="48" t="str">
        <f t="shared" si="100"/>
        <v/>
      </c>
      <c r="AJ445" s="48" t="str">
        <f t="shared" si="103"/>
        <v/>
      </c>
      <c r="AK445" s="48" t="str">
        <f t="shared" si="104"/>
        <v/>
      </c>
      <c r="AL445" s="48" t="str">
        <f>IF(W445=0,"",_xlfn.CONCAT(DADOS!$A$8,Y445:AK445,"
"))</f>
        <v/>
      </c>
    </row>
    <row r="446" spans="4:38" s="48" customFormat="1" ht="15" customHeight="1" x14ac:dyDescent="0.25">
      <c r="D446" s="49"/>
      <c r="E446" s="43"/>
      <c r="F446" s="20"/>
      <c r="G446" s="14"/>
      <c r="H446" s="20"/>
      <c r="I446" s="15"/>
      <c r="J446" s="16"/>
      <c r="K446" s="14"/>
      <c r="L446" s="17"/>
      <c r="M446" s="18"/>
      <c r="N446" s="17"/>
      <c r="O446" s="18"/>
      <c r="P446" s="19"/>
      <c r="Q446" s="17"/>
      <c r="R446" s="40"/>
      <c r="S446" s="42">
        <v>432</v>
      </c>
      <c r="T446" s="40"/>
      <c r="V446" s="48" t="str">
        <f t="shared" si="101"/>
        <v/>
      </c>
      <c r="W446" s="48">
        <f t="shared" si="90"/>
        <v>0</v>
      </c>
      <c r="Y446" s="48" t="str">
        <f t="shared" si="91"/>
        <v/>
      </c>
      <c r="Z446" s="48" t="str">
        <f t="shared" si="92"/>
        <v/>
      </c>
      <c r="AA446" s="48" t="str">
        <f t="shared" si="93"/>
        <v/>
      </c>
      <c r="AB446" s="48" t="str">
        <f t="shared" si="102"/>
        <v/>
      </c>
      <c r="AC446" s="48" t="str">
        <f t="shared" si="94"/>
        <v/>
      </c>
      <c r="AD446" s="48" t="str">
        <f t="shared" si="95"/>
        <v/>
      </c>
      <c r="AE446" s="48" t="str">
        <f t="shared" si="96"/>
        <v/>
      </c>
      <c r="AF446" s="48" t="str">
        <f t="shared" si="97"/>
        <v/>
      </c>
      <c r="AG446" s="48" t="str">
        <f t="shared" si="98"/>
        <v/>
      </c>
      <c r="AH446" s="48" t="str">
        <f t="shared" si="99"/>
        <v/>
      </c>
      <c r="AI446" s="48" t="str">
        <f t="shared" si="100"/>
        <v/>
      </c>
      <c r="AJ446" s="48" t="str">
        <f t="shared" si="103"/>
        <v/>
      </c>
      <c r="AK446" s="48" t="str">
        <f t="shared" si="104"/>
        <v/>
      </c>
      <c r="AL446" s="48" t="str">
        <f>IF(W446=0,"",_xlfn.CONCAT(DADOS!$A$8,Y446:AK446,"
"))</f>
        <v/>
      </c>
    </row>
    <row r="447" spans="4:38" s="48" customFormat="1" ht="15" customHeight="1" x14ac:dyDescent="0.25">
      <c r="D447" s="49"/>
      <c r="E447" s="43"/>
      <c r="F447" s="20"/>
      <c r="G447" s="14"/>
      <c r="H447" s="20"/>
      <c r="I447" s="15"/>
      <c r="J447" s="16"/>
      <c r="K447" s="14"/>
      <c r="L447" s="17"/>
      <c r="M447" s="18"/>
      <c r="N447" s="17"/>
      <c r="O447" s="18"/>
      <c r="P447" s="19"/>
      <c r="Q447" s="17"/>
      <c r="R447" s="40"/>
      <c r="S447" s="42">
        <v>433</v>
      </c>
      <c r="T447" s="40"/>
      <c r="V447" s="48" t="str">
        <f t="shared" si="101"/>
        <v/>
      </c>
      <c r="W447" s="48">
        <f t="shared" si="90"/>
        <v>0</v>
      </c>
      <c r="Y447" s="48" t="str">
        <f t="shared" si="91"/>
        <v/>
      </c>
      <c r="Z447" s="48" t="str">
        <f t="shared" si="92"/>
        <v/>
      </c>
      <c r="AA447" s="48" t="str">
        <f t="shared" si="93"/>
        <v/>
      </c>
      <c r="AB447" s="48" t="str">
        <f t="shared" si="102"/>
        <v/>
      </c>
      <c r="AC447" s="48" t="str">
        <f t="shared" si="94"/>
        <v/>
      </c>
      <c r="AD447" s="48" t="str">
        <f t="shared" si="95"/>
        <v/>
      </c>
      <c r="AE447" s="48" t="str">
        <f t="shared" si="96"/>
        <v/>
      </c>
      <c r="AF447" s="48" t="str">
        <f t="shared" si="97"/>
        <v/>
      </c>
      <c r="AG447" s="48" t="str">
        <f t="shared" si="98"/>
        <v/>
      </c>
      <c r="AH447" s="48" t="str">
        <f t="shared" si="99"/>
        <v/>
      </c>
      <c r="AI447" s="48" t="str">
        <f t="shared" si="100"/>
        <v/>
      </c>
      <c r="AJ447" s="48" t="str">
        <f t="shared" si="103"/>
        <v/>
      </c>
      <c r="AK447" s="48" t="str">
        <f t="shared" si="104"/>
        <v/>
      </c>
      <c r="AL447" s="48" t="str">
        <f>IF(W447=0,"",_xlfn.CONCAT(DADOS!$A$8,Y447:AK447,"
"))</f>
        <v/>
      </c>
    </row>
    <row r="448" spans="4:38" s="48" customFormat="1" ht="15" customHeight="1" x14ac:dyDescent="0.25">
      <c r="D448" s="49"/>
      <c r="E448" s="43"/>
      <c r="F448" s="20"/>
      <c r="G448" s="14"/>
      <c r="H448" s="20"/>
      <c r="I448" s="15"/>
      <c r="J448" s="16"/>
      <c r="K448" s="14"/>
      <c r="L448" s="17"/>
      <c r="M448" s="18"/>
      <c r="N448" s="17"/>
      <c r="O448" s="18"/>
      <c r="P448" s="19"/>
      <c r="Q448" s="17"/>
      <c r="R448" s="40"/>
      <c r="S448" s="42">
        <v>434</v>
      </c>
      <c r="T448" s="40"/>
      <c r="V448" s="48" t="str">
        <f t="shared" si="101"/>
        <v/>
      </c>
      <c r="W448" s="48">
        <f t="shared" si="90"/>
        <v>0</v>
      </c>
      <c r="Y448" s="48" t="str">
        <f t="shared" si="91"/>
        <v/>
      </c>
      <c r="Z448" s="48" t="str">
        <f t="shared" si="92"/>
        <v/>
      </c>
      <c r="AA448" s="48" t="str">
        <f t="shared" si="93"/>
        <v/>
      </c>
      <c r="AB448" s="48" t="str">
        <f t="shared" si="102"/>
        <v/>
      </c>
      <c r="AC448" s="48" t="str">
        <f t="shared" si="94"/>
        <v/>
      </c>
      <c r="AD448" s="48" t="str">
        <f t="shared" si="95"/>
        <v/>
      </c>
      <c r="AE448" s="48" t="str">
        <f t="shared" si="96"/>
        <v/>
      </c>
      <c r="AF448" s="48" t="str">
        <f t="shared" si="97"/>
        <v/>
      </c>
      <c r="AG448" s="48" t="str">
        <f t="shared" si="98"/>
        <v/>
      </c>
      <c r="AH448" s="48" t="str">
        <f t="shared" si="99"/>
        <v/>
      </c>
      <c r="AI448" s="48" t="str">
        <f t="shared" si="100"/>
        <v/>
      </c>
      <c r="AJ448" s="48" t="str">
        <f t="shared" si="103"/>
        <v/>
      </c>
      <c r="AK448" s="48" t="str">
        <f t="shared" si="104"/>
        <v/>
      </c>
      <c r="AL448" s="48" t="str">
        <f>IF(W448=0,"",_xlfn.CONCAT(DADOS!$A$8,Y448:AK448,"
"))</f>
        <v/>
      </c>
    </row>
    <row r="449" spans="4:38" s="48" customFormat="1" ht="15" customHeight="1" x14ac:dyDescent="0.25">
      <c r="D449" s="49"/>
      <c r="E449" s="43"/>
      <c r="F449" s="20"/>
      <c r="G449" s="14"/>
      <c r="H449" s="20"/>
      <c r="I449" s="15"/>
      <c r="J449" s="16"/>
      <c r="K449" s="14"/>
      <c r="L449" s="17"/>
      <c r="M449" s="18"/>
      <c r="N449" s="17"/>
      <c r="O449" s="18"/>
      <c r="P449" s="19"/>
      <c r="Q449" s="17"/>
      <c r="R449" s="40"/>
      <c r="S449" s="42">
        <v>435</v>
      </c>
      <c r="T449" s="40"/>
      <c r="V449" s="48" t="str">
        <f t="shared" si="101"/>
        <v/>
      </c>
      <c r="W449" s="48">
        <f t="shared" si="90"/>
        <v>0</v>
      </c>
      <c r="Y449" s="48" t="str">
        <f t="shared" si="91"/>
        <v/>
      </c>
      <c r="Z449" s="48" t="str">
        <f t="shared" si="92"/>
        <v/>
      </c>
      <c r="AA449" s="48" t="str">
        <f t="shared" si="93"/>
        <v/>
      </c>
      <c r="AB449" s="48" t="str">
        <f t="shared" si="102"/>
        <v/>
      </c>
      <c r="AC449" s="48" t="str">
        <f t="shared" si="94"/>
        <v/>
      </c>
      <c r="AD449" s="48" t="str">
        <f t="shared" si="95"/>
        <v/>
      </c>
      <c r="AE449" s="48" t="str">
        <f t="shared" si="96"/>
        <v/>
      </c>
      <c r="AF449" s="48" t="str">
        <f t="shared" si="97"/>
        <v/>
      </c>
      <c r="AG449" s="48" t="str">
        <f t="shared" si="98"/>
        <v/>
      </c>
      <c r="AH449" s="48" t="str">
        <f t="shared" si="99"/>
        <v/>
      </c>
      <c r="AI449" s="48" t="str">
        <f t="shared" si="100"/>
        <v/>
      </c>
      <c r="AJ449" s="48" t="str">
        <f t="shared" si="103"/>
        <v/>
      </c>
      <c r="AK449" s="48" t="str">
        <f t="shared" si="104"/>
        <v/>
      </c>
      <c r="AL449" s="48" t="str">
        <f>IF(W449=0,"",_xlfn.CONCAT(DADOS!$A$8,Y449:AK449,"
"))</f>
        <v/>
      </c>
    </row>
    <row r="450" spans="4:38" s="48" customFormat="1" ht="15" customHeight="1" x14ac:dyDescent="0.25">
      <c r="D450" s="49"/>
      <c r="E450" s="43"/>
      <c r="F450" s="20"/>
      <c r="G450" s="14"/>
      <c r="H450" s="20"/>
      <c r="I450" s="15"/>
      <c r="J450" s="16"/>
      <c r="K450" s="14"/>
      <c r="L450" s="17"/>
      <c r="M450" s="18"/>
      <c r="N450" s="17"/>
      <c r="O450" s="18"/>
      <c r="P450" s="19"/>
      <c r="Q450" s="17"/>
      <c r="R450" s="40"/>
      <c r="S450" s="42">
        <v>436</v>
      </c>
      <c r="T450" s="40"/>
      <c r="V450" s="48" t="str">
        <f t="shared" si="101"/>
        <v/>
      </c>
      <c r="W450" s="48">
        <f t="shared" si="90"/>
        <v>0</v>
      </c>
      <c r="Y450" s="48" t="str">
        <f t="shared" si="91"/>
        <v/>
      </c>
      <c r="Z450" s="48" t="str">
        <f t="shared" si="92"/>
        <v/>
      </c>
      <c r="AA450" s="48" t="str">
        <f t="shared" si="93"/>
        <v/>
      </c>
      <c r="AB450" s="48" t="str">
        <f t="shared" si="102"/>
        <v/>
      </c>
      <c r="AC450" s="48" t="str">
        <f t="shared" si="94"/>
        <v/>
      </c>
      <c r="AD450" s="48" t="str">
        <f t="shared" si="95"/>
        <v/>
      </c>
      <c r="AE450" s="48" t="str">
        <f t="shared" si="96"/>
        <v/>
      </c>
      <c r="AF450" s="48" t="str">
        <f t="shared" si="97"/>
        <v/>
      </c>
      <c r="AG450" s="48" t="str">
        <f t="shared" si="98"/>
        <v/>
      </c>
      <c r="AH450" s="48" t="str">
        <f t="shared" si="99"/>
        <v/>
      </c>
      <c r="AI450" s="48" t="str">
        <f t="shared" si="100"/>
        <v/>
      </c>
      <c r="AJ450" s="48" t="str">
        <f t="shared" si="103"/>
        <v/>
      </c>
      <c r="AK450" s="48" t="str">
        <f t="shared" si="104"/>
        <v/>
      </c>
      <c r="AL450" s="48" t="str">
        <f>IF(W450=0,"",_xlfn.CONCAT(DADOS!$A$8,Y450:AK450,"
"))</f>
        <v/>
      </c>
    </row>
    <row r="451" spans="4:38" s="48" customFormat="1" ht="15" customHeight="1" x14ac:dyDescent="0.25">
      <c r="D451" s="49"/>
      <c r="E451" s="43"/>
      <c r="F451" s="20"/>
      <c r="G451" s="14"/>
      <c r="H451" s="20"/>
      <c r="I451" s="15"/>
      <c r="J451" s="16"/>
      <c r="K451" s="14"/>
      <c r="L451" s="17"/>
      <c r="M451" s="18"/>
      <c r="N451" s="17"/>
      <c r="O451" s="18"/>
      <c r="P451" s="19"/>
      <c r="Q451" s="17"/>
      <c r="R451" s="40"/>
      <c r="S451" s="42">
        <v>437</v>
      </c>
      <c r="T451" s="40"/>
      <c r="V451" s="48" t="str">
        <f t="shared" si="101"/>
        <v/>
      </c>
      <c r="W451" s="48">
        <f t="shared" si="90"/>
        <v>0</v>
      </c>
      <c r="Y451" s="48" t="str">
        <f t="shared" si="91"/>
        <v/>
      </c>
      <c r="Z451" s="48" t="str">
        <f t="shared" si="92"/>
        <v/>
      </c>
      <c r="AA451" s="48" t="str">
        <f t="shared" si="93"/>
        <v/>
      </c>
      <c r="AB451" s="48" t="str">
        <f t="shared" si="102"/>
        <v/>
      </c>
      <c r="AC451" s="48" t="str">
        <f t="shared" si="94"/>
        <v/>
      </c>
      <c r="AD451" s="48" t="str">
        <f t="shared" si="95"/>
        <v/>
      </c>
      <c r="AE451" s="48" t="str">
        <f t="shared" si="96"/>
        <v/>
      </c>
      <c r="AF451" s="48" t="str">
        <f t="shared" si="97"/>
        <v/>
      </c>
      <c r="AG451" s="48" t="str">
        <f t="shared" si="98"/>
        <v/>
      </c>
      <c r="AH451" s="48" t="str">
        <f t="shared" si="99"/>
        <v/>
      </c>
      <c r="AI451" s="48" t="str">
        <f t="shared" si="100"/>
        <v/>
      </c>
      <c r="AJ451" s="48" t="str">
        <f t="shared" si="103"/>
        <v/>
      </c>
      <c r="AK451" s="48" t="str">
        <f t="shared" si="104"/>
        <v/>
      </c>
      <c r="AL451" s="48" t="str">
        <f>IF(W451=0,"",_xlfn.CONCAT(DADOS!$A$8,Y451:AK451,"
"))</f>
        <v/>
      </c>
    </row>
    <row r="452" spans="4:38" s="48" customFormat="1" ht="15" customHeight="1" x14ac:dyDescent="0.25">
      <c r="D452" s="49"/>
      <c r="E452" s="43"/>
      <c r="F452" s="20"/>
      <c r="G452" s="14"/>
      <c r="H452" s="20"/>
      <c r="I452" s="15"/>
      <c r="J452" s="16"/>
      <c r="K452" s="14"/>
      <c r="L452" s="17"/>
      <c r="M452" s="18"/>
      <c r="N452" s="17"/>
      <c r="O452" s="18"/>
      <c r="P452" s="19"/>
      <c r="Q452" s="17"/>
      <c r="R452" s="40"/>
      <c r="S452" s="42">
        <v>438</v>
      </c>
      <c r="T452" s="40"/>
      <c r="V452" s="48" t="str">
        <f t="shared" si="101"/>
        <v/>
      </c>
      <c r="W452" s="48">
        <f t="shared" si="90"/>
        <v>0</v>
      </c>
      <c r="Y452" s="48" t="str">
        <f t="shared" si="91"/>
        <v/>
      </c>
      <c r="Z452" s="48" t="str">
        <f t="shared" si="92"/>
        <v/>
      </c>
      <c r="AA452" s="48" t="str">
        <f t="shared" si="93"/>
        <v/>
      </c>
      <c r="AB452" s="48" t="str">
        <f t="shared" si="102"/>
        <v/>
      </c>
      <c r="AC452" s="48" t="str">
        <f t="shared" si="94"/>
        <v/>
      </c>
      <c r="AD452" s="48" t="str">
        <f t="shared" si="95"/>
        <v/>
      </c>
      <c r="AE452" s="48" t="str">
        <f t="shared" si="96"/>
        <v/>
      </c>
      <c r="AF452" s="48" t="str">
        <f t="shared" si="97"/>
        <v/>
      </c>
      <c r="AG452" s="48" t="str">
        <f t="shared" si="98"/>
        <v/>
      </c>
      <c r="AH452" s="48" t="str">
        <f t="shared" si="99"/>
        <v/>
      </c>
      <c r="AI452" s="48" t="str">
        <f t="shared" si="100"/>
        <v/>
      </c>
      <c r="AJ452" s="48" t="str">
        <f t="shared" si="103"/>
        <v/>
      </c>
      <c r="AK452" s="48" t="str">
        <f t="shared" si="104"/>
        <v/>
      </c>
      <c r="AL452" s="48" t="str">
        <f>IF(W452=0,"",_xlfn.CONCAT(DADOS!$A$8,Y452:AK452,"
"))</f>
        <v/>
      </c>
    </row>
    <row r="453" spans="4:38" s="48" customFormat="1" ht="15" customHeight="1" x14ac:dyDescent="0.25">
      <c r="D453" s="49"/>
      <c r="E453" s="43"/>
      <c r="F453" s="20"/>
      <c r="G453" s="14"/>
      <c r="H453" s="20"/>
      <c r="I453" s="15"/>
      <c r="J453" s="16"/>
      <c r="K453" s="14"/>
      <c r="L453" s="17"/>
      <c r="M453" s="18"/>
      <c r="N453" s="17"/>
      <c r="O453" s="18"/>
      <c r="P453" s="19"/>
      <c r="Q453" s="17"/>
      <c r="R453" s="40"/>
      <c r="S453" s="42">
        <v>439</v>
      </c>
      <c r="T453" s="40"/>
      <c r="V453" s="48" t="str">
        <f t="shared" si="101"/>
        <v/>
      </c>
      <c r="W453" s="48">
        <f t="shared" si="90"/>
        <v>0</v>
      </c>
      <c r="Y453" s="48" t="str">
        <f t="shared" si="91"/>
        <v/>
      </c>
      <c r="Z453" s="48" t="str">
        <f t="shared" si="92"/>
        <v/>
      </c>
      <c r="AA453" s="48" t="str">
        <f t="shared" si="93"/>
        <v/>
      </c>
      <c r="AB453" s="48" t="str">
        <f t="shared" si="102"/>
        <v/>
      </c>
      <c r="AC453" s="48" t="str">
        <f t="shared" si="94"/>
        <v/>
      </c>
      <c r="AD453" s="48" t="str">
        <f t="shared" si="95"/>
        <v/>
      </c>
      <c r="AE453" s="48" t="str">
        <f t="shared" si="96"/>
        <v/>
      </c>
      <c r="AF453" s="48" t="str">
        <f t="shared" si="97"/>
        <v/>
      </c>
      <c r="AG453" s="48" t="str">
        <f t="shared" si="98"/>
        <v/>
      </c>
      <c r="AH453" s="48" t="str">
        <f t="shared" si="99"/>
        <v/>
      </c>
      <c r="AI453" s="48" t="str">
        <f t="shared" si="100"/>
        <v/>
      </c>
      <c r="AJ453" s="48" t="str">
        <f t="shared" si="103"/>
        <v/>
      </c>
      <c r="AK453" s="48" t="str">
        <f t="shared" si="104"/>
        <v/>
      </c>
      <c r="AL453" s="48" t="str">
        <f>IF(W453=0,"",_xlfn.CONCAT(DADOS!$A$8,Y453:AK453,"
"))</f>
        <v/>
      </c>
    </row>
    <row r="454" spans="4:38" s="48" customFormat="1" ht="15" customHeight="1" x14ac:dyDescent="0.25">
      <c r="D454" s="49"/>
      <c r="E454" s="43"/>
      <c r="F454" s="20"/>
      <c r="G454" s="14"/>
      <c r="H454" s="20"/>
      <c r="I454" s="15"/>
      <c r="J454" s="16"/>
      <c r="K454" s="14"/>
      <c r="L454" s="17"/>
      <c r="M454" s="18"/>
      <c r="N454" s="17"/>
      <c r="O454" s="18"/>
      <c r="P454" s="19"/>
      <c r="Q454" s="17"/>
      <c r="R454" s="40"/>
      <c r="S454" s="42">
        <v>440</v>
      </c>
      <c r="T454" s="40"/>
      <c r="V454" s="48" t="str">
        <f t="shared" si="101"/>
        <v/>
      </c>
      <c r="W454" s="48">
        <f t="shared" si="90"/>
        <v>0</v>
      </c>
      <c r="Y454" s="48" t="str">
        <f t="shared" si="91"/>
        <v/>
      </c>
      <c r="Z454" s="48" t="str">
        <f t="shared" si="92"/>
        <v/>
      </c>
      <c r="AA454" s="48" t="str">
        <f t="shared" si="93"/>
        <v/>
      </c>
      <c r="AB454" s="48" t="str">
        <f t="shared" si="102"/>
        <v/>
      </c>
      <c r="AC454" s="48" t="str">
        <f t="shared" si="94"/>
        <v/>
      </c>
      <c r="AD454" s="48" t="str">
        <f t="shared" si="95"/>
        <v/>
      </c>
      <c r="AE454" s="48" t="str">
        <f t="shared" si="96"/>
        <v/>
      </c>
      <c r="AF454" s="48" t="str">
        <f t="shared" si="97"/>
        <v/>
      </c>
      <c r="AG454" s="48" t="str">
        <f t="shared" si="98"/>
        <v/>
      </c>
      <c r="AH454" s="48" t="str">
        <f t="shared" si="99"/>
        <v/>
      </c>
      <c r="AI454" s="48" t="str">
        <f t="shared" si="100"/>
        <v/>
      </c>
      <c r="AJ454" s="48" t="str">
        <f t="shared" si="103"/>
        <v/>
      </c>
      <c r="AK454" s="48" t="str">
        <f t="shared" si="104"/>
        <v/>
      </c>
      <c r="AL454" s="48" t="str">
        <f>IF(W454=0,"",_xlfn.CONCAT(DADOS!$A$8,Y454:AK454,"
"))</f>
        <v/>
      </c>
    </row>
    <row r="455" spans="4:38" s="48" customFormat="1" ht="15" customHeight="1" x14ac:dyDescent="0.25">
      <c r="D455" s="49"/>
      <c r="E455" s="43"/>
      <c r="F455" s="20"/>
      <c r="G455" s="14"/>
      <c r="H455" s="20"/>
      <c r="I455" s="15"/>
      <c r="J455" s="16"/>
      <c r="K455" s="14"/>
      <c r="L455" s="17"/>
      <c r="M455" s="18"/>
      <c r="N455" s="17"/>
      <c r="O455" s="18"/>
      <c r="P455" s="19"/>
      <c r="Q455" s="17"/>
      <c r="R455" s="40"/>
      <c r="S455" s="42">
        <v>441</v>
      </c>
      <c r="T455" s="40"/>
      <c r="V455" s="48" t="str">
        <f t="shared" si="101"/>
        <v/>
      </c>
      <c r="W455" s="48">
        <f t="shared" si="90"/>
        <v>0</v>
      </c>
      <c r="Y455" s="48" t="str">
        <f t="shared" si="91"/>
        <v/>
      </c>
      <c r="Z455" s="48" t="str">
        <f t="shared" si="92"/>
        <v/>
      </c>
      <c r="AA455" s="48" t="str">
        <f t="shared" si="93"/>
        <v/>
      </c>
      <c r="AB455" s="48" t="str">
        <f t="shared" si="102"/>
        <v/>
      </c>
      <c r="AC455" s="48" t="str">
        <f t="shared" si="94"/>
        <v/>
      </c>
      <c r="AD455" s="48" t="str">
        <f t="shared" si="95"/>
        <v/>
      </c>
      <c r="AE455" s="48" t="str">
        <f t="shared" si="96"/>
        <v/>
      </c>
      <c r="AF455" s="48" t="str">
        <f t="shared" si="97"/>
        <v/>
      </c>
      <c r="AG455" s="48" t="str">
        <f t="shared" si="98"/>
        <v/>
      </c>
      <c r="AH455" s="48" t="str">
        <f t="shared" si="99"/>
        <v/>
      </c>
      <c r="AI455" s="48" t="str">
        <f t="shared" si="100"/>
        <v/>
      </c>
      <c r="AJ455" s="48" t="str">
        <f t="shared" si="103"/>
        <v/>
      </c>
      <c r="AK455" s="48" t="str">
        <f t="shared" si="104"/>
        <v/>
      </c>
      <c r="AL455" s="48" t="str">
        <f>IF(W455=0,"",_xlfn.CONCAT(DADOS!$A$8,Y455:AK455,"
"))</f>
        <v/>
      </c>
    </row>
    <row r="456" spans="4:38" s="48" customFormat="1" ht="15" customHeight="1" x14ac:dyDescent="0.25">
      <c r="D456" s="49"/>
      <c r="E456" s="43"/>
      <c r="F456" s="20"/>
      <c r="G456" s="14"/>
      <c r="H456" s="20"/>
      <c r="I456" s="15"/>
      <c r="J456" s="16"/>
      <c r="K456" s="14"/>
      <c r="L456" s="17"/>
      <c r="M456" s="18"/>
      <c r="N456" s="17"/>
      <c r="O456" s="18"/>
      <c r="P456" s="19"/>
      <c r="Q456" s="17"/>
      <c r="R456" s="40"/>
      <c r="S456" s="42">
        <v>442</v>
      </c>
      <c r="T456" s="40"/>
      <c r="V456" s="48" t="str">
        <f t="shared" si="101"/>
        <v/>
      </c>
      <c r="W456" s="48">
        <f t="shared" si="90"/>
        <v>0</v>
      </c>
      <c r="Y456" s="48" t="str">
        <f t="shared" si="91"/>
        <v/>
      </c>
      <c r="Z456" s="48" t="str">
        <f t="shared" si="92"/>
        <v/>
      </c>
      <c r="AA456" s="48" t="str">
        <f t="shared" si="93"/>
        <v/>
      </c>
      <c r="AB456" s="48" t="str">
        <f t="shared" si="102"/>
        <v/>
      </c>
      <c r="AC456" s="48" t="str">
        <f t="shared" si="94"/>
        <v/>
      </c>
      <c r="AD456" s="48" t="str">
        <f t="shared" si="95"/>
        <v/>
      </c>
      <c r="AE456" s="48" t="str">
        <f t="shared" si="96"/>
        <v/>
      </c>
      <c r="AF456" s="48" t="str">
        <f t="shared" si="97"/>
        <v/>
      </c>
      <c r="AG456" s="48" t="str">
        <f t="shared" si="98"/>
        <v/>
      </c>
      <c r="AH456" s="48" t="str">
        <f t="shared" si="99"/>
        <v/>
      </c>
      <c r="AI456" s="48" t="str">
        <f t="shared" si="100"/>
        <v/>
      </c>
      <c r="AJ456" s="48" t="str">
        <f t="shared" si="103"/>
        <v/>
      </c>
      <c r="AK456" s="48" t="str">
        <f t="shared" si="104"/>
        <v/>
      </c>
      <c r="AL456" s="48" t="str">
        <f>IF(W456=0,"",_xlfn.CONCAT(DADOS!$A$8,Y456:AK456,"
"))</f>
        <v/>
      </c>
    </row>
    <row r="457" spans="4:38" s="48" customFormat="1" ht="15" customHeight="1" x14ac:dyDescent="0.25">
      <c r="D457" s="49"/>
      <c r="E457" s="43"/>
      <c r="F457" s="20"/>
      <c r="G457" s="14"/>
      <c r="H457" s="20"/>
      <c r="I457" s="15"/>
      <c r="J457" s="16"/>
      <c r="K457" s="14"/>
      <c r="L457" s="17"/>
      <c r="M457" s="18"/>
      <c r="N457" s="17"/>
      <c r="O457" s="18"/>
      <c r="P457" s="19"/>
      <c r="Q457" s="17"/>
      <c r="R457" s="40"/>
      <c r="S457" s="42">
        <v>443</v>
      </c>
      <c r="T457" s="40"/>
      <c r="V457" s="48" t="str">
        <f t="shared" si="101"/>
        <v/>
      </c>
      <c r="W457" s="48">
        <f t="shared" si="90"/>
        <v>0</v>
      </c>
      <c r="Y457" s="48" t="str">
        <f t="shared" si="91"/>
        <v/>
      </c>
      <c r="Z457" s="48" t="str">
        <f t="shared" si="92"/>
        <v/>
      </c>
      <c r="AA457" s="48" t="str">
        <f t="shared" si="93"/>
        <v/>
      </c>
      <c r="AB457" s="48" t="str">
        <f t="shared" si="102"/>
        <v/>
      </c>
      <c r="AC457" s="48" t="str">
        <f t="shared" si="94"/>
        <v/>
      </c>
      <c r="AD457" s="48" t="str">
        <f t="shared" si="95"/>
        <v/>
      </c>
      <c r="AE457" s="48" t="str">
        <f t="shared" si="96"/>
        <v/>
      </c>
      <c r="AF457" s="48" t="str">
        <f t="shared" si="97"/>
        <v/>
      </c>
      <c r="AG457" s="48" t="str">
        <f t="shared" si="98"/>
        <v/>
      </c>
      <c r="AH457" s="48" t="str">
        <f t="shared" si="99"/>
        <v/>
      </c>
      <c r="AI457" s="48" t="str">
        <f t="shared" si="100"/>
        <v/>
      </c>
      <c r="AJ457" s="48" t="str">
        <f t="shared" si="103"/>
        <v/>
      </c>
      <c r="AK457" s="48" t="str">
        <f t="shared" si="104"/>
        <v/>
      </c>
      <c r="AL457" s="48" t="str">
        <f>IF(W457=0,"",_xlfn.CONCAT(DADOS!$A$8,Y457:AK457,"
"))</f>
        <v/>
      </c>
    </row>
    <row r="458" spans="4:38" s="48" customFormat="1" ht="15" customHeight="1" x14ac:dyDescent="0.25">
      <c r="D458" s="49"/>
      <c r="E458" s="43"/>
      <c r="F458" s="20"/>
      <c r="G458" s="14"/>
      <c r="H458" s="20"/>
      <c r="I458" s="15"/>
      <c r="J458" s="16"/>
      <c r="K458" s="14"/>
      <c r="L458" s="17"/>
      <c r="M458" s="18"/>
      <c r="N458" s="17"/>
      <c r="O458" s="18"/>
      <c r="P458" s="19"/>
      <c r="Q458" s="17"/>
      <c r="R458" s="40"/>
      <c r="S458" s="42">
        <v>444</v>
      </c>
      <c r="T458" s="40"/>
      <c r="V458" s="48" t="str">
        <f t="shared" si="101"/>
        <v/>
      </c>
      <c r="W458" s="48">
        <f t="shared" si="90"/>
        <v>0</v>
      </c>
      <c r="Y458" s="48" t="str">
        <f t="shared" si="91"/>
        <v/>
      </c>
      <c r="Z458" s="48" t="str">
        <f t="shared" si="92"/>
        <v/>
      </c>
      <c r="AA458" s="48" t="str">
        <f t="shared" si="93"/>
        <v/>
      </c>
      <c r="AB458" s="48" t="str">
        <f t="shared" si="102"/>
        <v/>
      </c>
      <c r="AC458" s="48" t="str">
        <f t="shared" si="94"/>
        <v/>
      </c>
      <c r="AD458" s="48" t="str">
        <f t="shared" si="95"/>
        <v/>
      </c>
      <c r="AE458" s="48" t="str">
        <f t="shared" si="96"/>
        <v/>
      </c>
      <c r="AF458" s="48" t="str">
        <f t="shared" si="97"/>
        <v/>
      </c>
      <c r="AG458" s="48" t="str">
        <f t="shared" si="98"/>
        <v/>
      </c>
      <c r="AH458" s="48" t="str">
        <f t="shared" si="99"/>
        <v/>
      </c>
      <c r="AI458" s="48" t="str">
        <f t="shared" si="100"/>
        <v/>
      </c>
      <c r="AJ458" s="48" t="str">
        <f t="shared" si="103"/>
        <v/>
      </c>
      <c r="AK458" s="48" t="str">
        <f t="shared" si="104"/>
        <v/>
      </c>
      <c r="AL458" s="48" t="str">
        <f>IF(W458=0,"",_xlfn.CONCAT(DADOS!$A$8,Y458:AK458,"
"))</f>
        <v/>
      </c>
    </row>
    <row r="459" spans="4:38" s="48" customFormat="1" ht="15" customHeight="1" x14ac:dyDescent="0.25">
      <c r="D459" s="49"/>
      <c r="E459" s="43"/>
      <c r="F459" s="20"/>
      <c r="G459" s="14"/>
      <c r="H459" s="20"/>
      <c r="I459" s="15"/>
      <c r="J459" s="16"/>
      <c r="K459" s="14"/>
      <c r="L459" s="17"/>
      <c r="M459" s="18"/>
      <c r="N459" s="17"/>
      <c r="O459" s="18"/>
      <c r="P459" s="19"/>
      <c r="Q459" s="17"/>
      <c r="R459" s="40"/>
      <c r="S459" s="42">
        <v>445</v>
      </c>
      <c r="T459" s="40"/>
      <c r="V459" s="48" t="str">
        <f t="shared" si="101"/>
        <v/>
      </c>
      <c r="W459" s="48">
        <f t="shared" si="90"/>
        <v>0</v>
      </c>
      <c r="Y459" s="48" t="str">
        <f t="shared" si="91"/>
        <v/>
      </c>
      <c r="Z459" s="48" t="str">
        <f t="shared" si="92"/>
        <v/>
      </c>
      <c r="AA459" s="48" t="str">
        <f t="shared" si="93"/>
        <v/>
      </c>
      <c r="AB459" s="48" t="str">
        <f t="shared" si="102"/>
        <v/>
      </c>
      <c r="AC459" s="48" t="str">
        <f t="shared" si="94"/>
        <v/>
      </c>
      <c r="AD459" s="48" t="str">
        <f t="shared" si="95"/>
        <v/>
      </c>
      <c r="AE459" s="48" t="str">
        <f t="shared" si="96"/>
        <v/>
      </c>
      <c r="AF459" s="48" t="str">
        <f t="shared" si="97"/>
        <v/>
      </c>
      <c r="AG459" s="48" t="str">
        <f t="shared" si="98"/>
        <v/>
      </c>
      <c r="AH459" s="48" t="str">
        <f t="shared" si="99"/>
        <v/>
      </c>
      <c r="AI459" s="48" t="str">
        <f t="shared" si="100"/>
        <v/>
      </c>
      <c r="AJ459" s="48" t="str">
        <f t="shared" si="103"/>
        <v/>
      </c>
      <c r="AK459" s="48" t="str">
        <f t="shared" si="104"/>
        <v/>
      </c>
      <c r="AL459" s="48" t="str">
        <f>IF(W459=0,"",_xlfn.CONCAT(DADOS!$A$8,Y459:AK459,"
"))</f>
        <v/>
      </c>
    </row>
    <row r="460" spans="4:38" s="48" customFormat="1" ht="15" customHeight="1" x14ac:dyDescent="0.25">
      <c r="D460" s="49"/>
      <c r="E460" s="43"/>
      <c r="F460" s="20"/>
      <c r="G460" s="14"/>
      <c r="H460" s="20"/>
      <c r="I460" s="15"/>
      <c r="J460" s="16"/>
      <c r="K460" s="14"/>
      <c r="L460" s="17"/>
      <c r="M460" s="18"/>
      <c r="N460" s="17"/>
      <c r="O460" s="18"/>
      <c r="P460" s="19"/>
      <c r="Q460" s="17"/>
      <c r="R460" s="40"/>
      <c r="S460" s="42">
        <v>446</v>
      </c>
      <c r="T460" s="40"/>
      <c r="V460" s="48" t="str">
        <f t="shared" si="101"/>
        <v/>
      </c>
      <c r="W460" s="48">
        <f t="shared" si="90"/>
        <v>0</v>
      </c>
      <c r="Y460" s="48" t="str">
        <f t="shared" si="91"/>
        <v/>
      </c>
      <c r="Z460" s="48" t="str">
        <f t="shared" si="92"/>
        <v/>
      </c>
      <c r="AA460" s="48" t="str">
        <f t="shared" si="93"/>
        <v/>
      </c>
      <c r="AB460" s="48" t="str">
        <f t="shared" si="102"/>
        <v/>
      </c>
      <c r="AC460" s="48" t="str">
        <f t="shared" si="94"/>
        <v/>
      </c>
      <c r="AD460" s="48" t="str">
        <f t="shared" si="95"/>
        <v/>
      </c>
      <c r="AE460" s="48" t="str">
        <f t="shared" si="96"/>
        <v/>
      </c>
      <c r="AF460" s="48" t="str">
        <f t="shared" si="97"/>
        <v/>
      </c>
      <c r="AG460" s="48" t="str">
        <f t="shared" si="98"/>
        <v/>
      </c>
      <c r="AH460" s="48" t="str">
        <f t="shared" si="99"/>
        <v/>
      </c>
      <c r="AI460" s="48" t="str">
        <f t="shared" si="100"/>
        <v/>
      </c>
      <c r="AJ460" s="48" t="str">
        <f t="shared" si="103"/>
        <v/>
      </c>
      <c r="AK460" s="48" t="str">
        <f t="shared" si="104"/>
        <v/>
      </c>
      <c r="AL460" s="48" t="str">
        <f>IF(W460=0,"",_xlfn.CONCAT(DADOS!$A$8,Y460:AK460,"
"))</f>
        <v/>
      </c>
    </row>
    <row r="461" spans="4:38" s="48" customFormat="1" ht="15" customHeight="1" x14ac:dyDescent="0.25">
      <c r="D461" s="49"/>
      <c r="E461" s="43"/>
      <c r="F461" s="20"/>
      <c r="G461" s="14"/>
      <c r="H461" s="20"/>
      <c r="I461" s="15"/>
      <c r="J461" s="16"/>
      <c r="K461" s="14"/>
      <c r="L461" s="17"/>
      <c r="M461" s="18"/>
      <c r="N461" s="17"/>
      <c r="O461" s="18"/>
      <c r="P461" s="19"/>
      <c r="Q461" s="17"/>
      <c r="R461" s="40"/>
      <c r="S461" s="42">
        <v>447</v>
      </c>
      <c r="T461" s="40"/>
      <c r="V461" s="48" t="str">
        <f t="shared" si="101"/>
        <v/>
      </c>
      <c r="W461" s="48">
        <f t="shared" si="90"/>
        <v>0</v>
      </c>
      <c r="Y461" s="48" t="str">
        <f t="shared" si="91"/>
        <v/>
      </c>
      <c r="Z461" s="48" t="str">
        <f t="shared" si="92"/>
        <v/>
      </c>
      <c r="AA461" s="48" t="str">
        <f t="shared" si="93"/>
        <v/>
      </c>
      <c r="AB461" s="48" t="str">
        <f t="shared" si="102"/>
        <v/>
      </c>
      <c r="AC461" s="48" t="str">
        <f t="shared" si="94"/>
        <v/>
      </c>
      <c r="AD461" s="48" t="str">
        <f t="shared" si="95"/>
        <v/>
      </c>
      <c r="AE461" s="48" t="str">
        <f t="shared" si="96"/>
        <v/>
      </c>
      <c r="AF461" s="48" t="str">
        <f t="shared" si="97"/>
        <v/>
      </c>
      <c r="AG461" s="48" t="str">
        <f t="shared" si="98"/>
        <v/>
      </c>
      <c r="AH461" s="48" t="str">
        <f t="shared" si="99"/>
        <v/>
      </c>
      <c r="AI461" s="48" t="str">
        <f t="shared" si="100"/>
        <v/>
      </c>
      <c r="AJ461" s="48" t="str">
        <f t="shared" si="103"/>
        <v/>
      </c>
      <c r="AK461" s="48" t="str">
        <f t="shared" si="104"/>
        <v/>
      </c>
      <c r="AL461" s="48" t="str">
        <f>IF(W461=0,"",_xlfn.CONCAT(DADOS!$A$8,Y461:AK461,"
"))</f>
        <v/>
      </c>
    </row>
    <row r="462" spans="4:38" s="48" customFormat="1" ht="15" customHeight="1" x14ac:dyDescent="0.25">
      <c r="D462" s="49"/>
      <c r="E462" s="43"/>
      <c r="F462" s="20"/>
      <c r="G462" s="14"/>
      <c r="H462" s="20"/>
      <c r="I462" s="15"/>
      <c r="J462" s="16"/>
      <c r="K462" s="14"/>
      <c r="L462" s="17"/>
      <c r="M462" s="18"/>
      <c r="N462" s="17"/>
      <c r="O462" s="18"/>
      <c r="P462" s="19"/>
      <c r="Q462" s="17"/>
      <c r="R462" s="40"/>
      <c r="S462" s="42">
        <v>448</v>
      </c>
      <c r="T462" s="40"/>
      <c r="V462" s="48" t="str">
        <f t="shared" si="101"/>
        <v/>
      </c>
      <c r="W462" s="48">
        <f t="shared" si="90"/>
        <v>0</v>
      </c>
      <c r="Y462" s="48" t="str">
        <f t="shared" si="91"/>
        <v/>
      </c>
      <c r="Z462" s="48" t="str">
        <f t="shared" si="92"/>
        <v/>
      </c>
      <c r="AA462" s="48" t="str">
        <f t="shared" si="93"/>
        <v/>
      </c>
      <c r="AB462" s="48" t="str">
        <f t="shared" si="102"/>
        <v/>
      </c>
      <c r="AC462" s="48" t="str">
        <f t="shared" si="94"/>
        <v/>
      </c>
      <c r="AD462" s="48" t="str">
        <f t="shared" si="95"/>
        <v/>
      </c>
      <c r="AE462" s="48" t="str">
        <f t="shared" si="96"/>
        <v/>
      </c>
      <c r="AF462" s="48" t="str">
        <f t="shared" si="97"/>
        <v/>
      </c>
      <c r="AG462" s="48" t="str">
        <f t="shared" si="98"/>
        <v/>
      </c>
      <c r="AH462" s="48" t="str">
        <f t="shared" si="99"/>
        <v/>
      </c>
      <c r="AI462" s="48" t="str">
        <f t="shared" si="100"/>
        <v/>
      </c>
      <c r="AJ462" s="48" t="str">
        <f t="shared" si="103"/>
        <v/>
      </c>
      <c r="AK462" s="48" t="str">
        <f t="shared" si="104"/>
        <v/>
      </c>
      <c r="AL462" s="48" t="str">
        <f>IF(W462=0,"",_xlfn.CONCAT(DADOS!$A$8,Y462:AK462,"
"))</f>
        <v/>
      </c>
    </row>
    <row r="463" spans="4:38" s="48" customFormat="1" ht="15" customHeight="1" x14ac:dyDescent="0.25">
      <c r="D463" s="49"/>
      <c r="E463" s="43"/>
      <c r="F463" s="20"/>
      <c r="G463" s="14"/>
      <c r="H463" s="20"/>
      <c r="I463" s="15"/>
      <c r="J463" s="16"/>
      <c r="K463" s="14"/>
      <c r="L463" s="17"/>
      <c r="M463" s="18"/>
      <c r="N463" s="17"/>
      <c r="O463" s="18"/>
      <c r="P463" s="19"/>
      <c r="Q463" s="17"/>
      <c r="R463" s="40"/>
      <c r="S463" s="42">
        <v>449</v>
      </c>
      <c r="T463" s="40"/>
      <c r="V463" s="48" t="str">
        <f t="shared" si="101"/>
        <v/>
      </c>
      <c r="W463" s="48">
        <f t="shared" ref="W463:W514" si="105">IF(E463="",0,1)</f>
        <v>0</v>
      </c>
      <c r="Y463" s="48" t="str">
        <f t="shared" ref="Y463:Y514" si="106">_xlfn.CONCAT(E463,IF(LEN(E463)=1,"  ",IF(LEN(E463)=2," ","")))</f>
        <v/>
      </c>
      <c r="Z463" s="48" t="str">
        <f t="shared" ref="Z463:Z514" si="107">_xlfn.CONCAT(F463,IF(LEN(F463)=1,"  ",IF(LEN(F463)=2," ","")))</f>
        <v/>
      </c>
      <c r="AA463" s="48" t="str">
        <f t="shared" ref="AA463:AA514" si="108">IF(W463=0,"",G463)</f>
        <v/>
      </c>
      <c r="AB463" s="48" t="str">
        <f t="shared" si="102"/>
        <v/>
      </c>
      <c r="AC463" s="48" t="str">
        <f t="shared" ref="AC463:AC514" si="109">IF(W463=0,"",IF(LEN(I463)=1,_xlfn.CONCAT(0,I463),I463))</f>
        <v/>
      </c>
      <c r="AD463" s="48" t="str">
        <f t="shared" ref="AD463:AD514" si="110">IF(I463=20,"",(IF(I463=8,IF(LEN(J463)=1,_xlfn.CONCAT("00",J463),IF(LEN(J463)=2,_xlfn.CONCAT("0",J463),J463)),"")))</f>
        <v/>
      </c>
      <c r="AE463" s="48" t="str">
        <f t="shared" ref="AE463:AE514" si="111">IF(I463=20,"",IF(I463=8,IF(LEN(K463)=1,_xlfn.CONCAT(0,K463),K463),""))</f>
        <v/>
      </c>
      <c r="AF463" s="48" t="str">
        <f t="shared" ref="AF463:AF514" si="112">IF(I463=8,L463,"")</f>
        <v/>
      </c>
      <c r="AG463" s="48" t="str">
        <f t="shared" ref="AG463:AG514" si="113">IF(W463=0,"",IF($I463=20,"",IF(LEN(M463)=1,_xlfn.CONCAT("00",M463),IF(LEN(M463)=2,_xlfn.CONCAT("0",M463),M463))))</f>
        <v/>
      </c>
      <c r="AH463" s="48" t="str">
        <f t="shared" ref="AH463:AH514" si="114">IF(W463=0,"",IF($I463=20,"",IF(LEN(N463)=1,_xlfn.CONCAT(0,N463),N463)))</f>
        <v/>
      </c>
      <c r="AI463" s="48" t="str">
        <f t="shared" ref="AI463:AI514" si="115">IF(W463=0,"",IF($I463=20,"",IF(LEN(P463)=3,_xlfn.CONCAT("00",P463),_xlfn.CONCAT("0",P463))))</f>
        <v/>
      </c>
      <c r="AJ463" s="48" t="str">
        <f t="shared" si="103"/>
        <v/>
      </c>
      <c r="AK463" s="48" t="str">
        <f t="shared" si="104"/>
        <v/>
      </c>
      <c r="AL463" s="48" t="str">
        <f>IF(W463=0,"",_xlfn.CONCAT(DADOS!$A$8,Y463:AK463,"
"))</f>
        <v/>
      </c>
    </row>
    <row r="464" spans="4:38" s="48" customFormat="1" ht="15.75" x14ac:dyDescent="0.25">
      <c r="D464" s="49"/>
      <c r="E464" s="43"/>
      <c r="F464" s="20"/>
      <c r="G464" s="14"/>
      <c r="H464" s="20"/>
      <c r="I464" s="15"/>
      <c r="J464" s="16"/>
      <c r="K464" s="14"/>
      <c r="L464" s="17"/>
      <c r="M464" s="18"/>
      <c r="N464" s="17"/>
      <c r="O464" s="18"/>
      <c r="P464" s="19"/>
      <c r="Q464" s="17"/>
      <c r="R464" s="40"/>
      <c r="S464" s="42">
        <v>450</v>
      </c>
      <c r="T464" s="40"/>
      <c r="V464" s="48" t="str">
        <f t="shared" ref="V464:V514" si="116">IF(E464="","",IF(R465="",IF(R464&lt;21,1,0),0))</f>
        <v/>
      </c>
      <c r="W464" s="48">
        <f t="shared" si="105"/>
        <v>0</v>
      </c>
      <c r="Y464" s="48" t="str">
        <f t="shared" si="106"/>
        <v/>
      </c>
      <c r="Z464" s="48" t="str">
        <f t="shared" si="107"/>
        <v/>
      </c>
      <c r="AA464" s="48" t="str">
        <f t="shared" si="108"/>
        <v/>
      </c>
      <c r="AB464" s="48" t="str">
        <f t="shared" ref="AB464:AB514" si="117">IF(OR(G464=0,G464=4),"",H464)</f>
        <v/>
      </c>
      <c r="AC464" s="48" t="str">
        <f t="shared" si="109"/>
        <v/>
      </c>
      <c r="AD464" s="48" t="str">
        <f t="shared" si="110"/>
        <v/>
      </c>
      <c r="AE464" s="48" t="str">
        <f t="shared" si="111"/>
        <v/>
      </c>
      <c r="AF464" s="48" t="str">
        <f t="shared" si="112"/>
        <v/>
      </c>
      <c r="AG464" s="48" t="str">
        <f t="shared" si="113"/>
        <v/>
      </c>
      <c r="AH464" s="48" t="str">
        <f t="shared" si="114"/>
        <v/>
      </c>
      <c r="AI464" s="48" t="str">
        <f t="shared" si="115"/>
        <v/>
      </c>
      <c r="AJ464" s="48" t="str">
        <f t="shared" ref="AJ464:AJ514" si="118">IF(W464=0,"",IF(I464=20,"",_xlfn.CONCAT(ROUNDUP(R464*10,0),$AK$14)))</f>
        <v/>
      </c>
      <c r="AK464" s="48" t="str">
        <f t="shared" ref="AK464:AK514" si="119">IF(W464=0,"",IF(R464&lt;999,$AK$14,""))</f>
        <v/>
      </c>
      <c r="AL464" s="48" t="str">
        <f>IF(W464=0,"",_xlfn.CONCAT(DADOS!$A$8,Y464:AK464,"
"))</f>
        <v/>
      </c>
    </row>
    <row r="465" spans="4:38" s="48" customFormat="1" ht="15" customHeight="1" x14ac:dyDescent="0.25">
      <c r="D465" s="49"/>
      <c r="E465" s="43"/>
      <c r="F465" s="20"/>
      <c r="G465" s="14"/>
      <c r="H465" s="20"/>
      <c r="I465" s="15"/>
      <c r="J465" s="16"/>
      <c r="K465" s="14"/>
      <c r="L465" s="17"/>
      <c r="M465" s="18"/>
      <c r="N465" s="17"/>
      <c r="O465" s="18"/>
      <c r="P465" s="19"/>
      <c r="Q465" s="17"/>
      <c r="R465" s="40"/>
      <c r="S465" s="42">
        <v>451</v>
      </c>
      <c r="T465" s="40"/>
      <c r="V465" s="48" t="str">
        <f t="shared" si="116"/>
        <v/>
      </c>
      <c r="W465" s="48">
        <f t="shared" si="105"/>
        <v>0</v>
      </c>
      <c r="Y465" s="48" t="str">
        <f t="shared" si="106"/>
        <v/>
      </c>
      <c r="Z465" s="48" t="str">
        <f t="shared" si="107"/>
        <v/>
      </c>
      <c r="AA465" s="48" t="str">
        <f t="shared" si="108"/>
        <v/>
      </c>
      <c r="AB465" s="48" t="str">
        <f t="shared" si="117"/>
        <v/>
      </c>
      <c r="AC465" s="48" t="str">
        <f t="shared" si="109"/>
        <v/>
      </c>
      <c r="AD465" s="48" t="str">
        <f t="shared" si="110"/>
        <v/>
      </c>
      <c r="AE465" s="48" t="str">
        <f t="shared" si="111"/>
        <v/>
      </c>
      <c r="AF465" s="48" t="str">
        <f t="shared" si="112"/>
        <v/>
      </c>
      <c r="AG465" s="48" t="str">
        <f t="shared" si="113"/>
        <v/>
      </c>
      <c r="AH465" s="48" t="str">
        <f t="shared" si="114"/>
        <v/>
      </c>
      <c r="AI465" s="48" t="str">
        <f t="shared" si="115"/>
        <v/>
      </c>
      <c r="AJ465" s="48" t="str">
        <f t="shared" si="118"/>
        <v/>
      </c>
      <c r="AK465" s="48" t="str">
        <f t="shared" si="119"/>
        <v/>
      </c>
      <c r="AL465" s="48" t="str">
        <f>IF(W465=0,"",_xlfn.CONCAT(DADOS!$A$8,Y465:AK465,"
"))</f>
        <v/>
      </c>
    </row>
    <row r="466" spans="4:38" s="48" customFormat="1" ht="15" customHeight="1" x14ac:dyDescent="0.25">
      <c r="D466" s="49"/>
      <c r="E466" s="43"/>
      <c r="F466" s="20"/>
      <c r="G466" s="14"/>
      <c r="H466" s="20"/>
      <c r="I466" s="15"/>
      <c r="J466" s="16"/>
      <c r="K466" s="14"/>
      <c r="L466" s="17"/>
      <c r="M466" s="18"/>
      <c r="N466" s="17"/>
      <c r="O466" s="18"/>
      <c r="P466" s="19"/>
      <c r="Q466" s="17"/>
      <c r="R466" s="40"/>
      <c r="S466" s="42">
        <v>452</v>
      </c>
      <c r="T466" s="40"/>
      <c r="V466" s="48" t="str">
        <f t="shared" si="116"/>
        <v/>
      </c>
      <c r="W466" s="48">
        <f t="shared" si="105"/>
        <v>0</v>
      </c>
      <c r="Y466" s="48" t="str">
        <f t="shared" si="106"/>
        <v/>
      </c>
      <c r="Z466" s="48" t="str">
        <f t="shared" si="107"/>
        <v/>
      </c>
      <c r="AA466" s="48" t="str">
        <f t="shared" si="108"/>
        <v/>
      </c>
      <c r="AB466" s="48" t="str">
        <f t="shared" si="117"/>
        <v/>
      </c>
      <c r="AC466" s="48" t="str">
        <f t="shared" si="109"/>
        <v/>
      </c>
      <c r="AD466" s="48" t="str">
        <f t="shared" si="110"/>
        <v/>
      </c>
      <c r="AE466" s="48" t="str">
        <f t="shared" si="111"/>
        <v/>
      </c>
      <c r="AF466" s="48" t="str">
        <f t="shared" si="112"/>
        <v/>
      </c>
      <c r="AG466" s="48" t="str">
        <f t="shared" si="113"/>
        <v/>
      </c>
      <c r="AH466" s="48" t="str">
        <f t="shared" si="114"/>
        <v/>
      </c>
      <c r="AI466" s="48" t="str">
        <f t="shared" si="115"/>
        <v/>
      </c>
      <c r="AJ466" s="48" t="str">
        <f t="shared" si="118"/>
        <v/>
      </c>
      <c r="AK466" s="48" t="str">
        <f t="shared" si="119"/>
        <v/>
      </c>
      <c r="AL466" s="48" t="str">
        <f>IF(W466=0,"",_xlfn.CONCAT(DADOS!$A$8,Y466:AK466,"
"))</f>
        <v/>
      </c>
    </row>
    <row r="467" spans="4:38" s="48" customFormat="1" ht="15" customHeight="1" x14ac:dyDescent="0.25">
      <c r="D467" s="49"/>
      <c r="E467" s="43"/>
      <c r="F467" s="20"/>
      <c r="G467" s="14"/>
      <c r="H467" s="20"/>
      <c r="I467" s="15"/>
      <c r="J467" s="16"/>
      <c r="K467" s="14"/>
      <c r="L467" s="17"/>
      <c r="M467" s="18"/>
      <c r="N467" s="17"/>
      <c r="O467" s="18"/>
      <c r="P467" s="19"/>
      <c r="Q467" s="17"/>
      <c r="R467" s="40"/>
      <c r="S467" s="42">
        <v>453</v>
      </c>
      <c r="T467" s="40"/>
      <c r="V467" s="48" t="str">
        <f t="shared" si="116"/>
        <v/>
      </c>
      <c r="W467" s="48">
        <f t="shared" si="105"/>
        <v>0</v>
      </c>
      <c r="Y467" s="48" t="str">
        <f t="shared" si="106"/>
        <v/>
      </c>
      <c r="Z467" s="48" t="str">
        <f t="shared" si="107"/>
        <v/>
      </c>
      <c r="AA467" s="48" t="str">
        <f t="shared" si="108"/>
        <v/>
      </c>
      <c r="AB467" s="48" t="str">
        <f t="shared" si="117"/>
        <v/>
      </c>
      <c r="AC467" s="48" t="str">
        <f t="shared" si="109"/>
        <v/>
      </c>
      <c r="AD467" s="48" t="str">
        <f t="shared" si="110"/>
        <v/>
      </c>
      <c r="AE467" s="48" t="str">
        <f t="shared" si="111"/>
        <v/>
      </c>
      <c r="AF467" s="48" t="str">
        <f t="shared" si="112"/>
        <v/>
      </c>
      <c r="AG467" s="48" t="str">
        <f t="shared" si="113"/>
        <v/>
      </c>
      <c r="AH467" s="48" t="str">
        <f t="shared" si="114"/>
        <v/>
      </c>
      <c r="AI467" s="48" t="str">
        <f t="shared" si="115"/>
        <v/>
      </c>
      <c r="AJ467" s="48" t="str">
        <f t="shared" si="118"/>
        <v/>
      </c>
      <c r="AK467" s="48" t="str">
        <f t="shared" si="119"/>
        <v/>
      </c>
      <c r="AL467" s="48" t="str">
        <f>IF(W467=0,"",_xlfn.CONCAT(DADOS!$A$8,Y467:AK467,"
"))</f>
        <v/>
      </c>
    </row>
    <row r="468" spans="4:38" s="48" customFormat="1" ht="15" customHeight="1" x14ac:dyDescent="0.25">
      <c r="D468" s="49"/>
      <c r="E468" s="43"/>
      <c r="F468" s="20"/>
      <c r="G468" s="14"/>
      <c r="H468" s="20"/>
      <c r="I468" s="15"/>
      <c r="J468" s="16"/>
      <c r="K468" s="14"/>
      <c r="L468" s="17"/>
      <c r="M468" s="18"/>
      <c r="N468" s="17"/>
      <c r="O468" s="18"/>
      <c r="P468" s="19"/>
      <c r="Q468" s="17"/>
      <c r="R468" s="40"/>
      <c r="S468" s="42">
        <v>454</v>
      </c>
      <c r="T468" s="40"/>
      <c r="V468" s="48" t="str">
        <f t="shared" si="116"/>
        <v/>
      </c>
      <c r="W468" s="48">
        <f t="shared" si="105"/>
        <v>0</v>
      </c>
      <c r="Y468" s="48" t="str">
        <f t="shared" si="106"/>
        <v/>
      </c>
      <c r="Z468" s="48" t="str">
        <f t="shared" si="107"/>
        <v/>
      </c>
      <c r="AA468" s="48" t="str">
        <f t="shared" si="108"/>
        <v/>
      </c>
      <c r="AB468" s="48" t="str">
        <f t="shared" si="117"/>
        <v/>
      </c>
      <c r="AC468" s="48" t="str">
        <f t="shared" si="109"/>
        <v/>
      </c>
      <c r="AD468" s="48" t="str">
        <f t="shared" si="110"/>
        <v/>
      </c>
      <c r="AE468" s="48" t="str">
        <f t="shared" si="111"/>
        <v/>
      </c>
      <c r="AF468" s="48" t="str">
        <f t="shared" si="112"/>
        <v/>
      </c>
      <c r="AG468" s="48" t="str">
        <f t="shared" si="113"/>
        <v/>
      </c>
      <c r="AH468" s="48" t="str">
        <f t="shared" si="114"/>
        <v/>
      </c>
      <c r="AI468" s="48" t="str">
        <f t="shared" si="115"/>
        <v/>
      </c>
      <c r="AJ468" s="48" t="str">
        <f t="shared" si="118"/>
        <v/>
      </c>
      <c r="AK468" s="48" t="str">
        <f t="shared" si="119"/>
        <v/>
      </c>
      <c r="AL468" s="48" t="str">
        <f>IF(W468=0,"",_xlfn.CONCAT(DADOS!$A$8,Y468:AK468,"
"))</f>
        <v/>
      </c>
    </row>
    <row r="469" spans="4:38" s="48" customFormat="1" ht="15" customHeight="1" x14ac:dyDescent="0.25">
      <c r="D469" s="49"/>
      <c r="E469" s="43"/>
      <c r="F469" s="20"/>
      <c r="G469" s="14"/>
      <c r="H469" s="20"/>
      <c r="I469" s="15"/>
      <c r="J469" s="16"/>
      <c r="K469" s="14"/>
      <c r="L469" s="17"/>
      <c r="M469" s="18"/>
      <c r="N469" s="17"/>
      <c r="O469" s="18"/>
      <c r="P469" s="19"/>
      <c r="Q469" s="17"/>
      <c r="R469" s="40"/>
      <c r="S469" s="42">
        <v>455</v>
      </c>
      <c r="T469" s="40"/>
      <c r="V469" s="48" t="str">
        <f t="shared" si="116"/>
        <v/>
      </c>
      <c r="W469" s="48">
        <f t="shared" si="105"/>
        <v>0</v>
      </c>
      <c r="Y469" s="48" t="str">
        <f t="shared" si="106"/>
        <v/>
      </c>
      <c r="Z469" s="48" t="str">
        <f t="shared" si="107"/>
        <v/>
      </c>
      <c r="AA469" s="48" t="str">
        <f t="shared" si="108"/>
        <v/>
      </c>
      <c r="AB469" s="48" t="str">
        <f t="shared" si="117"/>
        <v/>
      </c>
      <c r="AC469" s="48" t="str">
        <f t="shared" si="109"/>
        <v/>
      </c>
      <c r="AD469" s="48" t="str">
        <f t="shared" si="110"/>
        <v/>
      </c>
      <c r="AE469" s="48" t="str">
        <f t="shared" si="111"/>
        <v/>
      </c>
      <c r="AF469" s="48" t="str">
        <f t="shared" si="112"/>
        <v/>
      </c>
      <c r="AG469" s="48" t="str">
        <f t="shared" si="113"/>
        <v/>
      </c>
      <c r="AH469" s="48" t="str">
        <f t="shared" si="114"/>
        <v/>
      </c>
      <c r="AI469" s="48" t="str">
        <f t="shared" si="115"/>
        <v/>
      </c>
      <c r="AJ469" s="48" t="str">
        <f t="shared" si="118"/>
        <v/>
      </c>
      <c r="AK469" s="48" t="str">
        <f t="shared" si="119"/>
        <v/>
      </c>
      <c r="AL469" s="48" t="str">
        <f>IF(W469=0,"",_xlfn.CONCAT(DADOS!$A$8,Y469:AK469,"
"))</f>
        <v/>
      </c>
    </row>
    <row r="470" spans="4:38" s="48" customFormat="1" ht="15" customHeight="1" x14ac:dyDescent="0.25">
      <c r="D470" s="49"/>
      <c r="E470" s="43"/>
      <c r="F470" s="20"/>
      <c r="G470" s="14"/>
      <c r="H470" s="20"/>
      <c r="I470" s="15"/>
      <c r="J470" s="16"/>
      <c r="K470" s="14"/>
      <c r="L470" s="17"/>
      <c r="M470" s="18"/>
      <c r="N470" s="17"/>
      <c r="O470" s="18"/>
      <c r="P470" s="19"/>
      <c r="Q470" s="17"/>
      <c r="R470" s="40"/>
      <c r="S470" s="42">
        <v>456</v>
      </c>
      <c r="T470" s="40"/>
      <c r="V470" s="48" t="str">
        <f t="shared" si="116"/>
        <v/>
      </c>
      <c r="W470" s="48">
        <f t="shared" si="105"/>
        <v>0</v>
      </c>
      <c r="Y470" s="48" t="str">
        <f t="shared" si="106"/>
        <v/>
      </c>
      <c r="Z470" s="48" t="str">
        <f t="shared" si="107"/>
        <v/>
      </c>
      <c r="AA470" s="48" t="str">
        <f t="shared" si="108"/>
        <v/>
      </c>
      <c r="AB470" s="48" t="str">
        <f t="shared" si="117"/>
        <v/>
      </c>
      <c r="AC470" s="48" t="str">
        <f t="shared" si="109"/>
        <v/>
      </c>
      <c r="AD470" s="48" t="str">
        <f t="shared" si="110"/>
        <v/>
      </c>
      <c r="AE470" s="48" t="str">
        <f t="shared" si="111"/>
        <v/>
      </c>
      <c r="AF470" s="48" t="str">
        <f t="shared" si="112"/>
        <v/>
      </c>
      <c r="AG470" s="48" t="str">
        <f t="shared" si="113"/>
        <v/>
      </c>
      <c r="AH470" s="48" t="str">
        <f t="shared" si="114"/>
        <v/>
      </c>
      <c r="AI470" s="48" t="str">
        <f t="shared" si="115"/>
        <v/>
      </c>
      <c r="AJ470" s="48" t="str">
        <f t="shared" si="118"/>
        <v/>
      </c>
      <c r="AK470" s="48" t="str">
        <f t="shared" si="119"/>
        <v/>
      </c>
      <c r="AL470" s="48" t="str">
        <f>IF(W470=0,"",_xlfn.CONCAT(DADOS!$A$8,Y470:AK470,"
"))</f>
        <v/>
      </c>
    </row>
    <row r="471" spans="4:38" s="48" customFormat="1" ht="15" customHeight="1" x14ac:dyDescent="0.25">
      <c r="D471" s="49"/>
      <c r="E471" s="43"/>
      <c r="F471" s="20"/>
      <c r="G471" s="14"/>
      <c r="H471" s="20"/>
      <c r="I471" s="15"/>
      <c r="J471" s="16"/>
      <c r="K471" s="14"/>
      <c r="L471" s="17"/>
      <c r="M471" s="18"/>
      <c r="N471" s="17"/>
      <c r="O471" s="18"/>
      <c r="P471" s="19"/>
      <c r="Q471" s="17"/>
      <c r="R471" s="40"/>
      <c r="S471" s="42">
        <v>457</v>
      </c>
      <c r="T471" s="40"/>
      <c r="V471" s="48" t="str">
        <f t="shared" si="116"/>
        <v/>
      </c>
      <c r="W471" s="48">
        <f t="shared" si="105"/>
        <v>0</v>
      </c>
      <c r="Y471" s="48" t="str">
        <f t="shared" si="106"/>
        <v/>
      </c>
      <c r="Z471" s="48" t="str">
        <f t="shared" si="107"/>
        <v/>
      </c>
      <c r="AA471" s="48" t="str">
        <f t="shared" si="108"/>
        <v/>
      </c>
      <c r="AB471" s="48" t="str">
        <f t="shared" si="117"/>
        <v/>
      </c>
      <c r="AC471" s="48" t="str">
        <f t="shared" si="109"/>
        <v/>
      </c>
      <c r="AD471" s="48" t="str">
        <f t="shared" si="110"/>
        <v/>
      </c>
      <c r="AE471" s="48" t="str">
        <f t="shared" si="111"/>
        <v/>
      </c>
      <c r="AF471" s="48" t="str">
        <f t="shared" si="112"/>
        <v/>
      </c>
      <c r="AG471" s="48" t="str">
        <f t="shared" si="113"/>
        <v/>
      </c>
      <c r="AH471" s="48" t="str">
        <f t="shared" si="114"/>
        <v/>
      </c>
      <c r="AI471" s="48" t="str">
        <f t="shared" si="115"/>
        <v/>
      </c>
      <c r="AJ471" s="48" t="str">
        <f t="shared" si="118"/>
        <v/>
      </c>
      <c r="AK471" s="48" t="str">
        <f t="shared" si="119"/>
        <v/>
      </c>
      <c r="AL471" s="48" t="str">
        <f>IF(W471=0,"",_xlfn.CONCAT(DADOS!$A$8,Y471:AK471,"
"))</f>
        <v/>
      </c>
    </row>
    <row r="472" spans="4:38" s="48" customFormat="1" ht="15" customHeight="1" x14ac:dyDescent="0.25">
      <c r="D472" s="49"/>
      <c r="E472" s="43"/>
      <c r="F472" s="20"/>
      <c r="G472" s="14"/>
      <c r="H472" s="20"/>
      <c r="I472" s="15"/>
      <c r="J472" s="16"/>
      <c r="K472" s="14"/>
      <c r="L472" s="17"/>
      <c r="M472" s="18"/>
      <c r="N472" s="17"/>
      <c r="O472" s="18"/>
      <c r="P472" s="19"/>
      <c r="Q472" s="17"/>
      <c r="R472" s="40"/>
      <c r="S472" s="42">
        <v>458</v>
      </c>
      <c r="T472" s="40"/>
      <c r="V472" s="48" t="str">
        <f t="shared" si="116"/>
        <v/>
      </c>
      <c r="W472" s="48">
        <f t="shared" si="105"/>
        <v>0</v>
      </c>
      <c r="Y472" s="48" t="str">
        <f t="shared" si="106"/>
        <v/>
      </c>
      <c r="Z472" s="48" t="str">
        <f t="shared" si="107"/>
        <v/>
      </c>
      <c r="AA472" s="48" t="str">
        <f t="shared" si="108"/>
        <v/>
      </c>
      <c r="AB472" s="48" t="str">
        <f t="shared" si="117"/>
        <v/>
      </c>
      <c r="AC472" s="48" t="str">
        <f t="shared" si="109"/>
        <v/>
      </c>
      <c r="AD472" s="48" t="str">
        <f t="shared" si="110"/>
        <v/>
      </c>
      <c r="AE472" s="48" t="str">
        <f t="shared" si="111"/>
        <v/>
      </c>
      <c r="AF472" s="48" t="str">
        <f t="shared" si="112"/>
        <v/>
      </c>
      <c r="AG472" s="48" t="str">
        <f t="shared" si="113"/>
        <v/>
      </c>
      <c r="AH472" s="48" t="str">
        <f t="shared" si="114"/>
        <v/>
      </c>
      <c r="AI472" s="48" t="str">
        <f t="shared" si="115"/>
        <v/>
      </c>
      <c r="AJ472" s="48" t="str">
        <f t="shared" si="118"/>
        <v/>
      </c>
      <c r="AK472" s="48" t="str">
        <f t="shared" si="119"/>
        <v/>
      </c>
      <c r="AL472" s="48" t="str">
        <f>IF(W472=0,"",_xlfn.CONCAT(DADOS!$A$8,Y472:AK472,"
"))</f>
        <v/>
      </c>
    </row>
    <row r="473" spans="4:38" s="48" customFormat="1" ht="15" customHeight="1" x14ac:dyDescent="0.25">
      <c r="D473" s="49"/>
      <c r="E473" s="43"/>
      <c r="F473" s="20"/>
      <c r="G473" s="14"/>
      <c r="H473" s="20"/>
      <c r="I473" s="15"/>
      <c r="J473" s="16"/>
      <c r="K473" s="14"/>
      <c r="L473" s="17"/>
      <c r="M473" s="18"/>
      <c r="N473" s="17"/>
      <c r="O473" s="18"/>
      <c r="P473" s="19"/>
      <c r="Q473" s="17"/>
      <c r="R473" s="40"/>
      <c r="S473" s="42">
        <v>459</v>
      </c>
      <c r="T473" s="40"/>
      <c r="V473" s="48" t="str">
        <f t="shared" si="116"/>
        <v/>
      </c>
      <c r="W473" s="48">
        <f t="shared" si="105"/>
        <v>0</v>
      </c>
      <c r="Y473" s="48" t="str">
        <f t="shared" si="106"/>
        <v/>
      </c>
      <c r="Z473" s="48" t="str">
        <f t="shared" si="107"/>
        <v/>
      </c>
      <c r="AA473" s="48" t="str">
        <f t="shared" si="108"/>
        <v/>
      </c>
      <c r="AB473" s="48" t="str">
        <f t="shared" si="117"/>
        <v/>
      </c>
      <c r="AC473" s="48" t="str">
        <f t="shared" si="109"/>
        <v/>
      </c>
      <c r="AD473" s="48" t="str">
        <f t="shared" si="110"/>
        <v/>
      </c>
      <c r="AE473" s="48" t="str">
        <f t="shared" si="111"/>
        <v/>
      </c>
      <c r="AF473" s="48" t="str">
        <f t="shared" si="112"/>
        <v/>
      </c>
      <c r="AG473" s="48" t="str">
        <f t="shared" si="113"/>
        <v/>
      </c>
      <c r="AH473" s="48" t="str">
        <f t="shared" si="114"/>
        <v/>
      </c>
      <c r="AI473" s="48" t="str">
        <f t="shared" si="115"/>
        <v/>
      </c>
      <c r="AJ473" s="48" t="str">
        <f t="shared" si="118"/>
        <v/>
      </c>
      <c r="AK473" s="48" t="str">
        <f t="shared" si="119"/>
        <v/>
      </c>
      <c r="AL473" s="48" t="str">
        <f>IF(W473=0,"",_xlfn.CONCAT(DADOS!$A$8,Y473:AK473,"
"))</f>
        <v/>
      </c>
    </row>
    <row r="474" spans="4:38" s="48" customFormat="1" ht="15" customHeight="1" x14ac:dyDescent="0.25">
      <c r="D474" s="49"/>
      <c r="E474" s="43"/>
      <c r="F474" s="20"/>
      <c r="G474" s="14"/>
      <c r="H474" s="20"/>
      <c r="I474" s="15"/>
      <c r="J474" s="16"/>
      <c r="K474" s="14"/>
      <c r="L474" s="17"/>
      <c r="M474" s="18"/>
      <c r="N474" s="17"/>
      <c r="O474" s="18"/>
      <c r="P474" s="19"/>
      <c r="Q474" s="17"/>
      <c r="R474" s="40"/>
      <c r="S474" s="42">
        <v>460</v>
      </c>
      <c r="T474" s="40"/>
      <c r="V474" s="48" t="str">
        <f t="shared" si="116"/>
        <v/>
      </c>
      <c r="W474" s="48">
        <f t="shared" si="105"/>
        <v>0</v>
      </c>
      <c r="Y474" s="48" t="str">
        <f t="shared" si="106"/>
        <v/>
      </c>
      <c r="Z474" s="48" t="str">
        <f t="shared" si="107"/>
        <v/>
      </c>
      <c r="AA474" s="48" t="str">
        <f t="shared" si="108"/>
        <v/>
      </c>
      <c r="AB474" s="48" t="str">
        <f t="shared" si="117"/>
        <v/>
      </c>
      <c r="AC474" s="48" t="str">
        <f t="shared" si="109"/>
        <v/>
      </c>
      <c r="AD474" s="48" t="str">
        <f t="shared" si="110"/>
        <v/>
      </c>
      <c r="AE474" s="48" t="str">
        <f t="shared" si="111"/>
        <v/>
      </c>
      <c r="AF474" s="48" t="str">
        <f t="shared" si="112"/>
        <v/>
      </c>
      <c r="AG474" s="48" t="str">
        <f t="shared" si="113"/>
        <v/>
      </c>
      <c r="AH474" s="48" t="str">
        <f t="shared" si="114"/>
        <v/>
      </c>
      <c r="AI474" s="48" t="str">
        <f t="shared" si="115"/>
        <v/>
      </c>
      <c r="AJ474" s="48" t="str">
        <f t="shared" si="118"/>
        <v/>
      </c>
      <c r="AK474" s="48" t="str">
        <f t="shared" si="119"/>
        <v/>
      </c>
      <c r="AL474" s="48" t="str">
        <f>IF(W474=0,"",_xlfn.CONCAT(DADOS!$A$8,Y474:AK474,"
"))</f>
        <v/>
      </c>
    </row>
    <row r="475" spans="4:38" s="48" customFormat="1" ht="15" customHeight="1" x14ac:dyDescent="0.25">
      <c r="D475" s="49"/>
      <c r="E475" s="43"/>
      <c r="F475" s="20"/>
      <c r="G475" s="14"/>
      <c r="H475" s="20"/>
      <c r="I475" s="15"/>
      <c r="J475" s="16"/>
      <c r="K475" s="14"/>
      <c r="L475" s="17"/>
      <c r="M475" s="18"/>
      <c r="N475" s="17"/>
      <c r="O475" s="18"/>
      <c r="P475" s="19"/>
      <c r="Q475" s="17"/>
      <c r="R475" s="40"/>
      <c r="S475" s="42">
        <v>461</v>
      </c>
      <c r="T475" s="40"/>
      <c r="V475" s="48" t="str">
        <f t="shared" si="116"/>
        <v/>
      </c>
      <c r="W475" s="48">
        <f t="shared" si="105"/>
        <v>0</v>
      </c>
      <c r="Y475" s="48" t="str">
        <f t="shared" si="106"/>
        <v/>
      </c>
      <c r="Z475" s="48" t="str">
        <f t="shared" si="107"/>
        <v/>
      </c>
      <c r="AA475" s="48" t="str">
        <f t="shared" si="108"/>
        <v/>
      </c>
      <c r="AB475" s="48" t="str">
        <f t="shared" si="117"/>
        <v/>
      </c>
      <c r="AC475" s="48" t="str">
        <f t="shared" si="109"/>
        <v/>
      </c>
      <c r="AD475" s="48" t="str">
        <f t="shared" si="110"/>
        <v/>
      </c>
      <c r="AE475" s="48" t="str">
        <f t="shared" si="111"/>
        <v/>
      </c>
      <c r="AF475" s="48" t="str">
        <f t="shared" si="112"/>
        <v/>
      </c>
      <c r="AG475" s="48" t="str">
        <f t="shared" si="113"/>
        <v/>
      </c>
      <c r="AH475" s="48" t="str">
        <f t="shared" si="114"/>
        <v/>
      </c>
      <c r="AI475" s="48" t="str">
        <f t="shared" si="115"/>
        <v/>
      </c>
      <c r="AJ475" s="48" t="str">
        <f t="shared" si="118"/>
        <v/>
      </c>
      <c r="AK475" s="48" t="str">
        <f t="shared" si="119"/>
        <v/>
      </c>
      <c r="AL475" s="48" t="str">
        <f>IF(W475=0,"",_xlfn.CONCAT(DADOS!$A$8,Y475:AK475,"
"))</f>
        <v/>
      </c>
    </row>
    <row r="476" spans="4:38" s="48" customFormat="1" ht="15" customHeight="1" x14ac:dyDescent="0.25">
      <c r="D476" s="49"/>
      <c r="E476" s="43"/>
      <c r="F476" s="20"/>
      <c r="G476" s="14"/>
      <c r="H476" s="20"/>
      <c r="I476" s="15"/>
      <c r="J476" s="16"/>
      <c r="K476" s="14"/>
      <c r="L476" s="17"/>
      <c r="M476" s="18"/>
      <c r="N476" s="17"/>
      <c r="O476" s="18"/>
      <c r="P476" s="19"/>
      <c r="Q476" s="17"/>
      <c r="R476" s="40"/>
      <c r="S476" s="42">
        <v>462</v>
      </c>
      <c r="T476" s="40"/>
      <c r="V476" s="48" t="str">
        <f t="shared" si="116"/>
        <v/>
      </c>
      <c r="W476" s="48">
        <f t="shared" si="105"/>
        <v>0</v>
      </c>
      <c r="Y476" s="48" t="str">
        <f t="shared" si="106"/>
        <v/>
      </c>
      <c r="Z476" s="48" t="str">
        <f t="shared" si="107"/>
        <v/>
      </c>
      <c r="AA476" s="48" t="str">
        <f t="shared" si="108"/>
        <v/>
      </c>
      <c r="AB476" s="48" t="str">
        <f t="shared" si="117"/>
        <v/>
      </c>
      <c r="AC476" s="48" t="str">
        <f t="shared" si="109"/>
        <v/>
      </c>
      <c r="AD476" s="48" t="str">
        <f t="shared" si="110"/>
        <v/>
      </c>
      <c r="AE476" s="48" t="str">
        <f t="shared" si="111"/>
        <v/>
      </c>
      <c r="AF476" s="48" t="str">
        <f t="shared" si="112"/>
        <v/>
      </c>
      <c r="AG476" s="48" t="str">
        <f t="shared" si="113"/>
        <v/>
      </c>
      <c r="AH476" s="48" t="str">
        <f t="shared" si="114"/>
        <v/>
      </c>
      <c r="AI476" s="48" t="str">
        <f t="shared" si="115"/>
        <v/>
      </c>
      <c r="AJ476" s="48" t="str">
        <f t="shared" si="118"/>
        <v/>
      </c>
      <c r="AK476" s="48" t="str">
        <f t="shared" si="119"/>
        <v/>
      </c>
      <c r="AL476" s="48" t="str">
        <f>IF(W476=0,"",_xlfn.CONCAT(DADOS!$A$8,Y476:AK476,"
"))</f>
        <v/>
      </c>
    </row>
    <row r="477" spans="4:38" s="48" customFormat="1" ht="15" customHeight="1" x14ac:dyDescent="0.25">
      <c r="D477" s="49"/>
      <c r="E477" s="43"/>
      <c r="F477" s="20"/>
      <c r="G477" s="14"/>
      <c r="H477" s="20"/>
      <c r="I477" s="15"/>
      <c r="J477" s="16"/>
      <c r="K477" s="14"/>
      <c r="L477" s="17"/>
      <c r="M477" s="18"/>
      <c r="N477" s="17"/>
      <c r="O477" s="18"/>
      <c r="P477" s="19"/>
      <c r="Q477" s="17"/>
      <c r="R477" s="40"/>
      <c r="S477" s="42">
        <v>463</v>
      </c>
      <c r="T477" s="40"/>
      <c r="V477" s="48" t="str">
        <f t="shared" si="116"/>
        <v/>
      </c>
      <c r="W477" s="48">
        <f t="shared" si="105"/>
        <v>0</v>
      </c>
      <c r="Y477" s="48" t="str">
        <f t="shared" si="106"/>
        <v/>
      </c>
      <c r="Z477" s="48" t="str">
        <f t="shared" si="107"/>
        <v/>
      </c>
      <c r="AA477" s="48" t="str">
        <f t="shared" si="108"/>
        <v/>
      </c>
      <c r="AB477" s="48" t="str">
        <f t="shared" si="117"/>
        <v/>
      </c>
      <c r="AC477" s="48" t="str">
        <f t="shared" si="109"/>
        <v/>
      </c>
      <c r="AD477" s="48" t="str">
        <f t="shared" si="110"/>
        <v/>
      </c>
      <c r="AE477" s="48" t="str">
        <f t="shared" si="111"/>
        <v/>
      </c>
      <c r="AF477" s="48" t="str">
        <f t="shared" si="112"/>
        <v/>
      </c>
      <c r="AG477" s="48" t="str">
        <f t="shared" si="113"/>
        <v/>
      </c>
      <c r="AH477" s="48" t="str">
        <f t="shared" si="114"/>
        <v/>
      </c>
      <c r="AI477" s="48" t="str">
        <f t="shared" si="115"/>
        <v/>
      </c>
      <c r="AJ477" s="48" t="str">
        <f t="shared" si="118"/>
        <v/>
      </c>
      <c r="AK477" s="48" t="str">
        <f t="shared" si="119"/>
        <v/>
      </c>
      <c r="AL477" s="48" t="str">
        <f>IF(W477=0,"",_xlfn.CONCAT(DADOS!$A$8,Y477:AK477,"
"))</f>
        <v/>
      </c>
    </row>
    <row r="478" spans="4:38" s="48" customFormat="1" ht="15" customHeight="1" x14ac:dyDescent="0.25">
      <c r="D478" s="49"/>
      <c r="E478" s="43"/>
      <c r="F478" s="20"/>
      <c r="G478" s="14"/>
      <c r="H478" s="20"/>
      <c r="I478" s="15"/>
      <c r="J478" s="16"/>
      <c r="K478" s="14"/>
      <c r="L478" s="17"/>
      <c r="M478" s="18"/>
      <c r="N478" s="17"/>
      <c r="O478" s="18"/>
      <c r="P478" s="19"/>
      <c r="Q478" s="17"/>
      <c r="R478" s="40"/>
      <c r="S478" s="42">
        <v>464</v>
      </c>
      <c r="T478" s="40"/>
      <c r="V478" s="48" t="str">
        <f t="shared" si="116"/>
        <v/>
      </c>
      <c r="W478" s="48">
        <f t="shared" si="105"/>
        <v>0</v>
      </c>
      <c r="Y478" s="48" t="str">
        <f t="shared" si="106"/>
        <v/>
      </c>
      <c r="Z478" s="48" t="str">
        <f t="shared" si="107"/>
        <v/>
      </c>
      <c r="AA478" s="48" t="str">
        <f t="shared" si="108"/>
        <v/>
      </c>
      <c r="AB478" s="48" t="str">
        <f t="shared" si="117"/>
        <v/>
      </c>
      <c r="AC478" s="48" t="str">
        <f t="shared" si="109"/>
        <v/>
      </c>
      <c r="AD478" s="48" t="str">
        <f t="shared" si="110"/>
        <v/>
      </c>
      <c r="AE478" s="48" t="str">
        <f t="shared" si="111"/>
        <v/>
      </c>
      <c r="AF478" s="48" t="str">
        <f t="shared" si="112"/>
        <v/>
      </c>
      <c r="AG478" s="48" t="str">
        <f t="shared" si="113"/>
        <v/>
      </c>
      <c r="AH478" s="48" t="str">
        <f t="shared" si="114"/>
        <v/>
      </c>
      <c r="AI478" s="48" t="str">
        <f t="shared" si="115"/>
        <v/>
      </c>
      <c r="AJ478" s="48" t="str">
        <f t="shared" si="118"/>
        <v/>
      </c>
      <c r="AK478" s="48" t="str">
        <f t="shared" si="119"/>
        <v/>
      </c>
      <c r="AL478" s="48" t="str">
        <f>IF(W478=0,"",_xlfn.CONCAT(DADOS!$A$8,Y478:AK478,"
"))</f>
        <v/>
      </c>
    </row>
    <row r="479" spans="4:38" s="48" customFormat="1" ht="15" customHeight="1" x14ac:dyDescent="0.25">
      <c r="D479" s="49"/>
      <c r="E479" s="43"/>
      <c r="F479" s="20"/>
      <c r="G479" s="14"/>
      <c r="H479" s="20"/>
      <c r="I479" s="15"/>
      <c r="J479" s="16"/>
      <c r="K479" s="14"/>
      <c r="L479" s="17"/>
      <c r="M479" s="18"/>
      <c r="N479" s="17"/>
      <c r="O479" s="18"/>
      <c r="P479" s="19"/>
      <c r="Q479" s="17"/>
      <c r="R479" s="40"/>
      <c r="S479" s="42">
        <v>465</v>
      </c>
      <c r="T479" s="40"/>
      <c r="V479" s="48" t="str">
        <f t="shared" si="116"/>
        <v/>
      </c>
      <c r="W479" s="48">
        <f t="shared" si="105"/>
        <v>0</v>
      </c>
      <c r="Y479" s="48" t="str">
        <f t="shared" si="106"/>
        <v/>
      </c>
      <c r="Z479" s="48" t="str">
        <f t="shared" si="107"/>
        <v/>
      </c>
      <c r="AA479" s="48" t="str">
        <f t="shared" si="108"/>
        <v/>
      </c>
      <c r="AB479" s="48" t="str">
        <f t="shared" si="117"/>
        <v/>
      </c>
      <c r="AC479" s="48" t="str">
        <f t="shared" si="109"/>
        <v/>
      </c>
      <c r="AD479" s="48" t="str">
        <f t="shared" si="110"/>
        <v/>
      </c>
      <c r="AE479" s="48" t="str">
        <f t="shared" si="111"/>
        <v/>
      </c>
      <c r="AF479" s="48" t="str">
        <f t="shared" si="112"/>
        <v/>
      </c>
      <c r="AG479" s="48" t="str">
        <f t="shared" si="113"/>
        <v/>
      </c>
      <c r="AH479" s="48" t="str">
        <f t="shared" si="114"/>
        <v/>
      </c>
      <c r="AI479" s="48" t="str">
        <f t="shared" si="115"/>
        <v/>
      </c>
      <c r="AJ479" s="48" t="str">
        <f t="shared" si="118"/>
        <v/>
      </c>
      <c r="AK479" s="48" t="str">
        <f t="shared" si="119"/>
        <v/>
      </c>
      <c r="AL479" s="48" t="str">
        <f>IF(W479=0,"",_xlfn.CONCAT(DADOS!$A$8,Y479:AK479,"
"))</f>
        <v/>
      </c>
    </row>
    <row r="480" spans="4:38" s="48" customFormat="1" ht="15" customHeight="1" x14ac:dyDescent="0.25">
      <c r="D480" s="49"/>
      <c r="E480" s="43"/>
      <c r="F480" s="20"/>
      <c r="G480" s="14"/>
      <c r="H480" s="20"/>
      <c r="I480" s="15"/>
      <c r="J480" s="16"/>
      <c r="K480" s="14"/>
      <c r="L480" s="17"/>
      <c r="M480" s="18"/>
      <c r="N480" s="17"/>
      <c r="O480" s="18"/>
      <c r="P480" s="19"/>
      <c r="Q480" s="17"/>
      <c r="R480" s="40"/>
      <c r="S480" s="42">
        <v>466</v>
      </c>
      <c r="T480" s="40"/>
      <c r="V480" s="48" t="str">
        <f t="shared" si="116"/>
        <v/>
      </c>
      <c r="W480" s="48">
        <f t="shared" si="105"/>
        <v>0</v>
      </c>
      <c r="Y480" s="48" t="str">
        <f t="shared" si="106"/>
        <v/>
      </c>
      <c r="Z480" s="48" t="str">
        <f t="shared" si="107"/>
        <v/>
      </c>
      <c r="AA480" s="48" t="str">
        <f t="shared" si="108"/>
        <v/>
      </c>
      <c r="AB480" s="48" t="str">
        <f t="shared" si="117"/>
        <v/>
      </c>
      <c r="AC480" s="48" t="str">
        <f t="shared" si="109"/>
        <v/>
      </c>
      <c r="AD480" s="48" t="str">
        <f t="shared" si="110"/>
        <v/>
      </c>
      <c r="AE480" s="48" t="str">
        <f t="shared" si="111"/>
        <v/>
      </c>
      <c r="AF480" s="48" t="str">
        <f t="shared" si="112"/>
        <v/>
      </c>
      <c r="AG480" s="48" t="str">
        <f t="shared" si="113"/>
        <v/>
      </c>
      <c r="AH480" s="48" t="str">
        <f t="shared" si="114"/>
        <v/>
      </c>
      <c r="AI480" s="48" t="str">
        <f t="shared" si="115"/>
        <v/>
      </c>
      <c r="AJ480" s="48" t="str">
        <f t="shared" si="118"/>
        <v/>
      </c>
      <c r="AK480" s="48" t="str">
        <f t="shared" si="119"/>
        <v/>
      </c>
      <c r="AL480" s="48" t="str">
        <f>IF(W480=0,"",_xlfn.CONCAT(DADOS!$A$8,Y480:AK480,"
"))</f>
        <v/>
      </c>
    </row>
    <row r="481" spans="4:38" s="48" customFormat="1" ht="15" customHeight="1" x14ac:dyDescent="0.25">
      <c r="D481" s="49"/>
      <c r="E481" s="43"/>
      <c r="F481" s="20"/>
      <c r="G481" s="14"/>
      <c r="H481" s="20"/>
      <c r="I481" s="15"/>
      <c r="J481" s="16"/>
      <c r="K481" s="14"/>
      <c r="L481" s="17"/>
      <c r="M481" s="18"/>
      <c r="N481" s="17"/>
      <c r="O481" s="18"/>
      <c r="P481" s="19"/>
      <c r="Q481" s="17"/>
      <c r="R481" s="40"/>
      <c r="S481" s="42">
        <v>467</v>
      </c>
      <c r="T481" s="40"/>
      <c r="V481" s="48" t="str">
        <f t="shared" si="116"/>
        <v/>
      </c>
      <c r="W481" s="48">
        <f t="shared" si="105"/>
        <v>0</v>
      </c>
      <c r="Y481" s="48" t="str">
        <f t="shared" si="106"/>
        <v/>
      </c>
      <c r="Z481" s="48" t="str">
        <f t="shared" si="107"/>
        <v/>
      </c>
      <c r="AA481" s="48" t="str">
        <f t="shared" si="108"/>
        <v/>
      </c>
      <c r="AB481" s="48" t="str">
        <f t="shared" si="117"/>
        <v/>
      </c>
      <c r="AC481" s="48" t="str">
        <f t="shared" si="109"/>
        <v/>
      </c>
      <c r="AD481" s="48" t="str">
        <f t="shared" si="110"/>
        <v/>
      </c>
      <c r="AE481" s="48" t="str">
        <f t="shared" si="111"/>
        <v/>
      </c>
      <c r="AF481" s="48" t="str">
        <f t="shared" si="112"/>
        <v/>
      </c>
      <c r="AG481" s="48" t="str">
        <f t="shared" si="113"/>
        <v/>
      </c>
      <c r="AH481" s="48" t="str">
        <f t="shared" si="114"/>
        <v/>
      </c>
      <c r="AI481" s="48" t="str">
        <f t="shared" si="115"/>
        <v/>
      </c>
      <c r="AJ481" s="48" t="str">
        <f t="shared" si="118"/>
        <v/>
      </c>
      <c r="AK481" s="48" t="str">
        <f t="shared" si="119"/>
        <v/>
      </c>
      <c r="AL481" s="48" t="str">
        <f>IF(W481=0,"",_xlfn.CONCAT(DADOS!$A$8,Y481:AK481,"
"))</f>
        <v/>
      </c>
    </row>
    <row r="482" spans="4:38" s="48" customFormat="1" ht="15" customHeight="1" x14ac:dyDescent="0.25">
      <c r="D482" s="49"/>
      <c r="E482" s="43"/>
      <c r="F482" s="20"/>
      <c r="G482" s="14"/>
      <c r="H482" s="20"/>
      <c r="I482" s="15"/>
      <c r="J482" s="16"/>
      <c r="K482" s="14"/>
      <c r="L482" s="17"/>
      <c r="M482" s="18"/>
      <c r="N482" s="17"/>
      <c r="O482" s="18"/>
      <c r="P482" s="19"/>
      <c r="Q482" s="17"/>
      <c r="R482" s="40"/>
      <c r="S482" s="42">
        <v>468</v>
      </c>
      <c r="T482" s="40"/>
      <c r="V482" s="48" t="str">
        <f t="shared" si="116"/>
        <v/>
      </c>
      <c r="W482" s="48">
        <f t="shared" si="105"/>
        <v>0</v>
      </c>
      <c r="Y482" s="48" t="str">
        <f t="shared" si="106"/>
        <v/>
      </c>
      <c r="Z482" s="48" t="str">
        <f t="shared" si="107"/>
        <v/>
      </c>
      <c r="AA482" s="48" t="str">
        <f t="shared" si="108"/>
        <v/>
      </c>
      <c r="AB482" s="48" t="str">
        <f t="shared" si="117"/>
        <v/>
      </c>
      <c r="AC482" s="48" t="str">
        <f t="shared" si="109"/>
        <v/>
      </c>
      <c r="AD482" s="48" t="str">
        <f t="shared" si="110"/>
        <v/>
      </c>
      <c r="AE482" s="48" t="str">
        <f t="shared" si="111"/>
        <v/>
      </c>
      <c r="AF482" s="48" t="str">
        <f t="shared" si="112"/>
        <v/>
      </c>
      <c r="AG482" s="48" t="str">
        <f t="shared" si="113"/>
        <v/>
      </c>
      <c r="AH482" s="48" t="str">
        <f t="shared" si="114"/>
        <v/>
      </c>
      <c r="AI482" s="48" t="str">
        <f t="shared" si="115"/>
        <v/>
      </c>
      <c r="AJ482" s="48" t="str">
        <f t="shared" si="118"/>
        <v/>
      </c>
      <c r="AK482" s="48" t="str">
        <f t="shared" si="119"/>
        <v/>
      </c>
      <c r="AL482" s="48" t="str">
        <f>IF(W482=0,"",_xlfn.CONCAT(DADOS!$A$8,Y482:AK482,"
"))</f>
        <v/>
      </c>
    </row>
    <row r="483" spans="4:38" s="48" customFormat="1" ht="15" customHeight="1" x14ac:dyDescent="0.25">
      <c r="D483" s="49"/>
      <c r="E483" s="43"/>
      <c r="F483" s="20"/>
      <c r="G483" s="14"/>
      <c r="H483" s="20"/>
      <c r="I483" s="15"/>
      <c r="J483" s="16"/>
      <c r="K483" s="14"/>
      <c r="L483" s="17"/>
      <c r="M483" s="18"/>
      <c r="N483" s="17"/>
      <c r="O483" s="18"/>
      <c r="P483" s="19"/>
      <c r="Q483" s="17"/>
      <c r="R483" s="40"/>
      <c r="S483" s="42">
        <v>469</v>
      </c>
      <c r="T483" s="40"/>
      <c r="V483" s="48" t="str">
        <f t="shared" si="116"/>
        <v/>
      </c>
      <c r="W483" s="48">
        <f t="shared" si="105"/>
        <v>0</v>
      </c>
      <c r="Y483" s="48" t="str">
        <f t="shared" si="106"/>
        <v/>
      </c>
      <c r="Z483" s="48" t="str">
        <f t="shared" si="107"/>
        <v/>
      </c>
      <c r="AA483" s="48" t="str">
        <f t="shared" si="108"/>
        <v/>
      </c>
      <c r="AB483" s="48" t="str">
        <f t="shared" si="117"/>
        <v/>
      </c>
      <c r="AC483" s="48" t="str">
        <f t="shared" si="109"/>
        <v/>
      </c>
      <c r="AD483" s="48" t="str">
        <f t="shared" si="110"/>
        <v/>
      </c>
      <c r="AE483" s="48" t="str">
        <f t="shared" si="111"/>
        <v/>
      </c>
      <c r="AF483" s="48" t="str">
        <f t="shared" si="112"/>
        <v/>
      </c>
      <c r="AG483" s="48" t="str">
        <f t="shared" si="113"/>
        <v/>
      </c>
      <c r="AH483" s="48" t="str">
        <f t="shared" si="114"/>
        <v/>
      </c>
      <c r="AI483" s="48" t="str">
        <f t="shared" si="115"/>
        <v/>
      </c>
      <c r="AJ483" s="48" t="str">
        <f t="shared" si="118"/>
        <v/>
      </c>
      <c r="AK483" s="48" t="str">
        <f t="shared" si="119"/>
        <v/>
      </c>
      <c r="AL483" s="48" t="str">
        <f>IF(W483=0,"",_xlfn.CONCAT(DADOS!$A$8,Y483:AK483,"
"))</f>
        <v/>
      </c>
    </row>
    <row r="484" spans="4:38" s="48" customFormat="1" ht="15" customHeight="1" x14ac:dyDescent="0.25">
      <c r="D484" s="49"/>
      <c r="E484" s="43"/>
      <c r="F484" s="20"/>
      <c r="G484" s="14"/>
      <c r="H484" s="20"/>
      <c r="I484" s="15"/>
      <c r="J484" s="16"/>
      <c r="K484" s="14"/>
      <c r="L484" s="17"/>
      <c r="M484" s="18"/>
      <c r="N484" s="17"/>
      <c r="O484" s="18"/>
      <c r="P484" s="19"/>
      <c r="Q484" s="17"/>
      <c r="R484" s="40"/>
      <c r="S484" s="42">
        <v>470</v>
      </c>
      <c r="T484" s="40"/>
      <c r="V484" s="48" t="str">
        <f t="shared" si="116"/>
        <v/>
      </c>
      <c r="W484" s="48">
        <f t="shared" si="105"/>
        <v>0</v>
      </c>
      <c r="Y484" s="48" t="str">
        <f t="shared" si="106"/>
        <v/>
      </c>
      <c r="Z484" s="48" t="str">
        <f t="shared" si="107"/>
        <v/>
      </c>
      <c r="AA484" s="48" t="str">
        <f t="shared" si="108"/>
        <v/>
      </c>
      <c r="AB484" s="48" t="str">
        <f t="shared" si="117"/>
        <v/>
      </c>
      <c r="AC484" s="48" t="str">
        <f t="shared" si="109"/>
        <v/>
      </c>
      <c r="AD484" s="48" t="str">
        <f t="shared" si="110"/>
        <v/>
      </c>
      <c r="AE484" s="48" t="str">
        <f t="shared" si="111"/>
        <v/>
      </c>
      <c r="AF484" s="48" t="str">
        <f t="shared" si="112"/>
        <v/>
      </c>
      <c r="AG484" s="48" t="str">
        <f t="shared" si="113"/>
        <v/>
      </c>
      <c r="AH484" s="48" t="str">
        <f t="shared" si="114"/>
        <v/>
      </c>
      <c r="AI484" s="48" t="str">
        <f t="shared" si="115"/>
        <v/>
      </c>
      <c r="AJ484" s="48" t="str">
        <f t="shared" si="118"/>
        <v/>
      </c>
      <c r="AK484" s="48" t="str">
        <f t="shared" si="119"/>
        <v/>
      </c>
      <c r="AL484" s="48" t="str">
        <f>IF(W484=0,"",_xlfn.CONCAT(DADOS!$A$8,Y484:AK484,"
"))</f>
        <v/>
      </c>
    </row>
    <row r="485" spans="4:38" s="48" customFormat="1" ht="15" customHeight="1" x14ac:dyDescent="0.25">
      <c r="D485" s="49"/>
      <c r="E485" s="43"/>
      <c r="F485" s="20"/>
      <c r="G485" s="14"/>
      <c r="H485" s="20"/>
      <c r="I485" s="15"/>
      <c r="J485" s="16"/>
      <c r="K485" s="14"/>
      <c r="L485" s="17"/>
      <c r="M485" s="18"/>
      <c r="N485" s="17"/>
      <c r="O485" s="18"/>
      <c r="P485" s="19"/>
      <c r="Q485" s="17"/>
      <c r="R485" s="40"/>
      <c r="S485" s="42">
        <v>471</v>
      </c>
      <c r="T485" s="40"/>
      <c r="V485" s="48" t="str">
        <f t="shared" si="116"/>
        <v/>
      </c>
      <c r="W485" s="48">
        <f t="shared" si="105"/>
        <v>0</v>
      </c>
      <c r="Y485" s="48" t="str">
        <f t="shared" si="106"/>
        <v/>
      </c>
      <c r="Z485" s="48" t="str">
        <f t="shared" si="107"/>
        <v/>
      </c>
      <c r="AA485" s="48" t="str">
        <f t="shared" si="108"/>
        <v/>
      </c>
      <c r="AB485" s="48" t="str">
        <f t="shared" si="117"/>
        <v/>
      </c>
      <c r="AC485" s="48" t="str">
        <f t="shared" si="109"/>
        <v/>
      </c>
      <c r="AD485" s="48" t="str">
        <f t="shared" si="110"/>
        <v/>
      </c>
      <c r="AE485" s="48" t="str">
        <f t="shared" si="111"/>
        <v/>
      </c>
      <c r="AF485" s="48" t="str">
        <f t="shared" si="112"/>
        <v/>
      </c>
      <c r="AG485" s="48" t="str">
        <f t="shared" si="113"/>
        <v/>
      </c>
      <c r="AH485" s="48" t="str">
        <f t="shared" si="114"/>
        <v/>
      </c>
      <c r="AI485" s="48" t="str">
        <f t="shared" si="115"/>
        <v/>
      </c>
      <c r="AJ485" s="48" t="str">
        <f t="shared" si="118"/>
        <v/>
      </c>
      <c r="AK485" s="48" t="str">
        <f t="shared" si="119"/>
        <v/>
      </c>
      <c r="AL485" s="48" t="str">
        <f>IF(W485=0,"",_xlfn.CONCAT(DADOS!$A$8,Y485:AK485,"
"))</f>
        <v/>
      </c>
    </row>
    <row r="486" spans="4:38" s="48" customFormat="1" ht="15" customHeight="1" x14ac:dyDescent="0.25">
      <c r="D486" s="49"/>
      <c r="E486" s="43"/>
      <c r="F486" s="20"/>
      <c r="G486" s="14"/>
      <c r="H486" s="20"/>
      <c r="I486" s="15"/>
      <c r="J486" s="16"/>
      <c r="K486" s="14"/>
      <c r="L486" s="17"/>
      <c r="M486" s="18"/>
      <c r="N486" s="17"/>
      <c r="O486" s="18"/>
      <c r="P486" s="19"/>
      <c r="Q486" s="17"/>
      <c r="R486" s="40"/>
      <c r="S486" s="42">
        <v>472</v>
      </c>
      <c r="T486" s="40"/>
      <c r="V486" s="48" t="str">
        <f t="shared" si="116"/>
        <v/>
      </c>
      <c r="W486" s="48">
        <f t="shared" si="105"/>
        <v>0</v>
      </c>
      <c r="Y486" s="48" t="str">
        <f t="shared" si="106"/>
        <v/>
      </c>
      <c r="Z486" s="48" t="str">
        <f t="shared" si="107"/>
        <v/>
      </c>
      <c r="AA486" s="48" t="str">
        <f t="shared" si="108"/>
        <v/>
      </c>
      <c r="AB486" s="48" t="str">
        <f t="shared" si="117"/>
        <v/>
      </c>
      <c r="AC486" s="48" t="str">
        <f t="shared" si="109"/>
        <v/>
      </c>
      <c r="AD486" s="48" t="str">
        <f t="shared" si="110"/>
        <v/>
      </c>
      <c r="AE486" s="48" t="str">
        <f t="shared" si="111"/>
        <v/>
      </c>
      <c r="AF486" s="48" t="str">
        <f t="shared" si="112"/>
        <v/>
      </c>
      <c r="AG486" s="48" t="str">
        <f t="shared" si="113"/>
        <v/>
      </c>
      <c r="AH486" s="48" t="str">
        <f t="shared" si="114"/>
        <v/>
      </c>
      <c r="AI486" s="48" t="str">
        <f t="shared" si="115"/>
        <v/>
      </c>
      <c r="AJ486" s="48" t="str">
        <f t="shared" si="118"/>
        <v/>
      </c>
      <c r="AK486" s="48" t="str">
        <f t="shared" si="119"/>
        <v/>
      </c>
      <c r="AL486" s="48" t="str">
        <f>IF(W486=0,"",_xlfn.CONCAT(DADOS!$A$8,Y486:AK486,"
"))</f>
        <v/>
      </c>
    </row>
    <row r="487" spans="4:38" s="48" customFormat="1" ht="15" customHeight="1" x14ac:dyDescent="0.25">
      <c r="D487" s="49"/>
      <c r="E487" s="43"/>
      <c r="F487" s="20"/>
      <c r="G487" s="14"/>
      <c r="H487" s="20"/>
      <c r="I487" s="15"/>
      <c r="J487" s="16"/>
      <c r="K487" s="14"/>
      <c r="L487" s="17"/>
      <c r="M487" s="18"/>
      <c r="N487" s="17"/>
      <c r="O487" s="18"/>
      <c r="P487" s="19"/>
      <c r="Q487" s="17"/>
      <c r="R487" s="40"/>
      <c r="S487" s="42">
        <v>473</v>
      </c>
      <c r="T487" s="40"/>
      <c r="V487" s="48" t="str">
        <f t="shared" si="116"/>
        <v/>
      </c>
      <c r="W487" s="48">
        <f t="shared" si="105"/>
        <v>0</v>
      </c>
      <c r="Y487" s="48" t="str">
        <f t="shared" si="106"/>
        <v/>
      </c>
      <c r="Z487" s="48" t="str">
        <f t="shared" si="107"/>
        <v/>
      </c>
      <c r="AA487" s="48" t="str">
        <f t="shared" si="108"/>
        <v/>
      </c>
      <c r="AB487" s="48" t="str">
        <f t="shared" si="117"/>
        <v/>
      </c>
      <c r="AC487" s="48" t="str">
        <f t="shared" si="109"/>
        <v/>
      </c>
      <c r="AD487" s="48" t="str">
        <f t="shared" si="110"/>
        <v/>
      </c>
      <c r="AE487" s="48" t="str">
        <f t="shared" si="111"/>
        <v/>
      </c>
      <c r="AF487" s="48" t="str">
        <f t="shared" si="112"/>
        <v/>
      </c>
      <c r="AG487" s="48" t="str">
        <f t="shared" si="113"/>
        <v/>
      </c>
      <c r="AH487" s="48" t="str">
        <f t="shared" si="114"/>
        <v/>
      </c>
      <c r="AI487" s="48" t="str">
        <f t="shared" si="115"/>
        <v/>
      </c>
      <c r="AJ487" s="48" t="str">
        <f t="shared" si="118"/>
        <v/>
      </c>
      <c r="AK487" s="48" t="str">
        <f t="shared" si="119"/>
        <v/>
      </c>
      <c r="AL487" s="48" t="str">
        <f>IF(W487=0,"",_xlfn.CONCAT(DADOS!$A$8,Y487:AK487,"
"))</f>
        <v/>
      </c>
    </row>
    <row r="488" spans="4:38" s="48" customFormat="1" ht="15" customHeight="1" x14ac:dyDescent="0.25">
      <c r="D488" s="49"/>
      <c r="E488" s="43"/>
      <c r="F488" s="20"/>
      <c r="G488" s="14"/>
      <c r="H488" s="20"/>
      <c r="I488" s="15"/>
      <c r="J488" s="16"/>
      <c r="K488" s="14"/>
      <c r="L488" s="17"/>
      <c r="M488" s="18"/>
      <c r="N488" s="17"/>
      <c r="O488" s="18"/>
      <c r="P488" s="19"/>
      <c r="Q488" s="17"/>
      <c r="R488" s="40"/>
      <c r="S488" s="42">
        <v>474</v>
      </c>
      <c r="T488" s="40"/>
      <c r="V488" s="48" t="str">
        <f t="shared" si="116"/>
        <v/>
      </c>
      <c r="W488" s="48">
        <f t="shared" si="105"/>
        <v>0</v>
      </c>
      <c r="Y488" s="48" t="str">
        <f t="shared" si="106"/>
        <v/>
      </c>
      <c r="Z488" s="48" t="str">
        <f t="shared" si="107"/>
        <v/>
      </c>
      <c r="AA488" s="48" t="str">
        <f t="shared" si="108"/>
        <v/>
      </c>
      <c r="AB488" s="48" t="str">
        <f t="shared" si="117"/>
        <v/>
      </c>
      <c r="AC488" s="48" t="str">
        <f t="shared" si="109"/>
        <v/>
      </c>
      <c r="AD488" s="48" t="str">
        <f t="shared" si="110"/>
        <v/>
      </c>
      <c r="AE488" s="48" t="str">
        <f t="shared" si="111"/>
        <v/>
      </c>
      <c r="AF488" s="48" t="str">
        <f t="shared" si="112"/>
        <v/>
      </c>
      <c r="AG488" s="48" t="str">
        <f t="shared" si="113"/>
        <v/>
      </c>
      <c r="AH488" s="48" t="str">
        <f t="shared" si="114"/>
        <v/>
      </c>
      <c r="AI488" s="48" t="str">
        <f t="shared" si="115"/>
        <v/>
      </c>
      <c r="AJ488" s="48" t="str">
        <f t="shared" si="118"/>
        <v/>
      </c>
      <c r="AK488" s="48" t="str">
        <f t="shared" si="119"/>
        <v/>
      </c>
      <c r="AL488" s="48" t="str">
        <f>IF(W488=0,"",_xlfn.CONCAT(DADOS!$A$8,Y488:AK488,"
"))</f>
        <v/>
      </c>
    </row>
    <row r="489" spans="4:38" s="48" customFormat="1" ht="15" customHeight="1" x14ac:dyDescent="0.25">
      <c r="D489" s="49"/>
      <c r="E489" s="43"/>
      <c r="F489" s="20"/>
      <c r="G489" s="14"/>
      <c r="H489" s="20"/>
      <c r="I489" s="15"/>
      <c r="J489" s="16"/>
      <c r="K489" s="14"/>
      <c r="L489" s="17"/>
      <c r="M489" s="18"/>
      <c r="N489" s="17"/>
      <c r="O489" s="18"/>
      <c r="P489" s="19"/>
      <c r="Q489" s="17"/>
      <c r="R489" s="40"/>
      <c r="S489" s="42">
        <v>475</v>
      </c>
      <c r="T489" s="40"/>
      <c r="V489" s="48" t="str">
        <f t="shared" si="116"/>
        <v/>
      </c>
      <c r="W489" s="48">
        <f t="shared" si="105"/>
        <v>0</v>
      </c>
      <c r="Y489" s="48" t="str">
        <f t="shared" si="106"/>
        <v/>
      </c>
      <c r="Z489" s="48" t="str">
        <f t="shared" si="107"/>
        <v/>
      </c>
      <c r="AA489" s="48" t="str">
        <f t="shared" si="108"/>
        <v/>
      </c>
      <c r="AB489" s="48" t="str">
        <f t="shared" si="117"/>
        <v/>
      </c>
      <c r="AC489" s="48" t="str">
        <f t="shared" si="109"/>
        <v/>
      </c>
      <c r="AD489" s="48" t="str">
        <f t="shared" si="110"/>
        <v/>
      </c>
      <c r="AE489" s="48" t="str">
        <f t="shared" si="111"/>
        <v/>
      </c>
      <c r="AF489" s="48" t="str">
        <f t="shared" si="112"/>
        <v/>
      </c>
      <c r="AG489" s="48" t="str">
        <f t="shared" si="113"/>
        <v/>
      </c>
      <c r="AH489" s="48" t="str">
        <f t="shared" si="114"/>
        <v/>
      </c>
      <c r="AI489" s="48" t="str">
        <f t="shared" si="115"/>
        <v/>
      </c>
      <c r="AJ489" s="48" t="str">
        <f t="shared" si="118"/>
        <v/>
      </c>
      <c r="AK489" s="48" t="str">
        <f t="shared" si="119"/>
        <v/>
      </c>
      <c r="AL489" s="48" t="str">
        <f>IF(W489=0,"",_xlfn.CONCAT(DADOS!$A$8,Y489:AK489,"
"))</f>
        <v/>
      </c>
    </row>
    <row r="490" spans="4:38" s="48" customFormat="1" ht="15" customHeight="1" x14ac:dyDescent="0.25">
      <c r="D490" s="49"/>
      <c r="E490" s="43"/>
      <c r="F490" s="20"/>
      <c r="G490" s="14"/>
      <c r="H490" s="20"/>
      <c r="I490" s="15"/>
      <c r="J490" s="16"/>
      <c r="K490" s="14"/>
      <c r="L490" s="17"/>
      <c r="M490" s="18"/>
      <c r="N490" s="17"/>
      <c r="O490" s="18"/>
      <c r="P490" s="19"/>
      <c r="Q490" s="17"/>
      <c r="R490" s="40"/>
      <c r="S490" s="42">
        <v>476</v>
      </c>
      <c r="T490" s="40"/>
      <c r="V490" s="48" t="str">
        <f t="shared" si="116"/>
        <v/>
      </c>
      <c r="W490" s="48">
        <f t="shared" si="105"/>
        <v>0</v>
      </c>
      <c r="Y490" s="48" t="str">
        <f t="shared" si="106"/>
        <v/>
      </c>
      <c r="Z490" s="48" t="str">
        <f t="shared" si="107"/>
        <v/>
      </c>
      <c r="AA490" s="48" t="str">
        <f t="shared" si="108"/>
        <v/>
      </c>
      <c r="AB490" s="48" t="str">
        <f t="shared" si="117"/>
        <v/>
      </c>
      <c r="AC490" s="48" t="str">
        <f t="shared" si="109"/>
        <v/>
      </c>
      <c r="AD490" s="48" t="str">
        <f t="shared" si="110"/>
        <v/>
      </c>
      <c r="AE490" s="48" t="str">
        <f t="shared" si="111"/>
        <v/>
      </c>
      <c r="AF490" s="48" t="str">
        <f t="shared" si="112"/>
        <v/>
      </c>
      <c r="AG490" s="48" t="str">
        <f t="shared" si="113"/>
        <v/>
      </c>
      <c r="AH490" s="48" t="str">
        <f t="shared" si="114"/>
        <v/>
      </c>
      <c r="AI490" s="48" t="str">
        <f t="shared" si="115"/>
        <v/>
      </c>
      <c r="AJ490" s="48" t="str">
        <f t="shared" si="118"/>
        <v/>
      </c>
      <c r="AK490" s="48" t="str">
        <f t="shared" si="119"/>
        <v/>
      </c>
      <c r="AL490" s="48" t="str">
        <f>IF(W490=0,"",_xlfn.CONCAT(DADOS!$A$8,Y490:AK490,"
"))</f>
        <v/>
      </c>
    </row>
    <row r="491" spans="4:38" s="48" customFormat="1" ht="15" customHeight="1" x14ac:dyDescent="0.25">
      <c r="D491" s="49"/>
      <c r="E491" s="43"/>
      <c r="F491" s="20"/>
      <c r="G491" s="14"/>
      <c r="H491" s="20"/>
      <c r="I491" s="15"/>
      <c r="J491" s="16"/>
      <c r="K491" s="14"/>
      <c r="L491" s="17"/>
      <c r="M491" s="18"/>
      <c r="N491" s="17"/>
      <c r="O491" s="18"/>
      <c r="P491" s="19"/>
      <c r="Q491" s="17"/>
      <c r="R491" s="40"/>
      <c r="S491" s="42">
        <v>477</v>
      </c>
      <c r="T491" s="40"/>
      <c r="V491" s="48" t="str">
        <f t="shared" si="116"/>
        <v/>
      </c>
      <c r="W491" s="48">
        <f t="shared" si="105"/>
        <v>0</v>
      </c>
      <c r="Y491" s="48" t="str">
        <f t="shared" si="106"/>
        <v/>
      </c>
      <c r="Z491" s="48" t="str">
        <f t="shared" si="107"/>
        <v/>
      </c>
      <c r="AA491" s="48" t="str">
        <f t="shared" si="108"/>
        <v/>
      </c>
      <c r="AB491" s="48" t="str">
        <f t="shared" si="117"/>
        <v/>
      </c>
      <c r="AC491" s="48" t="str">
        <f t="shared" si="109"/>
        <v/>
      </c>
      <c r="AD491" s="48" t="str">
        <f t="shared" si="110"/>
        <v/>
      </c>
      <c r="AE491" s="48" t="str">
        <f t="shared" si="111"/>
        <v/>
      </c>
      <c r="AF491" s="48" t="str">
        <f t="shared" si="112"/>
        <v/>
      </c>
      <c r="AG491" s="48" t="str">
        <f t="shared" si="113"/>
        <v/>
      </c>
      <c r="AH491" s="48" t="str">
        <f t="shared" si="114"/>
        <v/>
      </c>
      <c r="AI491" s="48" t="str">
        <f t="shared" si="115"/>
        <v/>
      </c>
      <c r="AJ491" s="48" t="str">
        <f t="shared" si="118"/>
        <v/>
      </c>
      <c r="AK491" s="48" t="str">
        <f t="shared" si="119"/>
        <v/>
      </c>
      <c r="AL491" s="48" t="str">
        <f>IF(W491=0,"",_xlfn.CONCAT(DADOS!$A$8,Y491:AK491,"
"))</f>
        <v/>
      </c>
    </row>
    <row r="492" spans="4:38" s="48" customFormat="1" ht="15" customHeight="1" x14ac:dyDescent="0.25">
      <c r="D492" s="49"/>
      <c r="E492" s="43"/>
      <c r="F492" s="20"/>
      <c r="G492" s="14"/>
      <c r="H492" s="20"/>
      <c r="I492" s="15"/>
      <c r="J492" s="16"/>
      <c r="K492" s="14"/>
      <c r="L492" s="17"/>
      <c r="M492" s="18"/>
      <c r="N492" s="17"/>
      <c r="O492" s="18"/>
      <c r="P492" s="19"/>
      <c r="Q492" s="17"/>
      <c r="R492" s="40"/>
      <c r="S492" s="42">
        <v>478</v>
      </c>
      <c r="T492" s="40"/>
      <c r="V492" s="48" t="str">
        <f t="shared" si="116"/>
        <v/>
      </c>
      <c r="W492" s="48">
        <f t="shared" si="105"/>
        <v>0</v>
      </c>
      <c r="Y492" s="48" t="str">
        <f t="shared" si="106"/>
        <v/>
      </c>
      <c r="Z492" s="48" t="str">
        <f t="shared" si="107"/>
        <v/>
      </c>
      <c r="AA492" s="48" t="str">
        <f t="shared" si="108"/>
        <v/>
      </c>
      <c r="AB492" s="48" t="str">
        <f t="shared" si="117"/>
        <v/>
      </c>
      <c r="AC492" s="48" t="str">
        <f t="shared" si="109"/>
        <v/>
      </c>
      <c r="AD492" s="48" t="str">
        <f t="shared" si="110"/>
        <v/>
      </c>
      <c r="AE492" s="48" t="str">
        <f t="shared" si="111"/>
        <v/>
      </c>
      <c r="AF492" s="48" t="str">
        <f t="shared" si="112"/>
        <v/>
      </c>
      <c r="AG492" s="48" t="str">
        <f t="shared" si="113"/>
        <v/>
      </c>
      <c r="AH492" s="48" t="str">
        <f t="shared" si="114"/>
        <v/>
      </c>
      <c r="AI492" s="48" t="str">
        <f t="shared" si="115"/>
        <v/>
      </c>
      <c r="AJ492" s="48" t="str">
        <f t="shared" si="118"/>
        <v/>
      </c>
      <c r="AK492" s="48" t="str">
        <f t="shared" si="119"/>
        <v/>
      </c>
      <c r="AL492" s="48" t="str">
        <f>IF(W492=0,"",_xlfn.CONCAT(DADOS!$A$8,Y492:AK492,"
"))</f>
        <v/>
      </c>
    </row>
    <row r="493" spans="4:38" s="48" customFormat="1" ht="15" customHeight="1" x14ac:dyDescent="0.25">
      <c r="D493" s="49"/>
      <c r="E493" s="43"/>
      <c r="F493" s="20"/>
      <c r="G493" s="14"/>
      <c r="H493" s="20"/>
      <c r="I493" s="15"/>
      <c r="J493" s="16"/>
      <c r="K493" s="14"/>
      <c r="L493" s="17"/>
      <c r="M493" s="18"/>
      <c r="N493" s="17"/>
      <c r="O493" s="18"/>
      <c r="P493" s="19"/>
      <c r="Q493" s="17"/>
      <c r="R493" s="40"/>
      <c r="S493" s="42">
        <v>479</v>
      </c>
      <c r="T493" s="40"/>
      <c r="V493" s="48" t="str">
        <f t="shared" si="116"/>
        <v/>
      </c>
      <c r="W493" s="48">
        <f t="shared" si="105"/>
        <v>0</v>
      </c>
      <c r="Y493" s="48" t="str">
        <f t="shared" si="106"/>
        <v/>
      </c>
      <c r="Z493" s="48" t="str">
        <f t="shared" si="107"/>
        <v/>
      </c>
      <c r="AA493" s="48" t="str">
        <f t="shared" si="108"/>
        <v/>
      </c>
      <c r="AB493" s="48" t="str">
        <f t="shared" si="117"/>
        <v/>
      </c>
      <c r="AC493" s="48" t="str">
        <f t="shared" si="109"/>
        <v/>
      </c>
      <c r="AD493" s="48" t="str">
        <f t="shared" si="110"/>
        <v/>
      </c>
      <c r="AE493" s="48" t="str">
        <f t="shared" si="111"/>
        <v/>
      </c>
      <c r="AF493" s="48" t="str">
        <f t="shared" si="112"/>
        <v/>
      </c>
      <c r="AG493" s="48" t="str">
        <f t="shared" si="113"/>
        <v/>
      </c>
      <c r="AH493" s="48" t="str">
        <f t="shared" si="114"/>
        <v/>
      </c>
      <c r="AI493" s="48" t="str">
        <f t="shared" si="115"/>
        <v/>
      </c>
      <c r="AJ493" s="48" t="str">
        <f t="shared" si="118"/>
        <v/>
      </c>
      <c r="AK493" s="48" t="str">
        <f t="shared" si="119"/>
        <v/>
      </c>
      <c r="AL493" s="48" t="str">
        <f>IF(W493=0,"",_xlfn.CONCAT(DADOS!$A$8,Y493:AK493,"
"))</f>
        <v/>
      </c>
    </row>
    <row r="494" spans="4:38" s="48" customFormat="1" ht="15" customHeight="1" x14ac:dyDescent="0.25">
      <c r="D494" s="49"/>
      <c r="E494" s="43"/>
      <c r="F494" s="20"/>
      <c r="G494" s="14"/>
      <c r="H494" s="20"/>
      <c r="I494" s="15"/>
      <c r="J494" s="16"/>
      <c r="K494" s="14"/>
      <c r="L494" s="17"/>
      <c r="M494" s="18"/>
      <c r="N494" s="17"/>
      <c r="O494" s="18"/>
      <c r="P494" s="19"/>
      <c r="Q494" s="17"/>
      <c r="R494" s="40"/>
      <c r="S494" s="42">
        <v>480</v>
      </c>
      <c r="T494" s="40"/>
      <c r="V494" s="48" t="str">
        <f t="shared" si="116"/>
        <v/>
      </c>
      <c r="W494" s="48">
        <f t="shared" si="105"/>
        <v>0</v>
      </c>
      <c r="Y494" s="48" t="str">
        <f t="shared" si="106"/>
        <v/>
      </c>
      <c r="Z494" s="48" t="str">
        <f t="shared" si="107"/>
        <v/>
      </c>
      <c r="AA494" s="48" t="str">
        <f t="shared" si="108"/>
        <v/>
      </c>
      <c r="AB494" s="48" t="str">
        <f t="shared" si="117"/>
        <v/>
      </c>
      <c r="AC494" s="48" t="str">
        <f t="shared" si="109"/>
        <v/>
      </c>
      <c r="AD494" s="48" t="str">
        <f t="shared" si="110"/>
        <v/>
      </c>
      <c r="AE494" s="48" t="str">
        <f t="shared" si="111"/>
        <v/>
      </c>
      <c r="AF494" s="48" t="str">
        <f t="shared" si="112"/>
        <v/>
      </c>
      <c r="AG494" s="48" t="str">
        <f t="shared" si="113"/>
        <v/>
      </c>
      <c r="AH494" s="48" t="str">
        <f t="shared" si="114"/>
        <v/>
      </c>
      <c r="AI494" s="48" t="str">
        <f t="shared" si="115"/>
        <v/>
      </c>
      <c r="AJ494" s="48" t="str">
        <f t="shared" si="118"/>
        <v/>
      </c>
      <c r="AK494" s="48" t="str">
        <f t="shared" si="119"/>
        <v/>
      </c>
      <c r="AL494" s="48" t="str">
        <f>IF(W494=0,"",_xlfn.CONCAT(DADOS!$A$8,Y494:AK494,"
"))</f>
        <v/>
      </c>
    </row>
    <row r="495" spans="4:38" s="48" customFormat="1" ht="15" customHeight="1" x14ac:dyDescent="0.25">
      <c r="D495" s="49"/>
      <c r="E495" s="43"/>
      <c r="F495" s="20"/>
      <c r="G495" s="14"/>
      <c r="H495" s="20"/>
      <c r="I495" s="15"/>
      <c r="J495" s="16"/>
      <c r="K495" s="14"/>
      <c r="L495" s="17"/>
      <c r="M495" s="18"/>
      <c r="N495" s="17"/>
      <c r="O495" s="18"/>
      <c r="P495" s="19"/>
      <c r="Q495" s="17"/>
      <c r="R495" s="40"/>
      <c r="S495" s="42">
        <v>481</v>
      </c>
      <c r="T495" s="40"/>
      <c r="V495" s="48" t="str">
        <f t="shared" si="116"/>
        <v/>
      </c>
      <c r="W495" s="48">
        <f t="shared" si="105"/>
        <v>0</v>
      </c>
      <c r="Y495" s="48" t="str">
        <f t="shared" si="106"/>
        <v/>
      </c>
      <c r="Z495" s="48" t="str">
        <f t="shared" si="107"/>
        <v/>
      </c>
      <c r="AA495" s="48" t="str">
        <f t="shared" si="108"/>
        <v/>
      </c>
      <c r="AB495" s="48" t="str">
        <f t="shared" si="117"/>
        <v/>
      </c>
      <c r="AC495" s="48" t="str">
        <f t="shared" si="109"/>
        <v/>
      </c>
      <c r="AD495" s="48" t="str">
        <f t="shared" si="110"/>
        <v/>
      </c>
      <c r="AE495" s="48" t="str">
        <f t="shared" si="111"/>
        <v/>
      </c>
      <c r="AF495" s="48" t="str">
        <f t="shared" si="112"/>
        <v/>
      </c>
      <c r="AG495" s="48" t="str">
        <f t="shared" si="113"/>
        <v/>
      </c>
      <c r="AH495" s="48" t="str">
        <f t="shared" si="114"/>
        <v/>
      </c>
      <c r="AI495" s="48" t="str">
        <f t="shared" si="115"/>
        <v/>
      </c>
      <c r="AJ495" s="48" t="str">
        <f t="shared" si="118"/>
        <v/>
      </c>
      <c r="AK495" s="48" t="str">
        <f t="shared" si="119"/>
        <v/>
      </c>
      <c r="AL495" s="48" t="str">
        <f>IF(W495=0,"",_xlfn.CONCAT(DADOS!$A$8,Y495:AK495,"
"))</f>
        <v/>
      </c>
    </row>
    <row r="496" spans="4:38" s="48" customFormat="1" ht="15" customHeight="1" x14ac:dyDescent="0.25">
      <c r="D496" s="49"/>
      <c r="E496" s="43"/>
      <c r="F496" s="20"/>
      <c r="G496" s="14"/>
      <c r="H496" s="20"/>
      <c r="I496" s="15"/>
      <c r="J496" s="16"/>
      <c r="K496" s="14"/>
      <c r="L496" s="17"/>
      <c r="M496" s="18"/>
      <c r="N496" s="17"/>
      <c r="O496" s="18"/>
      <c r="P496" s="19"/>
      <c r="Q496" s="17"/>
      <c r="R496" s="40"/>
      <c r="S496" s="42">
        <v>482</v>
      </c>
      <c r="T496" s="40"/>
      <c r="V496" s="48" t="str">
        <f t="shared" si="116"/>
        <v/>
      </c>
      <c r="W496" s="48">
        <f t="shared" si="105"/>
        <v>0</v>
      </c>
      <c r="Y496" s="48" t="str">
        <f t="shared" si="106"/>
        <v/>
      </c>
      <c r="Z496" s="48" t="str">
        <f t="shared" si="107"/>
        <v/>
      </c>
      <c r="AA496" s="48" t="str">
        <f t="shared" si="108"/>
        <v/>
      </c>
      <c r="AB496" s="48" t="str">
        <f t="shared" si="117"/>
        <v/>
      </c>
      <c r="AC496" s="48" t="str">
        <f t="shared" si="109"/>
        <v/>
      </c>
      <c r="AD496" s="48" t="str">
        <f t="shared" si="110"/>
        <v/>
      </c>
      <c r="AE496" s="48" t="str">
        <f t="shared" si="111"/>
        <v/>
      </c>
      <c r="AF496" s="48" t="str">
        <f t="shared" si="112"/>
        <v/>
      </c>
      <c r="AG496" s="48" t="str">
        <f t="shared" si="113"/>
        <v/>
      </c>
      <c r="AH496" s="48" t="str">
        <f t="shared" si="114"/>
        <v/>
      </c>
      <c r="AI496" s="48" t="str">
        <f t="shared" si="115"/>
        <v/>
      </c>
      <c r="AJ496" s="48" t="str">
        <f t="shared" si="118"/>
        <v/>
      </c>
      <c r="AK496" s="48" t="str">
        <f t="shared" si="119"/>
        <v/>
      </c>
      <c r="AL496" s="48" t="str">
        <f>IF(W496=0,"",_xlfn.CONCAT(DADOS!$A$8,Y496:AK496,"
"))</f>
        <v/>
      </c>
    </row>
    <row r="497" spans="4:38" s="48" customFormat="1" ht="15" customHeight="1" x14ac:dyDescent="0.25">
      <c r="D497" s="49"/>
      <c r="E497" s="43"/>
      <c r="F497" s="20"/>
      <c r="G497" s="14"/>
      <c r="H497" s="20"/>
      <c r="I497" s="15"/>
      <c r="J497" s="16"/>
      <c r="K497" s="14"/>
      <c r="L497" s="17"/>
      <c r="M497" s="18"/>
      <c r="N497" s="17"/>
      <c r="O497" s="18"/>
      <c r="P497" s="19"/>
      <c r="Q497" s="17"/>
      <c r="R497" s="40"/>
      <c r="S497" s="42">
        <v>483</v>
      </c>
      <c r="T497" s="40"/>
      <c r="V497" s="48" t="str">
        <f t="shared" si="116"/>
        <v/>
      </c>
      <c r="W497" s="48">
        <f t="shared" si="105"/>
        <v>0</v>
      </c>
      <c r="Y497" s="48" t="str">
        <f t="shared" si="106"/>
        <v/>
      </c>
      <c r="Z497" s="48" t="str">
        <f t="shared" si="107"/>
        <v/>
      </c>
      <c r="AA497" s="48" t="str">
        <f t="shared" si="108"/>
        <v/>
      </c>
      <c r="AB497" s="48" t="str">
        <f t="shared" si="117"/>
        <v/>
      </c>
      <c r="AC497" s="48" t="str">
        <f t="shared" si="109"/>
        <v/>
      </c>
      <c r="AD497" s="48" t="str">
        <f t="shared" si="110"/>
        <v/>
      </c>
      <c r="AE497" s="48" t="str">
        <f t="shared" si="111"/>
        <v/>
      </c>
      <c r="AF497" s="48" t="str">
        <f t="shared" si="112"/>
        <v/>
      </c>
      <c r="AG497" s="48" t="str">
        <f t="shared" si="113"/>
        <v/>
      </c>
      <c r="AH497" s="48" t="str">
        <f t="shared" si="114"/>
        <v/>
      </c>
      <c r="AI497" s="48" t="str">
        <f t="shared" si="115"/>
        <v/>
      </c>
      <c r="AJ497" s="48" t="str">
        <f t="shared" si="118"/>
        <v/>
      </c>
      <c r="AK497" s="48" t="str">
        <f t="shared" si="119"/>
        <v/>
      </c>
      <c r="AL497" s="48" t="str">
        <f>IF(W497=0,"",_xlfn.CONCAT(DADOS!$A$8,Y497:AK497,"
"))</f>
        <v/>
      </c>
    </row>
    <row r="498" spans="4:38" s="48" customFormat="1" ht="15" customHeight="1" x14ac:dyDescent="0.25">
      <c r="D498" s="49"/>
      <c r="E498" s="43"/>
      <c r="F498" s="20"/>
      <c r="G498" s="14"/>
      <c r="H498" s="20"/>
      <c r="I498" s="15"/>
      <c r="J498" s="16"/>
      <c r="K498" s="14"/>
      <c r="L498" s="17"/>
      <c r="M498" s="18"/>
      <c r="N498" s="17"/>
      <c r="O498" s="18"/>
      <c r="P498" s="19"/>
      <c r="Q498" s="17"/>
      <c r="R498" s="40"/>
      <c r="S498" s="42">
        <v>484</v>
      </c>
      <c r="T498" s="40"/>
      <c r="V498" s="48" t="str">
        <f t="shared" si="116"/>
        <v/>
      </c>
      <c r="W498" s="48">
        <f t="shared" si="105"/>
        <v>0</v>
      </c>
      <c r="Y498" s="48" t="str">
        <f t="shared" si="106"/>
        <v/>
      </c>
      <c r="Z498" s="48" t="str">
        <f t="shared" si="107"/>
        <v/>
      </c>
      <c r="AA498" s="48" t="str">
        <f t="shared" si="108"/>
        <v/>
      </c>
      <c r="AB498" s="48" t="str">
        <f t="shared" si="117"/>
        <v/>
      </c>
      <c r="AC498" s="48" t="str">
        <f t="shared" si="109"/>
        <v/>
      </c>
      <c r="AD498" s="48" t="str">
        <f t="shared" si="110"/>
        <v/>
      </c>
      <c r="AE498" s="48" t="str">
        <f t="shared" si="111"/>
        <v/>
      </c>
      <c r="AF498" s="48" t="str">
        <f t="shared" si="112"/>
        <v/>
      </c>
      <c r="AG498" s="48" t="str">
        <f t="shared" si="113"/>
        <v/>
      </c>
      <c r="AH498" s="48" t="str">
        <f t="shared" si="114"/>
        <v/>
      </c>
      <c r="AI498" s="48" t="str">
        <f t="shared" si="115"/>
        <v/>
      </c>
      <c r="AJ498" s="48" t="str">
        <f t="shared" si="118"/>
        <v/>
      </c>
      <c r="AK498" s="48" t="str">
        <f t="shared" si="119"/>
        <v/>
      </c>
      <c r="AL498" s="48" t="str">
        <f>IF(W498=0,"",_xlfn.CONCAT(DADOS!$A$8,Y498:AK498,"
"))</f>
        <v/>
      </c>
    </row>
    <row r="499" spans="4:38" s="48" customFormat="1" ht="15" customHeight="1" x14ac:dyDescent="0.25">
      <c r="D499" s="49"/>
      <c r="E499" s="43"/>
      <c r="F499" s="20"/>
      <c r="G499" s="14"/>
      <c r="H499" s="20"/>
      <c r="I499" s="15"/>
      <c r="J499" s="16"/>
      <c r="K499" s="14"/>
      <c r="L499" s="17"/>
      <c r="M499" s="18"/>
      <c r="N499" s="17"/>
      <c r="O499" s="18"/>
      <c r="P499" s="19"/>
      <c r="Q499" s="17"/>
      <c r="R499" s="40"/>
      <c r="S499" s="42">
        <v>485</v>
      </c>
      <c r="T499" s="40"/>
      <c r="V499" s="48" t="str">
        <f t="shared" si="116"/>
        <v/>
      </c>
      <c r="W499" s="48">
        <f t="shared" si="105"/>
        <v>0</v>
      </c>
      <c r="Y499" s="48" t="str">
        <f t="shared" si="106"/>
        <v/>
      </c>
      <c r="Z499" s="48" t="str">
        <f t="shared" si="107"/>
        <v/>
      </c>
      <c r="AA499" s="48" t="str">
        <f t="shared" si="108"/>
        <v/>
      </c>
      <c r="AB499" s="48" t="str">
        <f t="shared" si="117"/>
        <v/>
      </c>
      <c r="AC499" s="48" t="str">
        <f t="shared" si="109"/>
        <v/>
      </c>
      <c r="AD499" s="48" t="str">
        <f t="shared" si="110"/>
        <v/>
      </c>
      <c r="AE499" s="48" t="str">
        <f t="shared" si="111"/>
        <v/>
      </c>
      <c r="AF499" s="48" t="str">
        <f t="shared" si="112"/>
        <v/>
      </c>
      <c r="AG499" s="48" t="str">
        <f t="shared" si="113"/>
        <v/>
      </c>
      <c r="AH499" s="48" t="str">
        <f t="shared" si="114"/>
        <v/>
      </c>
      <c r="AI499" s="48" t="str">
        <f t="shared" si="115"/>
        <v/>
      </c>
      <c r="AJ499" s="48" t="str">
        <f t="shared" si="118"/>
        <v/>
      </c>
      <c r="AK499" s="48" t="str">
        <f t="shared" si="119"/>
        <v/>
      </c>
      <c r="AL499" s="48" t="str">
        <f>IF(W499=0,"",_xlfn.CONCAT(DADOS!$A$8,Y499:AK499,"
"))</f>
        <v/>
      </c>
    </row>
    <row r="500" spans="4:38" s="48" customFormat="1" ht="15" customHeight="1" x14ac:dyDescent="0.25">
      <c r="D500" s="49"/>
      <c r="E500" s="43"/>
      <c r="F500" s="20"/>
      <c r="G500" s="14"/>
      <c r="H500" s="20"/>
      <c r="I500" s="15"/>
      <c r="J500" s="16"/>
      <c r="K500" s="14"/>
      <c r="L500" s="17"/>
      <c r="M500" s="18"/>
      <c r="N500" s="17"/>
      <c r="O500" s="18"/>
      <c r="P500" s="19"/>
      <c r="Q500" s="17"/>
      <c r="R500" s="40"/>
      <c r="S500" s="42">
        <v>486</v>
      </c>
      <c r="T500" s="40"/>
      <c r="V500" s="48" t="str">
        <f t="shared" si="116"/>
        <v/>
      </c>
      <c r="W500" s="48">
        <f t="shared" si="105"/>
        <v>0</v>
      </c>
      <c r="Y500" s="48" t="str">
        <f t="shared" si="106"/>
        <v/>
      </c>
      <c r="Z500" s="48" t="str">
        <f t="shared" si="107"/>
        <v/>
      </c>
      <c r="AA500" s="48" t="str">
        <f t="shared" si="108"/>
        <v/>
      </c>
      <c r="AB500" s="48" t="str">
        <f t="shared" si="117"/>
        <v/>
      </c>
      <c r="AC500" s="48" t="str">
        <f t="shared" si="109"/>
        <v/>
      </c>
      <c r="AD500" s="48" t="str">
        <f t="shared" si="110"/>
        <v/>
      </c>
      <c r="AE500" s="48" t="str">
        <f t="shared" si="111"/>
        <v/>
      </c>
      <c r="AF500" s="48" t="str">
        <f t="shared" si="112"/>
        <v/>
      </c>
      <c r="AG500" s="48" t="str">
        <f t="shared" si="113"/>
        <v/>
      </c>
      <c r="AH500" s="48" t="str">
        <f t="shared" si="114"/>
        <v/>
      </c>
      <c r="AI500" s="48" t="str">
        <f t="shared" si="115"/>
        <v/>
      </c>
      <c r="AJ500" s="48" t="str">
        <f t="shared" si="118"/>
        <v/>
      </c>
      <c r="AK500" s="48" t="str">
        <f t="shared" si="119"/>
        <v/>
      </c>
      <c r="AL500" s="48" t="str">
        <f>IF(W500=0,"",_xlfn.CONCAT(DADOS!$A$8,Y500:AK500,"
"))</f>
        <v/>
      </c>
    </row>
    <row r="501" spans="4:38" s="48" customFormat="1" ht="15" customHeight="1" x14ac:dyDescent="0.25">
      <c r="D501" s="49"/>
      <c r="E501" s="43"/>
      <c r="F501" s="20"/>
      <c r="G501" s="14"/>
      <c r="H501" s="20"/>
      <c r="I501" s="15"/>
      <c r="J501" s="16"/>
      <c r="K501" s="14"/>
      <c r="L501" s="17"/>
      <c r="M501" s="18"/>
      <c r="N501" s="17"/>
      <c r="O501" s="18"/>
      <c r="P501" s="19"/>
      <c r="Q501" s="17"/>
      <c r="R501" s="40"/>
      <c r="S501" s="42">
        <v>487</v>
      </c>
      <c r="T501" s="40"/>
      <c r="V501" s="48" t="str">
        <f t="shared" si="116"/>
        <v/>
      </c>
      <c r="W501" s="48">
        <f t="shared" si="105"/>
        <v>0</v>
      </c>
      <c r="Y501" s="48" t="str">
        <f t="shared" si="106"/>
        <v/>
      </c>
      <c r="Z501" s="48" t="str">
        <f t="shared" si="107"/>
        <v/>
      </c>
      <c r="AA501" s="48" t="str">
        <f t="shared" si="108"/>
        <v/>
      </c>
      <c r="AB501" s="48" t="str">
        <f t="shared" si="117"/>
        <v/>
      </c>
      <c r="AC501" s="48" t="str">
        <f t="shared" si="109"/>
        <v/>
      </c>
      <c r="AD501" s="48" t="str">
        <f t="shared" si="110"/>
        <v/>
      </c>
      <c r="AE501" s="48" t="str">
        <f t="shared" si="111"/>
        <v/>
      </c>
      <c r="AF501" s="48" t="str">
        <f t="shared" si="112"/>
        <v/>
      </c>
      <c r="AG501" s="48" t="str">
        <f t="shared" si="113"/>
        <v/>
      </c>
      <c r="AH501" s="48" t="str">
        <f t="shared" si="114"/>
        <v/>
      </c>
      <c r="AI501" s="48" t="str">
        <f t="shared" si="115"/>
        <v/>
      </c>
      <c r="AJ501" s="48" t="str">
        <f t="shared" si="118"/>
        <v/>
      </c>
      <c r="AK501" s="48" t="str">
        <f t="shared" si="119"/>
        <v/>
      </c>
      <c r="AL501" s="48" t="str">
        <f>IF(W501=0,"",_xlfn.CONCAT(DADOS!$A$8,Y501:AK501,"
"))</f>
        <v/>
      </c>
    </row>
    <row r="502" spans="4:38" s="48" customFormat="1" ht="15.6" customHeight="1" x14ac:dyDescent="0.25">
      <c r="D502" s="49"/>
      <c r="E502" s="43"/>
      <c r="F502" s="20"/>
      <c r="G502" s="14"/>
      <c r="H502" s="20"/>
      <c r="I502" s="15"/>
      <c r="J502" s="16"/>
      <c r="K502" s="14"/>
      <c r="L502" s="17"/>
      <c r="M502" s="18"/>
      <c r="N502" s="17"/>
      <c r="O502" s="18"/>
      <c r="P502" s="19"/>
      <c r="Q502" s="17"/>
      <c r="R502" s="40"/>
      <c r="S502" s="42">
        <v>488</v>
      </c>
      <c r="T502" s="40"/>
      <c r="V502" s="48" t="str">
        <f t="shared" si="116"/>
        <v/>
      </c>
      <c r="W502" s="48">
        <f t="shared" si="105"/>
        <v>0</v>
      </c>
      <c r="Y502" s="48" t="str">
        <f t="shared" si="106"/>
        <v/>
      </c>
      <c r="Z502" s="48" t="str">
        <f t="shared" si="107"/>
        <v/>
      </c>
      <c r="AA502" s="48" t="str">
        <f t="shared" si="108"/>
        <v/>
      </c>
      <c r="AB502" s="48" t="str">
        <f t="shared" si="117"/>
        <v/>
      </c>
      <c r="AC502" s="48" t="str">
        <f t="shared" si="109"/>
        <v/>
      </c>
      <c r="AD502" s="48" t="str">
        <f t="shared" si="110"/>
        <v/>
      </c>
      <c r="AE502" s="48" t="str">
        <f t="shared" si="111"/>
        <v/>
      </c>
      <c r="AF502" s="48" t="str">
        <f t="shared" si="112"/>
        <v/>
      </c>
      <c r="AG502" s="48" t="str">
        <f t="shared" si="113"/>
        <v/>
      </c>
      <c r="AH502" s="48" t="str">
        <f t="shared" si="114"/>
        <v/>
      </c>
      <c r="AI502" s="48" t="str">
        <f t="shared" si="115"/>
        <v/>
      </c>
      <c r="AJ502" s="48" t="str">
        <f t="shared" si="118"/>
        <v/>
      </c>
      <c r="AK502" s="48" t="str">
        <f t="shared" si="119"/>
        <v/>
      </c>
      <c r="AL502" s="48" t="str">
        <f>IF(W502=0,"",_xlfn.CONCAT(DADOS!$A$8,Y502:AK502,"
"))</f>
        <v/>
      </c>
    </row>
    <row r="503" spans="4:38" s="48" customFormat="1" ht="15" customHeight="1" x14ac:dyDescent="0.25">
      <c r="D503" s="49"/>
      <c r="E503" s="43"/>
      <c r="F503" s="20"/>
      <c r="G503" s="14"/>
      <c r="H503" s="20"/>
      <c r="I503" s="15"/>
      <c r="J503" s="16"/>
      <c r="K503" s="14"/>
      <c r="L503" s="17"/>
      <c r="M503" s="18"/>
      <c r="N503" s="17"/>
      <c r="O503" s="18"/>
      <c r="P503" s="19"/>
      <c r="Q503" s="17"/>
      <c r="R503" s="40"/>
      <c r="S503" s="42">
        <v>489</v>
      </c>
      <c r="T503" s="40"/>
      <c r="V503" s="48" t="str">
        <f t="shared" si="116"/>
        <v/>
      </c>
      <c r="W503" s="48">
        <f t="shared" si="105"/>
        <v>0</v>
      </c>
      <c r="Y503" s="48" t="str">
        <f t="shared" si="106"/>
        <v/>
      </c>
      <c r="Z503" s="48" t="str">
        <f t="shared" si="107"/>
        <v/>
      </c>
      <c r="AA503" s="48" t="str">
        <f t="shared" si="108"/>
        <v/>
      </c>
      <c r="AB503" s="48" t="str">
        <f t="shared" si="117"/>
        <v/>
      </c>
      <c r="AC503" s="48" t="str">
        <f t="shared" si="109"/>
        <v/>
      </c>
      <c r="AD503" s="48" t="str">
        <f t="shared" si="110"/>
        <v/>
      </c>
      <c r="AE503" s="48" t="str">
        <f t="shared" si="111"/>
        <v/>
      </c>
      <c r="AF503" s="48" t="str">
        <f t="shared" si="112"/>
        <v/>
      </c>
      <c r="AG503" s="48" t="str">
        <f t="shared" si="113"/>
        <v/>
      </c>
      <c r="AH503" s="48" t="str">
        <f t="shared" si="114"/>
        <v/>
      </c>
      <c r="AI503" s="48" t="str">
        <f t="shared" si="115"/>
        <v/>
      </c>
      <c r="AJ503" s="48" t="str">
        <f t="shared" si="118"/>
        <v/>
      </c>
      <c r="AK503" s="48" t="str">
        <f t="shared" si="119"/>
        <v/>
      </c>
      <c r="AL503" s="48" t="str">
        <f>IF(W503=0,"",_xlfn.CONCAT(DADOS!$A$8,Y503:AK503,"
"))</f>
        <v/>
      </c>
    </row>
    <row r="504" spans="4:38" s="48" customFormat="1" ht="15" customHeight="1" x14ac:dyDescent="0.25">
      <c r="D504" s="49"/>
      <c r="E504" s="43"/>
      <c r="F504" s="20"/>
      <c r="G504" s="14"/>
      <c r="H504" s="20"/>
      <c r="I504" s="15"/>
      <c r="J504" s="16"/>
      <c r="K504" s="14"/>
      <c r="L504" s="17"/>
      <c r="M504" s="18"/>
      <c r="N504" s="17"/>
      <c r="O504" s="18"/>
      <c r="P504" s="19"/>
      <c r="Q504" s="17"/>
      <c r="R504" s="40"/>
      <c r="S504" s="42">
        <v>490</v>
      </c>
      <c r="T504" s="40"/>
      <c r="V504" s="48" t="str">
        <f t="shared" si="116"/>
        <v/>
      </c>
      <c r="W504" s="48">
        <f t="shared" si="105"/>
        <v>0</v>
      </c>
      <c r="Y504" s="48" t="str">
        <f t="shared" si="106"/>
        <v/>
      </c>
      <c r="Z504" s="48" t="str">
        <f t="shared" si="107"/>
        <v/>
      </c>
      <c r="AA504" s="48" t="str">
        <f t="shared" si="108"/>
        <v/>
      </c>
      <c r="AB504" s="48" t="str">
        <f t="shared" si="117"/>
        <v/>
      </c>
      <c r="AC504" s="48" t="str">
        <f t="shared" si="109"/>
        <v/>
      </c>
      <c r="AD504" s="48" t="str">
        <f t="shared" si="110"/>
        <v/>
      </c>
      <c r="AE504" s="48" t="str">
        <f t="shared" si="111"/>
        <v/>
      </c>
      <c r="AF504" s="48" t="str">
        <f t="shared" si="112"/>
        <v/>
      </c>
      <c r="AG504" s="48" t="str">
        <f t="shared" si="113"/>
        <v/>
      </c>
      <c r="AH504" s="48" t="str">
        <f t="shared" si="114"/>
        <v/>
      </c>
      <c r="AI504" s="48" t="str">
        <f t="shared" si="115"/>
        <v/>
      </c>
      <c r="AJ504" s="48" t="str">
        <f t="shared" si="118"/>
        <v/>
      </c>
      <c r="AK504" s="48" t="str">
        <f t="shared" si="119"/>
        <v/>
      </c>
      <c r="AL504" s="48" t="str">
        <f>IF(W504=0,"",_xlfn.CONCAT(DADOS!$A$8,Y504:AK504,"
"))</f>
        <v/>
      </c>
    </row>
    <row r="505" spans="4:38" s="48" customFormat="1" ht="15" customHeight="1" x14ac:dyDescent="0.25">
      <c r="D505" s="49"/>
      <c r="E505" s="43"/>
      <c r="F505" s="20"/>
      <c r="G505" s="14"/>
      <c r="H505" s="20"/>
      <c r="I505" s="15"/>
      <c r="J505" s="16"/>
      <c r="K505" s="14"/>
      <c r="L505" s="17"/>
      <c r="M505" s="18"/>
      <c r="N505" s="17"/>
      <c r="O505" s="18"/>
      <c r="P505" s="19"/>
      <c r="Q505" s="17"/>
      <c r="R505" s="40"/>
      <c r="S505" s="42">
        <v>491</v>
      </c>
      <c r="T505" s="40"/>
      <c r="V505" s="48" t="str">
        <f t="shared" si="116"/>
        <v/>
      </c>
      <c r="W505" s="48">
        <f t="shared" si="105"/>
        <v>0</v>
      </c>
      <c r="Y505" s="48" t="str">
        <f t="shared" si="106"/>
        <v/>
      </c>
      <c r="Z505" s="48" t="str">
        <f t="shared" si="107"/>
        <v/>
      </c>
      <c r="AA505" s="48" t="str">
        <f t="shared" si="108"/>
        <v/>
      </c>
      <c r="AB505" s="48" t="str">
        <f t="shared" si="117"/>
        <v/>
      </c>
      <c r="AC505" s="48" t="str">
        <f t="shared" si="109"/>
        <v/>
      </c>
      <c r="AD505" s="48" t="str">
        <f t="shared" si="110"/>
        <v/>
      </c>
      <c r="AE505" s="48" t="str">
        <f t="shared" si="111"/>
        <v/>
      </c>
      <c r="AF505" s="48" t="str">
        <f t="shared" si="112"/>
        <v/>
      </c>
      <c r="AG505" s="48" t="str">
        <f t="shared" si="113"/>
        <v/>
      </c>
      <c r="AH505" s="48" t="str">
        <f t="shared" si="114"/>
        <v/>
      </c>
      <c r="AI505" s="48" t="str">
        <f t="shared" si="115"/>
        <v/>
      </c>
      <c r="AJ505" s="48" t="str">
        <f t="shared" si="118"/>
        <v/>
      </c>
      <c r="AK505" s="48" t="str">
        <f t="shared" si="119"/>
        <v/>
      </c>
      <c r="AL505" s="48" t="str">
        <f>IF(W505=0,"",_xlfn.CONCAT(DADOS!$A$8,Y505:AK505,"
"))</f>
        <v/>
      </c>
    </row>
    <row r="506" spans="4:38" s="48" customFormat="1" ht="15" customHeight="1" x14ac:dyDescent="0.25">
      <c r="D506" s="49"/>
      <c r="E506" s="43"/>
      <c r="F506" s="20"/>
      <c r="G506" s="14"/>
      <c r="H506" s="20"/>
      <c r="I506" s="15"/>
      <c r="J506" s="16"/>
      <c r="K506" s="14"/>
      <c r="L506" s="17"/>
      <c r="M506" s="18"/>
      <c r="N506" s="17"/>
      <c r="O506" s="18"/>
      <c r="P506" s="19"/>
      <c r="Q506" s="17"/>
      <c r="R506" s="40"/>
      <c r="S506" s="42">
        <v>492</v>
      </c>
      <c r="T506" s="40"/>
      <c r="V506" s="48" t="str">
        <f t="shared" si="116"/>
        <v/>
      </c>
      <c r="W506" s="48">
        <f t="shared" si="105"/>
        <v>0</v>
      </c>
      <c r="Y506" s="48" t="str">
        <f t="shared" si="106"/>
        <v/>
      </c>
      <c r="Z506" s="48" t="str">
        <f t="shared" si="107"/>
        <v/>
      </c>
      <c r="AA506" s="48" t="str">
        <f t="shared" si="108"/>
        <v/>
      </c>
      <c r="AB506" s="48" t="str">
        <f t="shared" si="117"/>
        <v/>
      </c>
      <c r="AC506" s="48" t="str">
        <f t="shared" si="109"/>
        <v/>
      </c>
      <c r="AD506" s="48" t="str">
        <f t="shared" si="110"/>
        <v/>
      </c>
      <c r="AE506" s="48" t="str">
        <f t="shared" si="111"/>
        <v/>
      </c>
      <c r="AF506" s="48" t="str">
        <f t="shared" si="112"/>
        <v/>
      </c>
      <c r="AG506" s="48" t="str">
        <f t="shared" si="113"/>
        <v/>
      </c>
      <c r="AH506" s="48" t="str">
        <f t="shared" si="114"/>
        <v/>
      </c>
      <c r="AI506" s="48" t="str">
        <f t="shared" si="115"/>
        <v/>
      </c>
      <c r="AJ506" s="48" t="str">
        <f t="shared" si="118"/>
        <v/>
      </c>
      <c r="AK506" s="48" t="str">
        <f t="shared" si="119"/>
        <v/>
      </c>
      <c r="AL506" s="48" t="str">
        <f>IF(W506=0,"",_xlfn.CONCAT(DADOS!$A$8,Y506:AK506,"
"))</f>
        <v/>
      </c>
    </row>
    <row r="507" spans="4:38" s="48" customFormat="1" ht="15" customHeight="1" x14ac:dyDescent="0.25">
      <c r="D507" s="49"/>
      <c r="E507" s="43"/>
      <c r="F507" s="20"/>
      <c r="G507" s="14"/>
      <c r="H507" s="20"/>
      <c r="I507" s="15"/>
      <c r="J507" s="16"/>
      <c r="K507" s="14"/>
      <c r="L507" s="17"/>
      <c r="M507" s="18"/>
      <c r="N507" s="17"/>
      <c r="O507" s="18"/>
      <c r="P507" s="19"/>
      <c r="Q507" s="17"/>
      <c r="R507" s="40"/>
      <c r="S507" s="42">
        <v>493</v>
      </c>
      <c r="T507" s="40"/>
      <c r="V507" s="48" t="str">
        <f t="shared" si="116"/>
        <v/>
      </c>
      <c r="W507" s="48">
        <f t="shared" si="105"/>
        <v>0</v>
      </c>
      <c r="Y507" s="48" t="str">
        <f t="shared" si="106"/>
        <v/>
      </c>
      <c r="Z507" s="48" t="str">
        <f t="shared" si="107"/>
        <v/>
      </c>
      <c r="AA507" s="48" t="str">
        <f t="shared" si="108"/>
        <v/>
      </c>
      <c r="AB507" s="48" t="str">
        <f t="shared" si="117"/>
        <v/>
      </c>
      <c r="AC507" s="48" t="str">
        <f t="shared" si="109"/>
        <v/>
      </c>
      <c r="AD507" s="48" t="str">
        <f t="shared" si="110"/>
        <v/>
      </c>
      <c r="AE507" s="48" t="str">
        <f t="shared" si="111"/>
        <v/>
      </c>
      <c r="AF507" s="48" t="str">
        <f t="shared" si="112"/>
        <v/>
      </c>
      <c r="AG507" s="48" t="str">
        <f t="shared" si="113"/>
        <v/>
      </c>
      <c r="AH507" s="48" t="str">
        <f t="shared" si="114"/>
        <v/>
      </c>
      <c r="AI507" s="48" t="str">
        <f t="shared" si="115"/>
        <v/>
      </c>
      <c r="AJ507" s="48" t="str">
        <f t="shared" si="118"/>
        <v/>
      </c>
      <c r="AK507" s="48" t="str">
        <f t="shared" si="119"/>
        <v/>
      </c>
      <c r="AL507" s="48" t="str">
        <f>IF(W507=0,"",_xlfn.CONCAT(DADOS!$A$8,Y507:AK507,"
"))</f>
        <v/>
      </c>
    </row>
    <row r="508" spans="4:38" s="48" customFormat="1" ht="15" customHeight="1" x14ac:dyDescent="0.25">
      <c r="D508" s="49"/>
      <c r="E508" s="43"/>
      <c r="F508" s="20"/>
      <c r="G508" s="14"/>
      <c r="H508" s="20"/>
      <c r="I508" s="15"/>
      <c r="J508" s="16"/>
      <c r="K508" s="14"/>
      <c r="L508" s="17"/>
      <c r="M508" s="18"/>
      <c r="N508" s="17"/>
      <c r="O508" s="18"/>
      <c r="P508" s="19"/>
      <c r="Q508" s="17"/>
      <c r="R508" s="40"/>
      <c r="S508" s="42">
        <v>494</v>
      </c>
      <c r="T508" s="40"/>
      <c r="V508" s="48" t="str">
        <f t="shared" si="116"/>
        <v/>
      </c>
      <c r="W508" s="48">
        <f t="shared" si="105"/>
        <v>0</v>
      </c>
      <c r="Y508" s="48" t="str">
        <f t="shared" si="106"/>
        <v/>
      </c>
      <c r="Z508" s="48" t="str">
        <f t="shared" si="107"/>
        <v/>
      </c>
      <c r="AA508" s="48" t="str">
        <f t="shared" si="108"/>
        <v/>
      </c>
      <c r="AB508" s="48" t="str">
        <f t="shared" si="117"/>
        <v/>
      </c>
      <c r="AC508" s="48" t="str">
        <f t="shared" si="109"/>
        <v/>
      </c>
      <c r="AD508" s="48" t="str">
        <f t="shared" si="110"/>
        <v/>
      </c>
      <c r="AE508" s="48" t="str">
        <f t="shared" si="111"/>
        <v/>
      </c>
      <c r="AF508" s="48" t="str">
        <f t="shared" si="112"/>
        <v/>
      </c>
      <c r="AG508" s="48" t="str">
        <f t="shared" si="113"/>
        <v/>
      </c>
      <c r="AH508" s="48" t="str">
        <f t="shared" si="114"/>
        <v/>
      </c>
      <c r="AI508" s="48" t="str">
        <f t="shared" si="115"/>
        <v/>
      </c>
      <c r="AJ508" s="48" t="str">
        <f t="shared" si="118"/>
        <v/>
      </c>
      <c r="AK508" s="48" t="str">
        <f t="shared" si="119"/>
        <v/>
      </c>
      <c r="AL508" s="48" t="str">
        <f>IF(W508=0,"",_xlfn.CONCAT(DADOS!$A$8,Y508:AK508,"
"))</f>
        <v/>
      </c>
    </row>
    <row r="509" spans="4:38" s="48" customFormat="1" ht="15" customHeight="1" x14ac:dyDescent="0.25">
      <c r="D509" s="49"/>
      <c r="E509" s="43"/>
      <c r="F509" s="20"/>
      <c r="G509" s="14"/>
      <c r="H509" s="20"/>
      <c r="I509" s="15"/>
      <c r="J509" s="16"/>
      <c r="K509" s="14"/>
      <c r="L509" s="17"/>
      <c r="M509" s="18"/>
      <c r="N509" s="17"/>
      <c r="O509" s="18"/>
      <c r="P509" s="19"/>
      <c r="Q509" s="17"/>
      <c r="R509" s="40"/>
      <c r="S509" s="42">
        <v>495</v>
      </c>
      <c r="T509" s="40"/>
      <c r="V509" s="48" t="str">
        <f t="shared" si="116"/>
        <v/>
      </c>
      <c r="W509" s="48">
        <f t="shared" si="105"/>
        <v>0</v>
      </c>
      <c r="Y509" s="48" t="str">
        <f t="shared" si="106"/>
        <v/>
      </c>
      <c r="Z509" s="48" t="str">
        <f t="shared" si="107"/>
        <v/>
      </c>
      <c r="AA509" s="48" t="str">
        <f t="shared" si="108"/>
        <v/>
      </c>
      <c r="AB509" s="48" t="str">
        <f t="shared" si="117"/>
        <v/>
      </c>
      <c r="AC509" s="48" t="str">
        <f t="shared" si="109"/>
        <v/>
      </c>
      <c r="AD509" s="48" t="str">
        <f t="shared" si="110"/>
        <v/>
      </c>
      <c r="AE509" s="48" t="str">
        <f t="shared" si="111"/>
        <v/>
      </c>
      <c r="AF509" s="48" t="str">
        <f t="shared" si="112"/>
        <v/>
      </c>
      <c r="AG509" s="48" t="str">
        <f t="shared" si="113"/>
        <v/>
      </c>
      <c r="AH509" s="48" t="str">
        <f t="shared" si="114"/>
        <v/>
      </c>
      <c r="AI509" s="48" t="str">
        <f t="shared" si="115"/>
        <v/>
      </c>
      <c r="AJ509" s="48" t="str">
        <f t="shared" si="118"/>
        <v/>
      </c>
      <c r="AK509" s="48" t="str">
        <f t="shared" si="119"/>
        <v/>
      </c>
      <c r="AL509" s="48" t="str">
        <f>IF(W509=0,"",_xlfn.CONCAT(DADOS!$A$8,Y509:AK509,"
"))</f>
        <v/>
      </c>
    </row>
    <row r="510" spans="4:38" s="48" customFormat="1" ht="15" customHeight="1" x14ac:dyDescent="0.25">
      <c r="D510" s="49"/>
      <c r="E510" s="43"/>
      <c r="F510" s="20"/>
      <c r="G510" s="14"/>
      <c r="H510" s="20"/>
      <c r="I510" s="15"/>
      <c r="J510" s="16"/>
      <c r="K510" s="14"/>
      <c r="L510" s="17"/>
      <c r="M510" s="18"/>
      <c r="N510" s="17"/>
      <c r="O510" s="18"/>
      <c r="P510" s="19"/>
      <c r="Q510" s="17"/>
      <c r="R510" s="40"/>
      <c r="S510" s="42">
        <v>496</v>
      </c>
      <c r="T510" s="40"/>
      <c r="V510" s="48" t="str">
        <f t="shared" si="116"/>
        <v/>
      </c>
      <c r="W510" s="48">
        <f t="shared" si="105"/>
        <v>0</v>
      </c>
      <c r="Y510" s="48" t="str">
        <f t="shared" si="106"/>
        <v/>
      </c>
      <c r="Z510" s="48" t="str">
        <f t="shared" si="107"/>
        <v/>
      </c>
      <c r="AA510" s="48" t="str">
        <f t="shared" si="108"/>
        <v/>
      </c>
      <c r="AB510" s="48" t="str">
        <f t="shared" si="117"/>
        <v/>
      </c>
      <c r="AC510" s="48" t="str">
        <f t="shared" si="109"/>
        <v/>
      </c>
      <c r="AD510" s="48" t="str">
        <f t="shared" si="110"/>
        <v/>
      </c>
      <c r="AE510" s="48" t="str">
        <f t="shared" si="111"/>
        <v/>
      </c>
      <c r="AF510" s="48" t="str">
        <f t="shared" si="112"/>
        <v/>
      </c>
      <c r="AG510" s="48" t="str">
        <f t="shared" si="113"/>
        <v/>
      </c>
      <c r="AH510" s="48" t="str">
        <f t="shared" si="114"/>
        <v/>
      </c>
      <c r="AI510" s="48" t="str">
        <f t="shared" si="115"/>
        <v/>
      </c>
      <c r="AJ510" s="48" t="str">
        <f t="shared" si="118"/>
        <v/>
      </c>
      <c r="AK510" s="48" t="str">
        <f t="shared" si="119"/>
        <v/>
      </c>
      <c r="AL510" s="48" t="str">
        <f>IF(W510=0,"",_xlfn.CONCAT(DADOS!$A$8,Y510:AK510,"
"))</f>
        <v/>
      </c>
    </row>
    <row r="511" spans="4:38" s="48" customFormat="1" ht="15" customHeight="1" x14ac:dyDescent="0.25">
      <c r="D511" s="49"/>
      <c r="E511" s="43"/>
      <c r="F511" s="20"/>
      <c r="G511" s="14"/>
      <c r="H511" s="20"/>
      <c r="I511" s="15"/>
      <c r="J511" s="16"/>
      <c r="K511" s="14"/>
      <c r="L511" s="17"/>
      <c r="M511" s="18"/>
      <c r="N511" s="17"/>
      <c r="O511" s="18"/>
      <c r="P511" s="19"/>
      <c r="Q511" s="17"/>
      <c r="R511" s="40"/>
      <c r="S511" s="42">
        <v>497</v>
      </c>
      <c r="T511" s="40"/>
      <c r="V511" s="48" t="str">
        <f t="shared" si="116"/>
        <v/>
      </c>
      <c r="W511" s="48">
        <f t="shared" si="105"/>
        <v>0</v>
      </c>
      <c r="Y511" s="48" t="str">
        <f t="shared" si="106"/>
        <v/>
      </c>
      <c r="Z511" s="48" t="str">
        <f t="shared" si="107"/>
        <v/>
      </c>
      <c r="AA511" s="48" t="str">
        <f t="shared" si="108"/>
        <v/>
      </c>
      <c r="AB511" s="48" t="str">
        <f t="shared" si="117"/>
        <v/>
      </c>
      <c r="AC511" s="48" t="str">
        <f t="shared" si="109"/>
        <v/>
      </c>
      <c r="AD511" s="48" t="str">
        <f t="shared" si="110"/>
        <v/>
      </c>
      <c r="AE511" s="48" t="str">
        <f t="shared" si="111"/>
        <v/>
      </c>
      <c r="AF511" s="48" t="str">
        <f t="shared" si="112"/>
        <v/>
      </c>
      <c r="AG511" s="48" t="str">
        <f t="shared" si="113"/>
        <v/>
      </c>
      <c r="AH511" s="48" t="str">
        <f t="shared" si="114"/>
        <v/>
      </c>
      <c r="AI511" s="48" t="str">
        <f t="shared" si="115"/>
        <v/>
      </c>
      <c r="AJ511" s="48" t="str">
        <f t="shared" si="118"/>
        <v/>
      </c>
      <c r="AK511" s="48" t="str">
        <f t="shared" si="119"/>
        <v/>
      </c>
      <c r="AL511" s="48" t="str">
        <f>IF(W511=0,"",_xlfn.CONCAT(DADOS!$A$8,Y511:AK511,"
"))</f>
        <v/>
      </c>
    </row>
    <row r="512" spans="4:38" s="48" customFormat="1" ht="15" customHeight="1" x14ac:dyDescent="0.25">
      <c r="D512" s="49"/>
      <c r="E512" s="43"/>
      <c r="F512" s="20"/>
      <c r="G512" s="14"/>
      <c r="H512" s="20"/>
      <c r="I512" s="15"/>
      <c r="J512" s="16"/>
      <c r="K512" s="14"/>
      <c r="L512" s="17"/>
      <c r="M512" s="18"/>
      <c r="N512" s="17"/>
      <c r="O512" s="18"/>
      <c r="P512" s="19"/>
      <c r="Q512" s="17"/>
      <c r="R512" s="40"/>
      <c r="S512" s="42">
        <v>498</v>
      </c>
      <c r="T512" s="40"/>
      <c r="V512" s="48" t="str">
        <f t="shared" si="116"/>
        <v/>
      </c>
      <c r="W512" s="48">
        <f t="shared" si="105"/>
        <v>0</v>
      </c>
      <c r="Y512" s="48" t="str">
        <f t="shared" si="106"/>
        <v/>
      </c>
      <c r="Z512" s="48" t="str">
        <f t="shared" si="107"/>
        <v/>
      </c>
      <c r="AA512" s="48" t="str">
        <f t="shared" si="108"/>
        <v/>
      </c>
      <c r="AB512" s="48" t="str">
        <f t="shared" si="117"/>
        <v/>
      </c>
      <c r="AC512" s="48" t="str">
        <f t="shared" si="109"/>
        <v/>
      </c>
      <c r="AD512" s="48" t="str">
        <f t="shared" si="110"/>
        <v/>
      </c>
      <c r="AE512" s="48" t="str">
        <f t="shared" si="111"/>
        <v/>
      </c>
      <c r="AF512" s="48" t="str">
        <f t="shared" si="112"/>
        <v/>
      </c>
      <c r="AG512" s="48" t="str">
        <f t="shared" si="113"/>
        <v/>
      </c>
      <c r="AH512" s="48" t="str">
        <f t="shared" si="114"/>
        <v/>
      </c>
      <c r="AI512" s="48" t="str">
        <f t="shared" si="115"/>
        <v/>
      </c>
      <c r="AJ512" s="48" t="str">
        <f t="shared" si="118"/>
        <v/>
      </c>
      <c r="AK512" s="48" t="str">
        <f t="shared" si="119"/>
        <v/>
      </c>
      <c r="AL512" s="48" t="str">
        <f>IF(W512=0,"",_xlfn.CONCAT(DADOS!$A$8,Y512:AK512,"
"))</f>
        <v/>
      </c>
    </row>
    <row r="513" spans="4:38" s="48" customFormat="1" ht="15" customHeight="1" x14ac:dyDescent="0.25">
      <c r="D513" s="49"/>
      <c r="E513" s="43"/>
      <c r="F513" s="20"/>
      <c r="G513" s="14"/>
      <c r="H513" s="20"/>
      <c r="I513" s="15"/>
      <c r="J513" s="16"/>
      <c r="K513" s="14"/>
      <c r="L513" s="17"/>
      <c r="M513" s="18"/>
      <c r="N513" s="17"/>
      <c r="O513" s="18"/>
      <c r="P513" s="19"/>
      <c r="Q513" s="17"/>
      <c r="R513" s="40"/>
      <c r="S513" s="42">
        <v>499</v>
      </c>
      <c r="T513" s="40"/>
      <c r="V513" s="48" t="str">
        <f t="shared" si="116"/>
        <v/>
      </c>
      <c r="W513" s="48">
        <f t="shared" si="105"/>
        <v>0</v>
      </c>
      <c r="Y513" s="48" t="str">
        <f t="shared" si="106"/>
        <v/>
      </c>
      <c r="Z513" s="48" t="str">
        <f t="shared" si="107"/>
        <v/>
      </c>
      <c r="AA513" s="48" t="str">
        <f t="shared" si="108"/>
        <v/>
      </c>
      <c r="AB513" s="48" t="str">
        <f t="shared" si="117"/>
        <v/>
      </c>
      <c r="AC513" s="48" t="str">
        <f t="shared" si="109"/>
        <v/>
      </c>
      <c r="AD513" s="48" t="str">
        <f t="shared" si="110"/>
        <v/>
      </c>
      <c r="AE513" s="48" t="str">
        <f t="shared" si="111"/>
        <v/>
      </c>
      <c r="AF513" s="48" t="str">
        <f t="shared" si="112"/>
        <v/>
      </c>
      <c r="AG513" s="48" t="str">
        <f t="shared" si="113"/>
        <v/>
      </c>
      <c r="AH513" s="48" t="str">
        <f t="shared" si="114"/>
        <v/>
      </c>
      <c r="AI513" s="48" t="str">
        <f t="shared" si="115"/>
        <v/>
      </c>
      <c r="AJ513" s="48" t="str">
        <f t="shared" si="118"/>
        <v/>
      </c>
      <c r="AK513" s="48" t="str">
        <f t="shared" si="119"/>
        <v/>
      </c>
      <c r="AL513" s="48" t="str">
        <f>IF(W513=0,"",_xlfn.CONCAT(DADOS!$A$8,Y513:AK513,"
"))</f>
        <v/>
      </c>
    </row>
    <row r="514" spans="4:38" s="48" customFormat="1" ht="15" customHeight="1" thickBot="1" x14ac:dyDescent="0.3">
      <c r="D514" s="49"/>
      <c r="E514" s="44"/>
      <c r="F514" s="45"/>
      <c r="G514" s="23"/>
      <c r="H514" s="45"/>
      <c r="I514" s="46"/>
      <c r="J514" s="22"/>
      <c r="K514" s="23"/>
      <c r="L514" s="24"/>
      <c r="M514" s="25"/>
      <c r="N514" s="24"/>
      <c r="O514" s="25"/>
      <c r="P514" s="26"/>
      <c r="Q514" s="24"/>
      <c r="R514" s="40"/>
      <c r="S514" s="47">
        <v>500</v>
      </c>
      <c r="T514" s="40"/>
      <c r="V514" s="48" t="str">
        <f t="shared" si="116"/>
        <v/>
      </c>
      <c r="W514" s="48">
        <f t="shared" si="105"/>
        <v>0</v>
      </c>
      <c r="Y514" s="48" t="str">
        <f t="shared" si="106"/>
        <v/>
      </c>
      <c r="Z514" s="48" t="str">
        <f t="shared" si="107"/>
        <v/>
      </c>
      <c r="AA514" s="48" t="str">
        <f t="shared" si="108"/>
        <v/>
      </c>
      <c r="AB514" s="48" t="str">
        <f t="shared" si="117"/>
        <v/>
      </c>
      <c r="AC514" s="48" t="str">
        <f t="shared" si="109"/>
        <v/>
      </c>
      <c r="AD514" s="48" t="str">
        <f t="shared" si="110"/>
        <v/>
      </c>
      <c r="AE514" s="48" t="str">
        <f t="shared" si="111"/>
        <v/>
      </c>
      <c r="AF514" s="48" t="str">
        <f t="shared" si="112"/>
        <v/>
      </c>
      <c r="AG514" s="48" t="str">
        <f t="shared" si="113"/>
        <v/>
      </c>
      <c r="AH514" s="48" t="str">
        <f t="shared" si="114"/>
        <v/>
      </c>
      <c r="AI514" s="48" t="str">
        <f t="shared" si="115"/>
        <v/>
      </c>
      <c r="AJ514" s="48" t="str">
        <f t="shared" si="118"/>
        <v/>
      </c>
      <c r="AK514" s="48" t="str">
        <f t="shared" si="119"/>
        <v/>
      </c>
      <c r="AL514" s="48" t="str">
        <f>IF(W514=0,"",_xlfn.CONCAT(DADOS!$A$8,Y514:AK514,"
"))</f>
        <v/>
      </c>
    </row>
    <row r="515" spans="4:38" s="48" customFormat="1" ht="15" customHeight="1" x14ac:dyDescent="0.25">
      <c r="D515" s="49"/>
    </row>
  </sheetData>
  <sheetProtection selectLockedCells="1"/>
  <mergeCells count="7">
    <mergeCell ref="E2:E4"/>
    <mergeCell ref="O13:Q13"/>
    <mergeCell ref="E13:I13"/>
    <mergeCell ref="J13:L13"/>
    <mergeCell ref="M13:N13"/>
    <mergeCell ref="Q6:Q7"/>
    <mergeCell ref="M6:M7"/>
  </mergeCells>
  <phoneticPr fontId="3" type="noConversion"/>
  <conditionalFormatting sqref="J116:Q514">
    <cfRule type="expression" dxfId="21" priority="29" stopIfTrue="1">
      <formula>IF($G116=2,$I116=20)</formula>
    </cfRule>
  </conditionalFormatting>
  <conditionalFormatting sqref="G116:G514">
    <cfRule type="expression" dxfId="20" priority="26">
      <formula>IF(OR(AND(OR(G115=0,G115=1),OR(G116=0,G116=2)),AND(OR(G115=2,G115=3),G116=1),AND(G115=3,G116=4),AND(G115=4,OR(G116=1,G116=4))),FALSE(),TRUE())</formula>
    </cfRule>
  </conditionalFormatting>
  <conditionalFormatting sqref="I116:I514">
    <cfRule type="expression" dxfId="19" priority="25" stopIfTrue="1">
      <formula>AND(OR($G116=1,$G116=3),IF($I116=8,FALSE(),TRUE()),IF($J116+$K116=0,FALSE(),TRUE()))</formula>
    </cfRule>
  </conditionalFormatting>
  <conditionalFormatting sqref="L116:L514">
    <cfRule type="expression" dxfId="18" priority="24">
      <formula>IF($I116=8,IF(OR($L116="D",$L116="E"),FALSE(),TRUE()),FALSE())</formula>
    </cfRule>
  </conditionalFormatting>
  <conditionalFormatting sqref="J109:Q115 J20:O108 Q20:Q108">
    <cfRule type="expression" dxfId="17" priority="23" stopIfTrue="1">
      <formula>IF($G20=2,$I20=20)</formula>
    </cfRule>
  </conditionalFormatting>
  <conditionalFormatting sqref="G20:G115">
    <cfRule type="expression" dxfId="16" priority="22">
      <formula>IF(OR(AND(OR(G19=0,G19=1),OR(G20=0,G20=2)),AND(OR(G19=2,G19=3),G20=1),AND(G19=3,G20=4),AND(G19=4,OR(G20=1,G20=4))),FALSE(),TRUE())</formula>
    </cfRule>
  </conditionalFormatting>
  <conditionalFormatting sqref="I20:I115">
    <cfRule type="expression" dxfId="15" priority="20" stopIfTrue="1">
      <formula>AND(OR($G20=1,$G20=3),IF($I20=8,FALSE(),TRUE()),IF($J20+$K20=0,FALSE(),TRUE()))</formula>
    </cfRule>
  </conditionalFormatting>
  <conditionalFormatting sqref="L20:L115">
    <cfRule type="expression" dxfId="14" priority="19">
      <formula>IF($I20=8,IF(OR($L20="D",$L20="E"),FALSE(),TRUE()),FALSE())</formula>
    </cfRule>
  </conditionalFormatting>
  <conditionalFormatting sqref="B4:C4 E5 G4:I4 G7:I7 G9:I9 N4:R4 R7:S7 N7:O7 E15:T514">
    <cfRule type="expression" dxfId="13" priority="31">
      <formula>MOD(ROW(),2)=0</formula>
    </cfRule>
  </conditionalFormatting>
  <conditionalFormatting sqref="J15:R15 P20:P108 J16:Q19 R16:R514">
    <cfRule type="expression" dxfId="12" priority="18" stopIfTrue="1">
      <formula>IF($G15=2,$I15=20)</formula>
    </cfRule>
  </conditionalFormatting>
  <conditionalFormatting sqref="G16:G19">
    <cfRule type="expression" dxfId="11" priority="17">
      <formula>IF(OR(AND(OR(G15=0,G15=1),OR(G16=0,G16=2)),AND(OR(G15=2,G15=3),G16=1),AND(G15=3,G16=4),AND(G15=4,OR(G16=1,G16=4))),FALSE(),TRUE())</formula>
    </cfRule>
  </conditionalFormatting>
  <conditionalFormatting sqref="I15:I19">
    <cfRule type="expression" dxfId="10" priority="16" stopIfTrue="1">
      <formula>AND(OR($G15=1,$G15=3),IF($I15=8,FALSE(),TRUE()),IF($J15+$K15=0,FALSE(),TRUE()))</formula>
    </cfRule>
  </conditionalFormatting>
  <conditionalFormatting sqref="L15:L19">
    <cfRule type="expression" dxfId="9" priority="12">
      <formula>IF($I15=8,IF(OR($L15="D",$L15="E"),FALSE(),TRUE()),FALSE())</formula>
    </cfRule>
  </conditionalFormatting>
  <conditionalFormatting sqref="G15">
    <cfRule type="expression" dxfId="8" priority="11">
      <formula>IF(OR($G$15=1,$G$15=3,$G$15=""),FALSE(),TRUE())</formula>
    </cfRule>
  </conditionalFormatting>
  <conditionalFormatting sqref="R15:R514">
    <cfRule type="expression" dxfId="7" priority="6">
      <formula>V15=1</formula>
    </cfRule>
  </conditionalFormatting>
  <conditionalFormatting sqref="B4:C4 E5 G4:I4 G7:I7 G9:I9 N4:R4 R7:S7 N7:O7 E15:T514">
    <cfRule type="expression" dxfId="6" priority="30">
      <formula>MOD(ROW(),2)=1</formula>
    </cfRule>
  </conditionalFormatting>
  <conditionalFormatting sqref="B2:C2 E2 G2:I2 G6:I6 F7:F9 N2:R2 M6:O6 Q6:S6 E13:T14">
    <cfRule type="expression" dxfId="5" priority="36">
      <formula>-1</formula>
    </cfRule>
  </conditionalFormatting>
  <conditionalFormatting sqref="T15:T514">
    <cfRule type="expression" dxfId="4" priority="5" stopIfTrue="1">
      <formula>IF($G15=2,$I15=20)</formula>
    </cfRule>
  </conditionalFormatting>
  <conditionalFormatting sqref="T15:T514">
    <cfRule type="expression" dxfId="3" priority="4">
      <formula>X15=1</formula>
    </cfRule>
  </conditionalFormatting>
  <conditionalFormatting sqref="F11">
    <cfRule type="expression" dxfId="2" priority="2">
      <formula>MOD(ROW(),2)=0</formula>
    </cfRule>
  </conditionalFormatting>
  <conditionalFormatting sqref="F11">
    <cfRule type="expression" dxfId="1" priority="1">
      <formula>MOD(ROW(),2)=1</formula>
    </cfRule>
  </conditionalFormatting>
  <conditionalFormatting sqref="E11">
    <cfRule type="expression" dxfId="0" priority="3">
      <formula>-1</formula>
    </cfRule>
  </conditionalFormatting>
  <dataValidations count="19">
    <dataValidation type="whole" allowBlank="1" showInputMessage="1" showErrorMessage="1" errorTitle="NÚMEROS DE 1 A 5" error="Não existe esse código de visada" sqref="G15:G514" xr:uid="{00000000-0002-0000-0000-000000000000}">
      <formula1>0</formula1>
      <formula2>5</formula2>
    </dataValidation>
    <dataValidation type="whole" allowBlank="1" showInputMessage="1" showErrorMessage="1" errorTitle="âNGULO INCOERENTE" error="o ângulo digitado não está fazendo sentido, ele deve ser entre 0 e 180" sqref="M15:M514" xr:uid="{00000000-0002-0000-0000-000001000000}">
      <formula1>0</formula1>
      <formula2>179</formula2>
    </dataValidation>
    <dataValidation type="whole" allowBlank="1" showInputMessage="1" showErrorMessage="1" errorTitle="MINUTOS INCOERENTES" error="o valor dos minutos devem estar entre 0 e 60" sqref="K15:K514 N15:N514" xr:uid="{00000000-0002-0000-0000-000002000000}">
      <formula1>0</formula1>
      <formula2>59</formula2>
    </dataValidation>
    <dataValidation type="whole" operator="greaterThan" allowBlank="1" showInputMessage="1" showErrorMessage="1" errorTitle="FIO MÉDIO INCONSISTENTE" error="o Valor devge ser escrito em mm" sqref="P15:P514" xr:uid="{00000000-0002-0000-0000-000003000000}">
      <formula1>100</formula1>
    </dataValidation>
    <dataValidation type="whole" allowBlank="1" showInputMessage="1" showErrorMessage="1" errorTitle="Valor incoerente" error="A altura do aparelho deve estar em cm" sqref="H15:H514" xr:uid="{00000000-0002-0000-0000-000004000000}">
      <formula1>100</formula1>
      <formula2>200</formula2>
    </dataValidation>
    <dataValidation type="whole" allowBlank="1" showInputMessage="1" showErrorMessage="1" errorTitle="CÓDIGO ERRADO" error="Apenas números" sqref="I15:I514" xr:uid="{00000000-0002-0000-0000-000005000000}">
      <formula1>0</formula1>
      <formula2>99</formula2>
    </dataValidation>
    <dataValidation type="list" allowBlank="1" showInputMessage="1" showErrorMessage="1" sqref="L15:L514" xr:uid="{00000000-0002-0000-0000-000006000000}">
      <formula1>$L$11:$L$12</formula1>
    </dataValidation>
    <dataValidation type="list" allowBlank="1" showInputMessage="1" showErrorMessage="1" sqref="N4" xr:uid="{00000000-0002-0000-0000-000007000000}">
      <formula1>$N$11:$N$12</formula1>
    </dataValidation>
    <dataValidation type="list" allowBlank="1" showInputMessage="1" showErrorMessage="1" sqref="O4" xr:uid="{00000000-0002-0000-0000-000008000000}">
      <formula1>$O$10:$O$12</formula1>
    </dataValidation>
    <dataValidation type="whole" allowBlank="1" showInputMessage="1" showErrorMessage="1" errorTitle="Coloque valor correto" error="Favor coloque um valor sem vírgula" sqref="R4" xr:uid="{00000000-0002-0000-0000-000009000000}">
      <formula1>1</formula1>
      <formula2>300</formula2>
    </dataValidation>
    <dataValidation type="list" allowBlank="1" showInputMessage="1" showErrorMessage="1" sqref="P4" xr:uid="{00000000-0002-0000-0000-00000A000000}">
      <formula1>$P$8:$P$12</formula1>
    </dataValidation>
    <dataValidation type="whole" allowBlank="1" showInputMessage="1" showErrorMessage="1" errorTitle="ERRO DE NÚMERO" error="Favor colocar o código de cidade em 3 números" sqref="G4" xr:uid="{00000000-0002-0000-0000-00000B000000}">
      <formula1>0</formula1>
      <formula2>999</formula2>
    </dataValidation>
    <dataValidation type="textLength" allowBlank="1" showInputMessage="1" showErrorMessage="1" sqref="E15:F514" xr:uid="{00000000-0002-0000-0000-00000C000000}">
      <formula1>1</formula1>
      <formula2>3</formula2>
    </dataValidation>
    <dataValidation type="list" allowBlank="1" showInputMessage="1" showErrorMessage="1" sqref="Q4" xr:uid="{00000000-0002-0000-0000-00000D000000}">
      <formula1>$Q$9:$Q$11</formula1>
    </dataValidation>
    <dataValidation type="textLength" operator="equal" allowBlank="1" showInputMessage="1" showErrorMessage="1" errorTitle="ERRADO" error="COLOCAR APENAS UMA LETRA" sqref="H4" xr:uid="{00000000-0002-0000-0000-00000E000000}">
      <formula1>1</formula1>
    </dataValidation>
    <dataValidation type="whole" allowBlank="1" showInputMessage="1" showErrorMessage="1" errorTitle="POSTE GRANDE" error="COLOQUE O POSTE EM METROS" sqref="I4" xr:uid="{00000000-0002-0000-0000-00000F000000}">
      <formula1>5</formula1>
      <formula2>30</formula2>
    </dataValidation>
    <dataValidation type="whole" allowBlank="1" showInputMessage="1" showErrorMessage="1" errorTitle="POSTE MUITO GRANDE" error="COLOQUE A ALTURA EM METROS" sqref="H7:H9" xr:uid="{00000000-0002-0000-0000-000010000000}">
      <formula1>3</formula1>
      <formula2>30</formula2>
    </dataValidation>
    <dataValidation type="textLength" operator="equal" allowBlank="1" showInputMessage="1" showErrorMessage="1" errorTitle="ERRO" error="COLOCAR APENAS UMA LETRA" sqref="G7:G9 F11" xr:uid="{00000000-0002-0000-0000-000011000000}">
      <formula1>1</formula1>
    </dataValidation>
    <dataValidation type="whole" allowBlank="1" showInputMessage="1" showErrorMessage="1" errorTitle="âNGULO INCOERENTE" error="o ângulo digitado não está fazendo sentido, ele deve ser entre 0 e 180" sqref="J15:J514" xr:uid="{00000000-0002-0000-0000-000012000000}">
      <formula1>0</formula1>
      <formula2>180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&amp;R_x000D_&amp;1#&amp;"Calibri"&amp;10&amp;K000000 Classificação: Direcionado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T"/>
  <dimension ref="A1:A2"/>
  <sheetViews>
    <sheetView topLeftCell="XFD1048576" zoomScaleNormal="100" workbookViewId="0">
      <selection activeCell="B2" sqref="B2"/>
    </sheetView>
  </sheetViews>
  <sheetFormatPr defaultColWidth="0" defaultRowHeight="15" zeroHeight="1" x14ac:dyDescent="0.25"/>
  <cols>
    <col min="1" max="1" width="26" style="1" hidden="1" customWidth="1"/>
    <col min="2" max="16384" width="0" style="1" hidden="1"/>
  </cols>
  <sheetData>
    <row r="1" spans="1:1" hidden="1" x14ac:dyDescent="0.25">
      <c r="A1" s="1" t="str">
        <f>_xlfn.CONCAT("del c:\rdr\perfil\",DADOS!C3,DADOS!B3,".*")</f>
        <v>del c:\rdr\perfil\.*</v>
      </c>
    </row>
    <row r="2" spans="1:1" hidden="1" x14ac:dyDescent="0.25">
      <c r="A2" s="1" t="str">
        <f>_xlfn.CONCAT("del c:\rdr\projeto\TR",DADOS!B3,".*")</f>
        <v>del c:\rdr\projeto\TR.*</v>
      </c>
    </row>
  </sheetData>
  <sheetProtection algorithmName="SHA-512" hashValue="hzFWLPDxBTpKBTZLnxEuJu1SGGA1QTMpxG0uAC7b3w7aWJ6nMXvQ33bXzZAvgMAbstrrksoEx9DgyPUR9i4v9Q==" saltValue="5fT5OVo9Po+KKQLYpXS+LQ==" spinCount="100000" sheet="1" objects="1" scenarios="1" selectLockedCells="1" selectUnlockedCells="1"/>
  <pageMargins left="0" right="0" top="0" bottom="0" header="0" footer="0"/>
  <pageSetup paperSize="9" scale="75" orientation="portrait"/>
  <headerFooter>
    <oddFooter>&amp;R_x000D_&amp;1#&amp;"Calibri"&amp;10&amp;K000000 Classificação: Direcionado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ROG"/>
  <dimension ref="A1"/>
  <sheetViews>
    <sheetView topLeftCell="XFD1048576" workbookViewId="0">
      <selection activeCell="B2" sqref="B2"/>
    </sheetView>
  </sheetViews>
  <sheetFormatPr defaultColWidth="0" defaultRowHeight="15" zeroHeight="1" x14ac:dyDescent="0.25"/>
  <cols>
    <col min="1" max="1" width="24.140625" style="2" hidden="1" customWidth="1"/>
    <col min="2" max="16384" width="8.85546875" style="2" hidden="1"/>
  </cols>
  <sheetData>
    <row r="1" spans="1:1" hidden="1" x14ac:dyDescent="0.25">
      <c r="A1" s="2" t="str">
        <f>_xlfn.CONCAT(DADOS!D15:D34)</f>
        <v xml:space="preserve">^+G::
send, RRRCCG{enter}500{enter}dwild{enter}000{enter}
return
^+A::
send, RRRCCP4M{enter}{enter}
return
^+B::
send, RRRCMT1FS4M{enter}{enter}
return
^+C::
send, RRRCP1FS4M{enter}{enter}
return
^+V::
send, RRRTF{enter}{enter}
return
^Q::
send, RRRCCG{enter}500{enter}dwild{enter}000{enter}
send, RRRCCP4M{enter}{enter}
send, RRRCMT1FS4M{enter}{enter}
send, RRRCP1FS4M{enter}{enter}
send, RRRTF{enter}{enter}
return
^+L::
send, RRRLL00T11OG{enter}
sleep 2000
send, 0.CAA0000N{enter}{enter}{enter}{enter}D11300D11300{enter}{enter}00A120{enter}{enter}N
return
^W::
send, RRRLL00T11OG{enter}
sleep 2000
send, 0.CAA0000N{enter}{enter}{enter}{enter}D11300D11300{enter}{enter}00A120{enter}{enter}N
return
^+T::
send, RRRLETTRSI4M1S{enter}S
return
^+M::
send, RRRLMATRI4M{enter}
return
^R::
send, RRRLETTRSI4M1S{enter}S
send, RRRLMATRI4M{enter}
return
</v>
      </c>
    </row>
  </sheetData>
  <sheetProtection algorithmName="SHA-512" hashValue="n7uQvvJqpzqU6nUe24LScPPQKfQ7z2+RvVd3Ox3vNExjsIMnYA+iwRkg010T/V5x4u68wWqNECHL7P1ZcRgeYw==" saltValue="r3j7/PukAfCQ2QqejjHxPw==" spinCount="100000" sheet="1" selectLockedCells="1" selectUnlockedCells="1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243E58-8165-4A97-B1D9-3A2BFDF9C079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transformado</vt:lpstr>
      <vt:lpstr>BD</vt:lpstr>
      <vt:lpstr>DADOS</vt:lpstr>
      <vt:lpstr>BAT</vt:lpstr>
      <vt:lpstr>PROG</vt:lpstr>
      <vt:lpstr>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 BOZZON</dc:creator>
  <cp:lastModifiedBy>Office CEMIG 01</cp:lastModifiedBy>
  <dcterms:created xsi:type="dcterms:W3CDTF">2023-02-07T23:39:54Z</dcterms:created>
  <dcterms:modified xsi:type="dcterms:W3CDTF">2025-10-20T08:02:53Z</dcterms:modified>
</cp:coreProperties>
</file>